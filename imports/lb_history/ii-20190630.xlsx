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8" windowWidth="14808" windowHeight="8016" tabRatio="932"/>
  </bookViews>
  <sheets>
    <sheet name="GCF_2019_I_pusm" sheetId="12" r:id="rId1"/>
    <sheet name="Likviduoti_fondai_2019_I_pusm" sheetId="23" r:id="rId2"/>
    <sheet name="1996-2002" sheetId="14" r:id="rId3"/>
    <sheet name="1989-1995" sheetId="16" r:id="rId4"/>
    <sheet name="1982-1988" sheetId="17" r:id="rId5"/>
    <sheet name="1975-1981" sheetId="18" r:id="rId6"/>
    <sheet name="1968-1974" sheetId="19" r:id="rId7"/>
    <sheet name="1961-1967" sheetId="20" r:id="rId8"/>
    <sheet name="1954-1960" sheetId="21" r:id="rId9"/>
    <sheet name="TIF" sheetId="22" r:id="rId10"/>
    <sheet name="Strategijų_palyginimas" sheetId="3" r:id="rId11"/>
  </sheets>
  <calcPr calcId="145621"/>
</workbook>
</file>

<file path=xl/calcChain.xml><?xml version="1.0" encoding="utf-8"?>
<calcChain xmlns="http://schemas.openxmlformats.org/spreadsheetml/2006/main">
  <c r="A54" i="22" l="1"/>
  <c r="A53" i="22"/>
  <c r="A52" i="22"/>
  <c r="A51" i="22"/>
  <c r="A54" i="21"/>
  <c r="A53" i="21"/>
  <c r="A52" i="21"/>
  <c r="A51" i="21"/>
  <c r="A54" i="20"/>
  <c r="A53" i="20"/>
  <c r="A52" i="20"/>
  <c r="A51" i="20"/>
  <c r="A54" i="19"/>
  <c r="A53" i="19"/>
  <c r="A52" i="19"/>
  <c r="A51" i="19"/>
  <c r="A54" i="18"/>
  <c r="A53" i="18"/>
  <c r="A52" i="18"/>
  <c r="A51" i="18"/>
  <c r="A54" i="17"/>
  <c r="A53" i="17"/>
  <c r="A52" i="17"/>
  <c r="A51" i="17"/>
  <c r="A53" i="16"/>
  <c r="A54" i="16"/>
  <c r="A52" i="16"/>
  <c r="A51" i="16"/>
  <c r="A21" i="22"/>
  <c r="A20" i="22"/>
  <c r="A19" i="22"/>
  <c r="A21" i="21"/>
  <c r="A20" i="21"/>
  <c r="A19" i="21"/>
  <c r="A21" i="20"/>
  <c r="A20" i="20"/>
  <c r="A19" i="20"/>
  <c r="A21" i="19"/>
  <c r="A20" i="19"/>
  <c r="A19" i="19"/>
  <c r="A21" i="18"/>
  <c r="A20" i="18"/>
  <c r="A19" i="18"/>
  <c r="A21" i="17"/>
  <c r="A20" i="17"/>
  <c r="A19" i="17"/>
  <c r="A19" i="16"/>
  <c r="A17" i="20" l="1"/>
  <c r="A17" i="19"/>
  <c r="A17" i="18"/>
  <c r="A17" i="17"/>
  <c r="A17" i="16"/>
  <c r="A17" i="14"/>
  <c r="A21" i="16" l="1"/>
  <c r="A20" i="16"/>
  <c r="A16" i="22"/>
  <c r="A16" i="21"/>
  <c r="A16" i="20"/>
  <c r="A16" i="19"/>
  <c r="A16" i="18"/>
  <c r="A16" i="17"/>
  <c r="A16" i="16"/>
  <c r="A16" i="14"/>
  <c r="G3" i="22" l="1"/>
  <c r="B4" i="22"/>
  <c r="C4" i="22"/>
  <c r="E4" i="22"/>
  <c r="B5" i="22"/>
  <c r="C5" i="22"/>
  <c r="E5" i="22"/>
  <c r="B6" i="22"/>
  <c r="C6" i="22"/>
  <c r="E6" i="22"/>
  <c r="B7" i="22"/>
  <c r="C7" i="22"/>
  <c r="E7" i="22"/>
  <c r="B8" i="22"/>
  <c r="C8" i="22"/>
  <c r="E8" i="22"/>
  <c r="A4" i="22"/>
  <c r="A5" i="22"/>
  <c r="A6" i="22"/>
  <c r="A7" i="22"/>
  <c r="A8" i="22"/>
  <c r="A3" i="22"/>
  <c r="G3" i="21"/>
  <c r="B4" i="21"/>
  <c r="C4" i="21"/>
  <c r="B5" i="21"/>
  <c r="C5" i="21"/>
  <c r="B6" i="21"/>
  <c r="C6" i="21"/>
  <c r="B7" i="21"/>
  <c r="C7" i="21"/>
  <c r="B8" i="21"/>
  <c r="C8" i="21"/>
  <c r="A4" i="21"/>
  <c r="A5" i="21"/>
  <c r="A6" i="21"/>
  <c r="A7" i="21"/>
  <c r="A8" i="21"/>
  <c r="A3" i="21"/>
  <c r="G3" i="20"/>
  <c r="B4" i="20"/>
  <c r="C4" i="20"/>
  <c r="B5" i="20"/>
  <c r="C5" i="20"/>
  <c r="B6" i="20"/>
  <c r="C6" i="20"/>
  <c r="B7" i="20"/>
  <c r="C7" i="20"/>
  <c r="B8" i="20"/>
  <c r="C8" i="20"/>
  <c r="A4" i="20"/>
  <c r="A5" i="20"/>
  <c r="A6" i="20"/>
  <c r="A7" i="20"/>
  <c r="A8" i="20"/>
  <c r="A3" i="20"/>
  <c r="G3" i="19"/>
  <c r="B4" i="19"/>
  <c r="C4" i="19"/>
  <c r="B5" i="19"/>
  <c r="C5" i="19"/>
  <c r="B6" i="19"/>
  <c r="C6" i="19"/>
  <c r="B7" i="19"/>
  <c r="C7" i="19"/>
  <c r="B8" i="19"/>
  <c r="C8" i="19"/>
  <c r="A4" i="19"/>
  <c r="A5" i="19"/>
  <c r="A6" i="19"/>
  <c r="A7" i="19"/>
  <c r="A8" i="19"/>
  <c r="A3" i="19"/>
  <c r="G3" i="18"/>
  <c r="B4" i="18"/>
  <c r="C4" i="18"/>
  <c r="B5" i="18"/>
  <c r="C5" i="18"/>
  <c r="B6" i="18"/>
  <c r="C6" i="18"/>
  <c r="B7" i="18"/>
  <c r="C7" i="18"/>
  <c r="B8" i="18"/>
  <c r="C8" i="18"/>
  <c r="A4" i="18"/>
  <c r="A5" i="18"/>
  <c r="A6" i="18"/>
  <c r="A7" i="18"/>
  <c r="A8" i="18"/>
  <c r="A3" i="18"/>
  <c r="G3" i="17"/>
  <c r="B4" i="17"/>
  <c r="C4" i="17"/>
  <c r="B5" i="17"/>
  <c r="C5" i="17"/>
  <c r="B6" i="17"/>
  <c r="C6" i="17"/>
  <c r="B7" i="17"/>
  <c r="C7" i="17"/>
  <c r="B8" i="17"/>
  <c r="C8" i="17"/>
  <c r="A4" i="17"/>
  <c r="A5" i="17"/>
  <c r="A6" i="17"/>
  <c r="A7" i="17"/>
  <c r="A8" i="17"/>
  <c r="A3" i="17"/>
  <c r="G3" i="16"/>
  <c r="B4" i="16"/>
  <c r="C4" i="16"/>
  <c r="B5" i="16"/>
  <c r="C5" i="16"/>
  <c r="B6" i="16"/>
  <c r="C6" i="16"/>
  <c r="B7" i="16"/>
  <c r="C7" i="16"/>
  <c r="B8" i="16"/>
  <c r="C8" i="16"/>
  <c r="A4" i="16"/>
  <c r="A5" i="16"/>
  <c r="A6" i="16"/>
  <c r="A7" i="16"/>
  <c r="A8" i="16"/>
  <c r="A3" i="16"/>
  <c r="A15" i="22"/>
  <c r="A14" i="22"/>
  <c r="A13" i="22"/>
  <c r="A12" i="22"/>
  <c r="A11" i="22"/>
  <c r="A10" i="22"/>
  <c r="M2" i="22"/>
  <c r="L2" i="22"/>
  <c r="J2" i="22"/>
  <c r="I2" i="22"/>
  <c r="G2" i="22"/>
  <c r="F2" i="22"/>
  <c r="E2" i="22"/>
  <c r="D2" i="22"/>
  <c r="C2" i="22"/>
  <c r="B2" i="22"/>
  <c r="A2" i="22"/>
  <c r="M1" i="22"/>
  <c r="L1" i="22"/>
  <c r="J1" i="22"/>
  <c r="I1" i="22"/>
  <c r="G1" i="22"/>
  <c r="F1" i="22"/>
  <c r="E1" i="22"/>
  <c r="D1" i="22"/>
  <c r="A1" i="22"/>
  <c r="A15" i="21"/>
  <c r="A14" i="21"/>
  <c r="A13" i="21"/>
  <c r="A12" i="21"/>
  <c r="A11" i="21"/>
  <c r="A10" i="21"/>
  <c r="M2" i="21"/>
  <c r="L2" i="21"/>
  <c r="J2" i="21"/>
  <c r="I2" i="21"/>
  <c r="G2" i="21"/>
  <c r="F2" i="21"/>
  <c r="E2" i="21"/>
  <c r="D2" i="21"/>
  <c r="C2" i="21"/>
  <c r="B2" i="21"/>
  <c r="A2" i="21"/>
  <c r="M1" i="21"/>
  <c r="L1" i="21"/>
  <c r="J1" i="21"/>
  <c r="I1" i="21"/>
  <c r="G1" i="21"/>
  <c r="F1" i="21"/>
  <c r="E1" i="21"/>
  <c r="D1" i="21"/>
  <c r="A1" i="21"/>
  <c r="A15" i="20"/>
  <c r="A14" i="20"/>
  <c r="A13" i="20"/>
  <c r="A12" i="20"/>
  <c r="A11" i="20"/>
  <c r="A10" i="20"/>
  <c r="M2" i="20"/>
  <c r="L2" i="20"/>
  <c r="J2" i="20"/>
  <c r="I2" i="20"/>
  <c r="G2" i="20"/>
  <c r="F2" i="20"/>
  <c r="E2" i="20"/>
  <c r="D2" i="20"/>
  <c r="C2" i="20"/>
  <c r="B2" i="20"/>
  <c r="A2" i="20"/>
  <c r="M1" i="20"/>
  <c r="L1" i="20"/>
  <c r="J1" i="20"/>
  <c r="I1" i="20"/>
  <c r="G1" i="20"/>
  <c r="F1" i="20"/>
  <c r="E1" i="20"/>
  <c r="D1" i="20"/>
  <c r="A1" i="20"/>
  <c r="A15" i="19"/>
  <c r="A14" i="19"/>
  <c r="A13" i="19"/>
  <c r="A12" i="19"/>
  <c r="A11" i="19"/>
  <c r="A10" i="19"/>
  <c r="M2" i="19"/>
  <c r="L2" i="19"/>
  <c r="J2" i="19"/>
  <c r="I2" i="19"/>
  <c r="G2" i="19"/>
  <c r="F2" i="19"/>
  <c r="E2" i="19"/>
  <c r="D2" i="19"/>
  <c r="C2" i="19"/>
  <c r="B2" i="19"/>
  <c r="A2" i="19"/>
  <c r="M1" i="19"/>
  <c r="L1" i="19"/>
  <c r="J1" i="19"/>
  <c r="I1" i="19"/>
  <c r="G1" i="19"/>
  <c r="F1" i="19"/>
  <c r="E1" i="19"/>
  <c r="D1" i="19"/>
  <c r="A1" i="19"/>
  <c r="A15" i="18"/>
  <c r="A14" i="18"/>
  <c r="A13" i="18"/>
  <c r="A12" i="18"/>
  <c r="A11" i="18"/>
  <c r="A10" i="18"/>
  <c r="M2" i="18"/>
  <c r="L2" i="18"/>
  <c r="J2" i="18"/>
  <c r="I2" i="18"/>
  <c r="G2" i="18"/>
  <c r="F2" i="18"/>
  <c r="E2" i="18"/>
  <c r="D2" i="18"/>
  <c r="C2" i="18"/>
  <c r="B2" i="18"/>
  <c r="A2" i="18"/>
  <c r="M1" i="18"/>
  <c r="L1" i="18"/>
  <c r="J1" i="18"/>
  <c r="I1" i="18"/>
  <c r="G1" i="18"/>
  <c r="F1" i="18"/>
  <c r="E1" i="18"/>
  <c r="D1" i="18"/>
  <c r="A1" i="18"/>
  <c r="A15" i="17"/>
  <c r="A14" i="17"/>
  <c r="A13" i="17"/>
  <c r="A12" i="17"/>
  <c r="A11" i="17"/>
  <c r="A10" i="17"/>
  <c r="M2" i="17"/>
  <c r="L2" i="17"/>
  <c r="J2" i="17"/>
  <c r="I2" i="17"/>
  <c r="G2" i="17"/>
  <c r="F2" i="17"/>
  <c r="E2" i="17"/>
  <c r="D2" i="17"/>
  <c r="C2" i="17"/>
  <c r="B2" i="17"/>
  <c r="A2" i="17"/>
  <c r="M1" i="17"/>
  <c r="L1" i="17"/>
  <c r="J1" i="17"/>
  <c r="I1" i="17"/>
  <c r="G1" i="17"/>
  <c r="F1" i="17"/>
  <c r="E1" i="17"/>
  <c r="D1" i="17"/>
  <c r="A1" i="17"/>
  <c r="A15" i="16"/>
  <c r="A14" i="16"/>
  <c r="A13" i="16"/>
  <c r="A12" i="16"/>
  <c r="A11" i="16"/>
  <c r="A10" i="16"/>
  <c r="M2" i="16"/>
  <c r="L2" i="16"/>
  <c r="J2" i="16"/>
  <c r="I2" i="16"/>
  <c r="G2" i="16"/>
  <c r="F2" i="16"/>
  <c r="E2" i="16"/>
  <c r="D2" i="16"/>
  <c r="C2" i="16"/>
  <c r="B2" i="16"/>
  <c r="A2" i="16"/>
  <c r="M1" i="16"/>
  <c r="L1" i="16"/>
  <c r="J1" i="16"/>
  <c r="I1" i="16"/>
  <c r="G1" i="16"/>
  <c r="F1" i="16"/>
  <c r="E1" i="16"/>
  <c r="D1" i="16"/>
  <c r="A1" i="16"/>
  <c r="A11" i="14"/>
  <c r="A12" i="14"/>
  <c r="A13" i="14"/>
  <c r="A14" i="14"/>
  <c r="A15" i="14"/>
  <c r="A10" i="14"/>
  <c r="D1" i="14"/>
  <c r="E1" i="14"/>
  <c r="F1" i="14"/>
  <c r="G1" i="14"/>
  <c r="I1" i="14"/>
  <c r="J1" i="14"/>
  <c r="L1" i="14"/>
  <c r="M1" i="14"/>
  <c r="B2" i="14"/>
  <c r="C2" i="14"/>
  <c r="D2" i="14"/>
  <c r="E2" i="14"/>
  <c r="F2" i="14"/>
  <c r="G2" i="14"/>
  <c r="I2" i="14"/>
  <c r="J2" i="14"/>
  <c r="L2" i="14"/>
  <c r="M2" i="14"/>
  <c r="G3" i="14"/>
  <c r="B4" i="14"/>
  <c r="A30" i="14" s="1"/>
  <c r="C4" i="14"/>
  <c r="B5" i="14"/>
  <c r="A31" i="14" s="1"/>
  <c r="C5" i="14"/>
  <c r="B6" i="14"/>
  <c r="A32" i="14" s="1"/>
  <c r="C6" i="14"/>
  <c r="B7" i="14"/>
  <c r="A63" i="14" s="1"/>
  <c r="C7" i="14"/>
  <c r="B8" i="14"/>
  <c r="A64" i="14" s="1"/>
  <c r="C8" i="14"/>
  <c r="A2" i="14"/>
  <c r="A3" i="14"/>
  <c r="A4" i="14"/>
  <c r="A5" i="14"/>
  <c r="A6" i="14"/>
  <c r="A7" i="14"/>
  <c r="A8" i="14"/>
  <c r="A1" i="14"/>
  <c r="A63" i="22" l="1"/>
  <c r="A33" i="22"/>
  <c r="A61" i="22"/>
  <c r="A31" i="22"/>
  <c r="A34" i="22"/>
  <c r="A64" i="22"/>
  <c r="A62" i="22"/>
  <c r="A32" i="22"/>
  <c r="A30" i="22"/>
  <c r="A60" i="22"/>
  <c r="A31" i="21"/>
  <c r="A61" i="21"/>
  <c r="A34" i="21"/>
  <c r="A64" i="21"/>
  <c r="A30" i="21"/>
  <c r="A60" i="21"/>
  <c r="A63" i="21"/>
  <c r="A33" i="21"/>
  <c r="A62" i="21"/>
  <c r="A32" i="21"/>
  <c r="A31" i="20"/>
  <c r="A61" i="20"/>
  <c r="A64" i="20"/>
  <c r="A34" i="20"/>
  <c r="A60" i="20"/>
  <c r="A30" i="20"/>
  <c r="A33" i="20"/>
  <c r="A63" i="20"/>
  <c r="A32" i="20"/>
  <c r="A62" i="20"/>
  <c r="A60" i="19"/>
  <c r="A31" i="19"/>
  <c r="A64" i="19"/>
  <c r="A34" i="19"/>
  <c r="A61" i="19"/>
  <c r="A30" i="19"/>
  <c r="A33" i="19"/>
  <c r="A63" i="19"/>
  <c r="A62" i="19"/>
  <c r="A32" i="19"/>
  <c r="A31" i="18"/>
  <c r="A60" i="18"/>
  <c r="A33" i="18"/>
  <c r="A63" i="18"/>
  <c r="A64" i="18"/>
  <c r="A34" i="18"/>
  <c r="A61" i="18"/>
  <c r="A30" i="18"/>
  <c r="A62" i="18"/>
  <c r="A32" i="18"/>
  <c r="A61" i="17"/>
  <c r="A31" i="17"/>
  <c r="A34" i="17"/>
  <c r="A64" i="17"/>
  <c r="A30" i="17"/>
  <c r="A60" i="17"/>
  <c r="A33" i="17"/>
  <c r="A63" i="17"/>
  <c r="A62" i="17"/>
  <c r="A32" i="17"/>
  <c r="A61" i="16"/>
  <c r="A31" i="16"/>
  <c r="A64" i="16"/>
  <c r="A34" i="16"/>
  <c r="A60" i="16"/>
  <c r="A30" i="16"/>
  <c r="A33" i="16"/>
  <c r="A63" i="16"/>
  <c r="A62" i="16"/>
  <c r="A32" i="16"/>
  <c r="A34" i="14"/>
  <c r="A33" i="14"/>
  <c r="A62" i="14"/>
  <c r="A60" i="14"/>
  <c r="A61" i="14"/>
  <c r="E4" i="14" l="1"/>
  <c r="E5" i="21" l="1"/>
  <c r="E6" i="21"/>
  <c r="E7" i="21"/>
  <c r="E8" i="21"/>
  <c r="E4" i="21"/>
  <c r="E5" i="20"/>
  <c r="E6" i="20"/>
  <c r="E7" i="20"/>
  <c r="E8" i="20"/>
  <c r="E4" i="20"/>
  <c r="E5" i="19"/>
  <c r="E6" i="19"/>
  <c r="E7" i="19"/>
  <c r="E8" i="19"/>
  <c r="E4" i="19"/>
  <c r="E5" i="18"/>
  <c r="E6" i="18"/>
  <c r="E7" i="18"/>
  <c r="E8" i="18"/>
  <c r="E4" i="18"/>
  <c r="E5" i="17"/>
  <c r="E6" i="17"/>
  <c r="E7" i="17"/>
  <c r="E8" i="17"/>
  <c r="E4" i="17"/>
  <c r="E5" i="16"/>
  <c r="E6" i="16"/>
  <c r="E7" i="16"/>
  <c r="E8" i="16"/>
  <c r="E4" i="16"/>
  <c r="E5" i="14"/>
  <c r="E6" i="14"/>
  <c r="E7" i="14"/>
  <c r="E8" i="14"/>
  <c r="D8" i="22" l="1"/>
  <c r="D7" i="22"/>
  <c r="D6" i="22"/>
  <c r="D5" i="22"/>
  <c r="D4" i="22"/>
  <c r="D8" i="21"/>
  <c r="D7" i="21"/>
  <c r="D6" i="21"/>
  <c r="D5" i="21"/>
  <c r="D4" i="21"/>
  <c r="D8" i="20"/>
  <c r="D7" i="20"/>
  <c r="D6" i="20"/>
  <c r="D5" i="20"/>
  <c r="D4" i="20"/>
  <c r="D8" i="19"/>
  <c r="D7" i="19"/>
  <c r="D6" i="19"/>
  <c r="D5" i="19"/>
  <c r="D4" i="19"/>
  <c r="D8" i="18"/>
  <c r="D7" i="18"/>
  <c r="D6" i="18"/>
  <c r="D5" i="18"/>
  <c r="D4" i="18"/>
  <c r="D8" i="17"/>
  <c r="D7" i="17"/>
  <c r="D6" i="17"/>
  <c r="D5" i="17"/>
  <c r="D4" i="17"/>
  <c r="D8" i="16"/>
  <c r="D7" i="16"/>
  <c r="D6" i="16"/>
  <c r="D5" i="16"/>
  <c r="D4" i="16"/>
  <c r="D5" i="14"/>
  <c r="D6" i="14"/>
  <c r="D7" i="14"/>
  <c r="D8" i="14"/>
  <c r="D4" i="14"/>
  <c r="F4" i="17" l="1"/>
  <c r="D60" i="17" s="1"/>
  <c r="F6" i="18"/>
  <c r="D62" i="18" s="1"/>
  <c r="F7" i="21"/>
  <c r="D63" i="21" s="1"/>
  <c r="F4" i="18"/>
  <c r="D61" i="18" s="1"/>
  <c r="F7" i="17"/>
  <c r="D63" i="17" s="1"/>
  <c r="G4" i="22"/>
  <c r="B60" i="22" s="1"/>
  <c r="G8" i="22"/>
  <c r="B64" i="22" s="1"/>
  <c r="G5" i="19"/>
  <c r="B60" i="19" s="1"/>
  <c r="G4" i="19"/>
  <c r="B61" i="19" s="1"/>
  <c r="G6" i="16"/>
  <c r="B62" i="16" s="1"/>
  <c r="G7" i="16"/>
  <c r="B63" i="16" s="1"/>
  <c r="G8" i="16"/>
  <c r="B64" i="16" s="1"/>
  <c r="G6" i="17"/>
  <c r="B62" i="17" s="1"/>
  <c r="G4" i="17"/>
  <c r="B60" i="17" s="1"/>
  <c r="G8" i="17"/>
  <c r="B64" i="17" s="1"/>
  <c r="G6" i="20"/>
  <c r="B62" i="20" s="1"/>
  <c r="G5" i="20"/>
  <c r="B61" i="20" s="1"/>
  <c r="G7" i="20"/>
  <c r="B63" i="20" s="1"/>
  <c r="G4" i="20"/>
  <c r="B60" i="20" s="1"/>
  <c r="G8" i="20"/>
  <c r="B64" i="20" s="1"/>
  <c r="G7" i="21"/>
  <c r="B63" i="21" s="1"/>
  <c r="G4" i="21" l="1"/>
  <c r="B60" i="21" s="1"/>
  <c r="G8" i="14"/>
  <c r="B64" i="14" s="1"/>
  <c r="G7" i="14"/>
  <c r="B63" i="14" s="1"/>
  <c r="F8" i="17"/>
  <c r="D64" i="17" s="1"/>
  <c r="F8" i="21"/>
  <c r="D64" i="21" s="1"/>
  <c r="G5" i="21"/>
  <c r="B61" i="21" s="1"/>
  <c r="F4" i="19"/>
  <c r="D61" i="19" s="1"/>
  <c r="G4" i="14"/>
  <c r="B60" i="14" s="1"/>
  <c r="G5" i="14"/>
  <c r="B61" i="14" s="1"/>
  <c r="G5" i="16"/>
  <c r="B61" i="16" s="1"/>
  <c r="G7" i="17"/>
  <c r="B63" i="17" s="1"/>
  <c r="G5" i="17"/>
  <c r="B61" i="17" s="1"/>
  <c r="F7" i="22"/>
  <c r="D63" i="22" s="1"/>
  <c r="F6" i="17"/>
  <c r="D62" i="17" s="1"/>
  <c r="G4" i="18"/>
  <c r="B61" i="18" s="1"/>
  <c r="G5" i="18"/>
  <c r="B60" i="18" s="1"/>
  <c r="G8" i="21"/>
  <c r="B64" i="21" s="1"/>
  <c r="F7" i="19"/>
  <c r="D63" i="19" s="1"/>
  <c r="F4" i="14"/>
  <c r="D60" i="14" s="1"/>
  <c r="F4" i="20"/>
  <c r="D60" i="20" s="1"/>
  <c r="F5" i="20"/>
  <c r="D61" i="20" s="1"/>
  <c r="G7" i="22"/>
  <c r="B63" i="22" s="1"/>
  <c r="G6" i="22"/>
  <c r="B62" i="22" s="1"/>
  <c r="F7" i="14"/>
  <c r="D63" i="14" s="1"/>
  <c r="F8" i="19"/>
  <c r="D64" i="19" s="1"/>
  <c r="F5" i="22"/>
  <c r="D61" i="22" s="1"/>
  <c r="F5" i="18"/>
  <c r="D60" i="18" s="1"/>
  <c r="F7" i="18"/>
  <c r="D63" i="18" s="1"/>
  <c r="F5" i="21"/>
  <c r="D61" i="21" s="1"/>
  <c r="F4" i="16"/>
  <c r="D60" i="16" s="1"/>
  <c r="F5" i="16"/>
  <c r="D61" i="16" s="1"/>
  <c r="G6" i="14"/>
  <c r="B62" i="14" s="1"/>
  <c r="G8" i="18"/>
  <c r="B64" i="18" s="1"/>
  <c r="G7" i="18"/>
  <c r="B63" i="18" s="1"/>
  <c r="G6" i="18"/>
  <c r="B62" i="18" s="1"/>
  <c r="F6" i="14"/>
  <c r="D62" i="14" s="1"/>
  <c r="F8" i="14"/>
  <c r="D64" i="14" s="1"/>
  <c r="F5" i="14"/>
  <c r="D61" i="14" s="1"/>
  <c r="F4" i="22"/>
  <c r="D60" i="22" s="1"/>
  <c r="F6" i="22"/>
  <c r="D62" i="22" s="1"/>
  <c r="F8" i="18"/>
  <c r="D64" i="18" s="1"/>
  <c r="F5" i="19"/>
  <c r="D60" i="19" s="1"/>
  <c r="F5" i="17"/>
  <c r="D61" i="17" s="1"/>
  <c r="F8" i="20"/>
  <c r="D64" i="20" s="1"/>
  <c r="F7" i="20"/>
  <c r="D63" i="20" s="1"/>
  <c r="F6" i="20"/>
  <c r="D62" i="20" s="1"/>
  <c r="F8" i="22"/>
  <c r="D64" i="22" s="1"/>
  <c r="G4" i="16"/>
  <c r="B60" i="16" s="1"/>
  <c r="G8" i="19"/>
  <c r="B64" i="19" s="1"/>
  <c r="G7" i="19"/>
  <c r="B63" i="19" s="1"/>
  <c r="G6" i="19"/>
  <c r="B62" i="19" s="1"/>
  <c r="G5" i="22"/>
  <c r="B61" i="22" s="1"/>
  <c r="G6" i="21"/>
  <c r="B62" i="21" s="1"/>
  <c r="F4" i="21"/>
  <c r="D60" i="21" s="1"/>
  <c r="F6" i="19"/>
  <c r="D62" i="19" s="1"/>
  <c r="F6" i="21"/>
  <c r="D62" i="21" s="1"/>
  <c r="F8" i="16"/>
  <c r="D64" i="16" s="1"/>
  <c r="F7" i="16"/>
  <c r="D63" i="16" s="1"/>
  <c r="F6" i="16"/>
  <c r="D62" i="16" s="1"/>
  <c r="J8" i="14"/>
  <c r="J4" i="20"/>
  <c r="J5" i="17"/>
  <c r="J4" i="22"/>
  <c r="J7" i="21"/>
  <c r="J4" i="21"/>
  <c r="J7" i="16"/>
  <c r="J6" i="16"/>
  <c r="J5" i="16"/>
  <c r="J5" i="22"/>
  <c r="J8" i="19"/>
  <c r="J6" i="21"/>
  <c r="J4" i="18"/>
  <c r="J8" i="20"/>
  <c r="J5" i="20"/>
  <c r="J7" i="19"/>
  <c r="J5" i="21"/>
  <c r="J6" i="18"/>
  <c r="J5" i="18"/>
  <c r="J6" i="14"/>
  <c r="J6" i="19"/>
  <c r="J4" i="17"/>
  <c r="J4" i="14"/>
  <c r="J7" i="14"/>
  <c r="J8" i="21"/>
  <c r="J8" i="22"/>
  <c r="J7" i="18"/>
  <c r="J7" i="20"/>
  <c r="J6" i="20"/>
  <c r="J6" i="22"/>
  <c r="J4" i="19"/>
  <c r="I5" i="19"/>
  <c r="I4" i="18"/>
  <c r="I7" i="14"/>
  <c r="I6" i="14"/>
  <c r="I5" i="22"/>
  <c r="I4" i="17"/>
  <c r="I5" i="17"/>
  <c r="I4" i="20"/>
  <c r="I5" i="20"/>
  <c r="J5" i="19"/>
  <c r="J8" i="17"/>
  <c r="J5" i="14"/>
  <c r="I7" i="18"/>
  <c r="I5" i="14"/>
  <c r="I8" i="22"/>
  <c r="I6" i="22"/>
  <c r="I8" i="21"/>
  <c r="I7" i="21"/>
  <c r="I6" i="21"/>
  <c r="I4" i="16"/>
  <c r="I5" i="16"/>
  <c r="J8" i="16"/>
  <c r="J7" i="17"/>
  <c r="J8" i="18"/>
  <c r="I8" i="19"/>
  <c r="I4" i="19"/>
  <c r="I5" i="18"/>
  <c r="I8" i="14"/>
  <c r="I4" i="22"/>
  <c r="I8" i="17"/>
  <c r="I7" i="17"/>
  <c r="I6" i="17"/>
  <c r="I8" i="20"/>
  <c r="I7" i="20"/>
  <c r="I6" i="20"/>
  <c r="J6" i="17"/>
  <c r="J7" i="22"/>
  <c r="I6" i="19"/>
  <c r="I7" i="19"/>
  <c r="I8" i="18"/>
  <c r="I6" i="18"/>
  <c r="I4" i="14"/>
  <c r="I7" i="22"/>
  <c r="I4" i="21"/>
  <c r="I5" i="21"/>
  <c r="I8" i="16"/>
  <c r="I7" i="16"/>
  <c r="I6" i="16"/>
  <c r="J4" i="16"/>
  <c r="M7" i="17" l="1"/>
  <c r="M6" i="18"/>
  <c r="M5" i="21"/>
  <c r="M4" i="19"/>
  <c r="M5" i="18"/>
  <c r="M4" i="16"/>
  <c r="M4" i="22"/>
  <c r="M6" i="21"/>
  <c r="L6" i="17"/>
  <c r="B32" i="17" s="1"/>
  <c r="L5" i="20"/>
  <c r="B31" i="20" s="1"/>
  <c r="L7" i="18"/>
  <c r="B33" i="18" s="1"/>
  <c r="M5" i="14"/>
  <c r="M5" i="16"/>
  <c r="L7" i="22"/>
  <c r="B33" i="22" s="1"/>
  <c r="M7" i="19"/>
  <c r="C34" i="16"/>
  <c r="C64" i="16"/>
  <c r="C60" i="21"/>
  <c r="C30" i="21"/>
  <c r="C33" i="20"/>
  <c r="C63" i="20"/>
  <c r="C60" i="18"/>
  <c r="C31" i="18"/>
  <c r="C33" i="21"/>
  <c r="C63" i="21"/>
  <c r="C61" i="14"/>
  <c r="C31" i="14"/>
  <c r="L7" i="19"/>
  <c r="B33" i="19" s="1"/>
  <c r="C31" i="20"/>
  <c r="C61" i="20"/>
  <c r="L4" i="20"/>
  <c r="B30" i="20" s="1"/>
  <c r="L4" i="19"/>
  <c r="B30" i="19" s="1"/>
  <c r="L7" i="20"/>
  <c r="B33" i="20" s="1"/>
  <c r="M7" i="14"/>
  <c r="M6" i="16"/>
  <c r="M8" i="21"/>
  <c r="L8" i="21"/>
  <c r="B34" i="21" s="1"/>
  <c r="C33" i="16"/>
  <c r="C63" i="16"/>
  <c r="C33" i="19"/>
  <c r="C63" i="19"/>
  <c r="C62" i="18"/>
  <c r="C32" i="18"/>
  <c r="C33" i="17"/>
  <c r="C63" i="17"/>
  <c r="C34" i="19"/>
  <c r="C64" i="19"/>
  <c r="C61" i="16"/>
  <c r="C31" i="16"/>
  <c r="C62" i="22"/>
  <c r="C32" i="22"/>
  <c r="C31" i="17"/>
  <c r="C61" i="17"/>
  <c r="C62" i="14"/>
  <c r="C32" i="14"/>
  <c r="C33" i="14"/>
  <c r="C63" i="14"/>
  <c r="M8" i="18"/>
  <c r="M4" i="17"/>
  <c r="M8" i="16"/>
  <c r="M6" i="17"/>
  <c r="M7" i="22"/>
  <c r="M5" i="19"/>
  <c r="M8" i="20"/>
  <c r="M7" i="21"/>
  <c r="M5" i="17"/>
  <c r="L8" i="19"/>
  <c r="B34" i="19" s="1"/>
  <c r="M6" i="14"/>
  <c r="M6" i="19"/>
  <c r="M8" i="19"/>
  <c r="M6" i="20"/>
  <c r="M4" i="21"/>
  <c r="C33" i="22"/>
  <c r="C63" i="22"/>
  <c r="C60" i="14"/>
  <c r="C30" i="14"/>
  <c r="C62" i="19"/>
  <c r="C32" i="19"/>
  <c r="C62" i="20"/>
  <c r="C32" i="20"/>
  <c r="C64" i="20"/>
  <c r="C34" i="20"/>
  <c r="C34" i="14"/>
  <c r="C64" i="14"/>
  <c r="C62" i="21"/>
  <c r="C32" i="21"/>
  <c r="C64" i="21"/>
  <c r="C34" i="21"/>
  <c r="C33" i="18"/>
  <c r="C63" i="18"/>
  <c r="C60" i="20"/>
  <c r="C30" i="20"/>
  <c r="C61" i="22"/>
  <c r="C31" i="22"/>
  <c r="C61" i="18"/>
  <c r="C30" i="18"/>
  <c r="C60" i="19"/>
  <c r="C31" i="19"/>
  <c r="L4" i="22"/>
  <c r="B30" i="22" s="1"/>
  <c r="L8" i="14"/>
  <c r="B34" i="14" s="1"/>
  <c r="L4" i="21"/>
  <c r="B30" i="21" s="1"/>
  <c r="L8" i="18"/>
  <c r="B34" i="18" s="1"/>
  <c r="L8" i="20"/>
  <c r="B34" i="20" s="1"/>
  <c r="L8" i="17"/>
  <c r="B34" i="17" s="1"/>
  <c r="M4" i="18"/>
  <c r="M8" i="14"/>
  <c r="M7" i="16"/>
  <c r="L7" i="21"/>
  <c r="B33" i="21" s="1"/>
  <c r="C31" i="21"/>
  <c r="C61" i="21"/>
  <c r="C62" i="16"/>
  <c r="C32" i="16"/>
  <c r="C64" i="18"/>
  <c r="C34" i="18"/>
  <c r="C32" i="17"/>
  <c r="C62" i="17"/>
  <c r="C64" i="17"/>
  <c r="C34" i="17"/>
  <c r="C30" i="22"/>
  <c r="C60" i="22"/>
  <c r="C61" i="19"/>
  <c r="C30" i="19"/>
  <c r="C60" i="16"/>
  <c r="C30" i="16"/>
  <c r="C34" i="22"/>
  <c r="C64" i="22"/>
  <c r="C60" i="17"/>
  <c r="C30" i="17"/>
  <c r="L4" i="17"/>
  <c r="B30" i="17" s="1"/>
  <c r="M7" i="18"/>
  <c r="M4" i="14"/>
  <c r="M4" i="20"/>
  <c r="L8" i="16"/>
  <c r="B34" i="16" s="1"/>
  <c r="L4" i="14"/>
  <c r="B30" i="14" s="1"/>
  <c r="L6" i="14"/>
  <c r="B32" i="14" s="1"/>
  <c r="M6" i="22"/>
  <c r="M8" i="22"/>
  <c r="M5" i="20"/>
  <c r="L8" i="22"/>
  <c r="B34" i="22" s="1"/>
  <c r="L4" i="16"/>
  <c r="B30" i="16" s="1"/>
  <c r="L4" i="18"/>
  <c r="B30" i="18" s="1"/>
  <c r="M8" i="17"/>
  <c r="M5" i="22"/>
  <c r="M7" i="20"/>
  <c r="J3" i="16"/>
  <c r="I3" i="22"/>
  <c r="J3" i="19"/>
  <c r="J3" i="18"/>
  <c r="J3" i="22"/>
  <c r="J3" i="14"/>
  <c r="J3" i="17"/>
  <c r="J3" i="20"/>
  <c r="J3" i="21"/>
  <c r="I3" i="17"/>
  <c r="I3" i="19"/>
  <c r="I3" i="21"/>
  <c r="I3" i="16"/>
  <c r="I3" i="14"/>
  <c r="I3" i="20"/>
  <c r="I3" i="18"/>
  <c r="L5" i="17"/>
  <c r="B31" i="17" s="1"/>
  <c r="L6" i="16"/>
  <c r="B32" i="16" s="1"/>
  <c r="L5" i="21"/>
  <c r="B31" i="21" s="1"/>
  <c r="L5" i="18"/>
  <c r="B31" i="18" s="1"/>
  <c r="L5" i="22"/>
  <c r="B31" i="22" s="1"/>
  <c r="L6" i="22"/>
  <c r="B32" i="22" s="1"/>
  <c r="L6" i="21"/>
  <c r="B32" i="21" s="1"/>
  <c r="L5" i="14"/>
  <c r="B31" i="14" s="1"/>
  <c r="L7" i="16"/>
  <c r="B33" i="16" s="1"/>
  <c r="L7" i="17"/>
  <c r="B33" i="17" s="1"/>
  <c r="L5" i="16"/>
  <c r="B31" i="16" s="1"/>
  <c r="L5" i="19"/>
  <c r="B31" i="19" s="1"/>
  <c r="L6" i="18"/>
  <c r="B32" i="18" s="1"/>
  <c r="L6" i="19"/>
  <c r="B32" i="19" s="1"/>
  <c r="L6" i="20"/>
  <c r="B32" i="20" s="1"/>
  <c r="L7" i="14"/>
  <c r="B33" i="14" s="1"/>
</calcChain>
</file>

<file path=xl/sharedStrings.xml><?xml version="1.0" encoding="utf-8"?>
<sst xmlns="http://schemas.openxmlformats.org/spreadsheetml/2006/main" count="311" uniqueCount="190">
  <si>
    <t>Fondas</t>
  </si>
  <si>
    <t>SBN-96/02</t>
  </si>
  <si>
    <t>INV-96/02</t>
  </si>
  <si>
    <t>SWD-96/02</t>
  </si>
  <si>
    <t>LMN-96/02</t>
  </si>
  <si>
    <t>AVI-96/02</t>
  </si>
  <si>
    <t>SBN-89/95</t>
  </si>
  <si>
    <t>INV-89/95</t>
  </si>
  <si>
    <t>SWD-89/95</t>
  </si>
  <si>
    <t>LMN-89/95</t>
  </si>
  <si>
    <t>AVI-89/95</t>
  </si>
  <si>
    <t>SBN-82/88</t>
  </si>
  <si>
    <t>INV-82/88</t>
  </si>
  <si>
    <t>SWD-82/88</t>
  </si>
  <si>
    <t>LMN-82/88</t>
  </si>
  <si>
    <t>AVI-82/88</t>
  </si>
  <si>
    <t>SBN-75/81</t>
  </si>
  <si>
    <t>INV-75/81</t>
  </si>
  <si>
    <t>SWD-75/81</t>
  </si>
  <si>
    <t>LMN-75/81</t>
  </si>
  <si>
    <t>AVI-75/81</t>
  </si>
  <si>
    <t>SBN-68/74</t>
  </si>
  <si>
    <t>INV-68/74</t>
  </si>
  <si>
    <t>SWD-68/74</t>
  </si>
  <si>
    <t>LMN-68/74</t>
  </si>
  <si>
    <t>AVI-68/74</t>
  </si>
  <si>
    <t>SWD-61/67</t>
  </si>
  <si>
    <t>LMN-61/67</t>
  </si>
  <si>
    <t>SBN-61/67</t>
  </si>
  <si>
    <t>INV-61/67</t>
  </si>
  <si>
    <t>AVI-61/67</t>
  </si>
  <si>
    <t>SWD-54/60</t>
  </si>
  <si>
    <t>LMN-54/60</t>
  </si>
  <si>
    <t>SBN-54/60</t>
  </si>
  <si>
    <t>AVI-54/60</t>
  </si>
  <si>
    <t>INV-54/60</t>
  </si>
  <si>
    <t xml:space="preserve">Luminor investicijų valdymas UAB </t>
  </si>
  <si>
    <t>UAGDPB „Aviva Lietuva“</t>
  </si>
  <si>
    <t>SBN-TIPF</t>
  </si>
  <si>
    <t>INV-TIPF</t>
  </si>
  <si>
    <t>SWD-TIPF</t>
  </si>
  <si>
    <t>LMN-TIPF</t>
  </si>
  <si>
    <t>AVI-TIPF</t>
  </si>
  <si>
    <t xml:space="preserve">Pensijų kaupimo bendrovės pavadinimas
</t>
  </si>
  <si>
    <t xml:space="preserve">Fondo kodas
</t>
  </si>
  <si>
    <t xml:space="preserve">Pensijų fondo pavadinimas
</t>
  </si>
  <si>
    <t>Tikslinės pensijų fondų dalyvių grupės pensijų fondai, 1996-2002</t>
  </si>
  <si>
    <t>Luminor 1996–2002 tikslinės grupės pensijų fondas</t>
  </si>
  <si>
    <t>INVL pensija 1996–2002</t>
  </si>
  <si>
    <t>SEB 1996–2002 metų tikslinės grupės pensijų kaupimo fondas</t>
  </si>
  <si>
    <t>Aviva Y3 1996–2002 tikslinės grupės pensijų fondas</t>
  </si>
  <si>
    <t>Tikslinės pensijų fondų dalyvių grupės pensijų fondai, 1989-1995</t>
  </si>
  <si>
    <t>Luminor 1989–1995 tikslinės grupės pensijų fondas</t>
  </si>
  <si>
    <t>INVL pensija 1989–1995</t>
  </si>
  <si>
    <t>SEB 1989–1995 metų tikslinės grupės pensijų kaupimo fondas</t>
  </si>
  <si>
    <t>Aviva Y2 1989–1995 tikslinės grupės pensijų fondas</t>
  </si>
  <si>
    <t>Tikslinės pensijų fondų dalyvių grupės pensijų fondai, 1982-1988</t>
  </si>
  <si>
    <t>Luminor 1982–1988 tikslinės grupės pensijų fondas</t>
  </si>
  <si>
    <t>INVL pensija 1982–1988</t>
  </si>
  <si>
    <t>SEB 1982–1988 metų tikslinės grupės pensijų kaupimo fondas</t>
  </si>
  <si>
    <t>Aviva Y1 1982–1988 tikslinės grupės pensijų fondas</t>
  </si>
  <si>
    <t>Tikslinės pensijų fondų dalyvių grupės pensijų fondai, 1975-1981</t>
  </si>
  <si>
    <t>Luminor 1975–1981 tikslinės grupės pensijų fondas</t>
  </si>
  <si>
    <t>INVL pensija 1975–1981</t>
  </si>
  <si>
    <t>SEB 1975–1981 metų tikslinės grupės pensijų kaupimo fondas</t>
  </si>
  <si>
    <t>Aviva X3 1975–1981 tikslinės grupės pensijų fondas</t>
  </si>
  <si>
    <t>Tikslinės pensijų fondų dalyvių grupės pensijų fondai, 1968-1974</t>
  </si>
  <si>
    <t>Luminor 1968–1974 tikslinės grupės pensijų fondas</t>
  </si>
  <si>
    <t>INVL pensija 1968–1974</t>
  </si>
  <si>
    <t>SEB 1968–1974 metų tikslinės grupės pensijų kaupimo fondas</t>
  </si>
  <si>
    <t>Aviva X2 1968–1974 tikslinės grupės pensijų fondas</t>
  </si>
  <si>
    <t>Tikslinės pensijų fondų dalyvių grupės pensijų fondai, 1961-1967</t>
  </si>
  <si>
    <t>Luminor 1961–1967 tikslinės grupės pensijų fondas</t>
  </si>
  <si>
    <t>INVL pensija 1961–1967</t>
  </si>
  <si>
    <t>SEB 1961–1967 metų tikslinės grupės pensijų kaupimo fondas</t>
  </si>
  <si>
    <t>Aviva X1 1961–1967 tikslinės grupės pensijų fondas</t>
  </si>
  <si>
    <t>Tikslinės pensijų fondų dalyvių grupės pensijų fondai, 1954-1960</t>
  </si>
  <si>
    <t>Luminor 1954–1960 tikslinės grupės pensijų fondas</t>
  </si>
  <si>
    <t>INVL pensija 1954–1960</t>
  </si>
  <si>
    <t>SEB 1954–1960 metų tikslinės grupės pensijų kaupimo fondas</t>
  </si>
  <si>
    <t>Swedbank pensija 1954–1960</t>
  </si>
  <si>
    <t>Aviva B 1954–1960 tikslinės grupės pensijų fondas</t>
  </si>
  <si>
    <t>Pensijų turto išsaugojimo pensijų fondai</t>
  </si>
  <si>
    <t>Luminor turto išsaugojimo fondas</t>
  </si>
  <si>
    <t>INVL pensijų turto išsaugojimo fondas</t>
  </si>
  <si>
    <t>SEB turto išsaugojimo pensijų kaupimo fondas</t>
  </si>
  <si>
    <t>Swedbank turto išsaugojimo pensijų fondas</t>
  </si>
  <si>
    <t>Aviva S turto išsaugojimo pensijų fondas</t>
  </si>
  <si>
    <t>Dalyvių skaičius</t>
  </si>
  <si>
    <t>Grąža</t>
  </si>
  <si>
    <t>Rizika</t>
  </si>
  <si>
    <t>Dalyvio amžius</t>
  </si>
  <si>
    <t>Rizika ***</t>
  </si>
  <si>
    <t xml:space="preserve">Strategija </t>
  </si>
  <si>
    <t>Grįžti į pagrindinį puslapį</t>
  </si>
  <si>
    <t>Veiklos 
laikotarpis, 
metais</t>
  </si>
  <si>
    <t>Rizikos ir grąžos palyginimas</t>
  </si>
  <si>
    <t>Dalyvių sk. (tūkst.)</t>
  </si>
  <si>
    <t>Grąža (proc.)</t>
  </si>
  <si>
    <t>Fondo turtas (mln. Eur)</t>
  </si>
  <si>
    <t>* Apskaitos vieneto vertės pokytis. Juo atsižvelgiama į atskaitymus nuo turto.</t>
  </si>
  <si>
    <t>Rizikingų turto klasių dalis *</t>
  </si>
  <si>
    <t>* Rizikingų turto klasių dalis gali būti padidinta arba sumažinta iki 10 procentinių punktų.</t>
  </si>
  <si>
    <t>Grynųjų aktyvų****** vertė, mln. Eur</t>
  </si>
  <si>
    <t xml:space="preserve">Swedbank pensija 1961–1967******* </t>
  </si>
  <si>
    <t xml:space="preserve">Swedbank pensija 1968–1974******* </t>
  </si>
  <si>
    <t xml:space="preserve">Swedbank pensija 1975–1981******* </t>
  </si>
  <si>
    <t xml:space="preserve">Swedbank pensija 1982–1988******* </t>
  </si>
  <si>
    <t xml:space="preserve">Swedbank pensija 1989–1995******* </t>
  </si>
  <si>
    <t xml:space="preserve">Swedbank pensija 1996–2002******* </t>
  </si>
  <si>
    <t>****** Grynieji aktyvai – pensijų fondą sudarančio turto ir įsipareigojimų verčių skirtumas.</t>
  </si>
  <si>
    <t xml:space="preserve">*** Rodikliui apskaičiuoti naudoti mėnesiniai apskaitos vieneto (lyginamojo indekso) verčių pokyčiai, rezultatas perskaičiuotas į metinį.  Standartinis nuokrypis parodo, kaip intensyviai per laikotarpį svyruoja fondo investicinio vieneto vertė (lyginamojo indekso vertė). Kuo šis rodiklis didesnis, tuo didesnė rizika. </t>
  </si>
  <si>
    <t xml:space="preserve">**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</si>
  <si>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***** Investicijų į akcijas dalis. Rizikingų turto klasių dalis gali būti padidinta arba sumažinta iki 10 procentinių punktų.</t>
  </si>
  <si>
    <t>vieneto vertės pokytis nuo metų pradžios, proc.*</t>
  </si>
  <si>
    <t>lyginamojo indekso vertės pokytis nuo metų pradžios, proc.**</t>
  </si>
  <si>
    <t xml:space="preserve">vieneto vertės standartinis nuokrypis, nuo metų pradžios, proc. </t>
  </si>
  <si>
    <t>lyginamojo indekso standartinis nuokrypis, nuo metų pradžios, proc.</t>
  </si>
  <si>
    <t>rizikingų aktyvų dalis fonde, proc. *****</t>
  </si>
  <si>
    <t>Svertinis vidurkis****:</t>
  </si>
  <si>
    <r>
      <t xml:space="preserve">******* Šie </t>
    </r>
    <r>
      <rPr>
        <sz val="10"/>
        <rFont val="Verdana"/>
        <family val="2"/>
      </rPr>
      <t>UAB „Swedbank investicijų valdymas“</t>
    </r>
    <r>
      <rPr>
        <sz val="10"/>
        <rFont val="Verdana"/>
        <family val="2"/>
        <charset val="186"/>
      </rPr>
      <t xml:space="preserve"> valdomi pensijų fondai pradėjo veiklą 2018-03-01, tačiau dėl 2019 m. sausio mėnesį įsigaliojusios pensijų pertvark</t>
    </r>
    <r>
      <rPr>
        <sz val="10"/>
        <rFont val="Verdana"/>
        <family val="2"/>
      </rPr>
      <t>os paga</t>
    </r>
    <r>
      <rPr>
        <sz val="10"/>
        <rFont val="Verdana"/>
        <family val="2"/>
        <charset val="186"/>
      </rPr>
      <t>l galiojančius teisės aktus buvo įsteigti iš naujo, todėl jų rezultatai skaičiuojami nuo 2019 m. sausio 1 d. (kaip ir visų II pakopos pensijų fondų).</t>
    </r>
  </si>
  <si>
    <r>
      <rPr>
        <b/>
        <u/>
        <sz val="10"/>
        <rFont val="Verdana"/>
        <family val="2"/>
        <charset val="186"/>
      </rPr>
      <t>Pastaba:</t>
    </r>
    <r>
      <rPr>
        <b/>
        <sz val="10"/>
        <rFont val="Verdana"/>
        <family val="2"/>
        <charset val="186"/>
      </rPr>
      <t xml:space="preserve"> </t>
    </r>
    <r>
      <rPr>
        <sz val="10"/>
        <rFont val="Verdana"/>
        <family val="2"/>
        <charset val="186"/>
      </rPr>
      <t>praeities rezultatai negarantuoja, kad tokie patys ar panašūs rezultatai bus ir ateityje. Įtakos 2019 m. pirmojo pusmečio pensijų fondų rezultatams galėjo turėti skirtingu laiku vykdytas turto perkėlimas į tikslinės grupės ir turto išsaugojimo pensijų fondus bei skirtingas fondų dydis nagrinėjamu laikotarpiu.</t>
    </r>
  </si>
  <si>
    <t>Kuo pensijų fondas paveiksle vaizduojamas aukščiau, tuo jo uždirbama grąža yra didesnė. Kuo žemiau – tuo grąža mažesnė.</t>
  </si>
  <si>
    <t>Dešiniau pavaizduoti pensijų fondai prisiima didesnę riziką (jų vieneto vertės svyruoja daugiau). Kairiau – mažesnę (jų vieneto vertės svyruoja mažiau).</t>
  </si>
  <si>
    <t>Dalyvių skaičiaus, grąžos ir fondo turto palyginimas</t>
  </si>
  <si>
    <t>Kuo pensijų fondas paveiksle pavaizduotas aukščiau, tuo jo uždirbama grąža yra didesnė. Kuo žemiau – tuo grąža mažesnė.</t>
  </si>
  <si>
    <t>Dešiniau pavaizduoti pensijų fondai turi daugiau dalyvių. Kairiau – mažiau.</t>
  </si>
  <si>
    <t>Kuo didesnis fondą vaizduojančio skritulio dydis – tuo fondas turi daugiau turto. Kuo mažesnis – mažiau.</t>
  </si>
  <si>
    <t>Visų pensijų fondų svertinis vidurkis****:</t>
  </si>
  <si>
    <t>UAB „SEB investicijų valdymas“</t>
  </si>
  <si>
    <t>UAB „INVL Asset Management“</t>
  </si>
  <si>
    <t>UAB „Swedbank investicijų valdymas“</t>
  </si>
  <si>
    <t>**** Svertiniam vidurkiui apskaičiuoti naudotas 2019-06-30 dienos fondų grynųjų aktyvų dydis.</t>
  </si>
  <si>
    <t>Fondo pavadinimas</t>
  </si>
  <si>
    <t>Veiklos laikotarpis, metais</t>
  </si>
  <si>
    <t>Investicijų į akcijas dalis, proc.</t>
  </si>
  <si>
    <t>FONDŲ GRĄŽA</t>
  </si>
  <si>
    <t>LYGINAMOJO INDEKSO GRĄŽA***</t>
  </si>
  <si>
    <t>RIZIKOS RODIKLIAI</t>
  </si>
  <si>
    <t>grąža* nuo metų pradžios, proc.</t>
  </si>
  <si>
    <t>vidutinė metinė grąža** per praėjusius 3 metus, proc.</t>
  </si>
  <si>
    <t>vidutinė metinė grąža** per praėjusius 5 metus, proc.</t>
  </si>
  <si>
    <t>vidutinė metinė grąža** per praėjusius 10 metų, proc.</t>
  </si>
  <si>
    <t>vidutinė metinė lyginamojo indekso grąža per praėjusius 3 metus, proc.</t>
  </si>
  <si>
    <t>vidutinė metinė lyginamojo indekso grąža per praėjusius 5 metus, proc.</t>
  </si>
  <si>
    <t>standartinis nuokrypis**** per praėjusius 5 metus, proc.</t>
  </si>
  <si>
    <t>standartinis nuokrypis**** per praėjusius 10 metų, proc.</t>
  </si>
  <si>
    <t xml:space="preserve"> KONSERVATYVAUS INVESTAVIMO PENSIJŲ FONDAI</t>
  </si>
  <si>
    <t>Aviva Europensija********</t>
  </si>
  <si>
    <t>Swedbank Pensija 1*********</t>
  </si>
  <si>
    <t>Luminor pensija 1*******</t>
  </si>
  <si>
    <t>INVL STABILO II 58+*****</t>
  </si>
  <si>
    <t>SEB pensija 1******</t>
  </si>
  <si>
    <t>Swedbank Pensijų išmokų fondas*********</t>
  </si>
  <si>
    <t>MAŽOS AKCIJŲ DALIES PENSIJŲ FONDAI (IKI 30 PROC.)</t>
  </si>
  <si>
    <t>Aviva Europensija plius********</t>
  </si>
  <si>
    <t>iki 30</t>
  </si>
  <si>
    <t>Luminor pensija 2*******</t>
  </si>
  <si>
    <t>iki 25</t>
  </si>
  <si>
    <t>INVL MEZZO II 53+*****</t>
  </si>
  <si>
    <t>Swedbank Pensija 2*********</t>
  </si>
  <si>
    <t>VIDUTINĖS AKCIJŲ DALIES PENSIJŲ FONDAI (IKI 70 PROC.)</t>
  </si>
  <si>
    <t>Aviva Europensija ekstra********</t>
  </si>
  <si>
    <t>iki 65</t>
  </si>
  <si>
    <t>Luminor pensija 3*******</t>
  </si>
  <si>
    <t>iki 50</t>
  </si>
  <si>
    <t>INVL MEDIO II 47+ *****</t>
  </si>
  <si>
    <t>iki 70</t>
  </si>
  <si>
    <t>SEB pensija 2******</t>
  </si>
  <si>
    <t>20–60</t>
  </si>
  <si>
    <t>Swedbank Pensija 3*********</t>
  </si>
  <si>
    <t>Swedbank Pensija 4*********</t>
  </si>
  <si>
    <t>AKCIJŲ PENSIJŲ FONDAI (IKI 100 PROC.)</t>
  </si>
  <si>
    <t>Luminor pensija 4*******</t>
  </si>
  <si>
    <t>iki 100</t>
  </si>
  <si>
    <t>-</t>
  </si>
  <si>
    <t>INVL EXTREMO II 16+*****</t>
  </si>
  <si>
    <t>SEB pensija 3******</t>
  </si>
  <si>
    <t>60–100</t>
  </si>
  <si>
    <t>Swedbank Pensija 5*********</t>
  </si>
  <si>
    <r>
      <t>Pastaba:</t>
    </r>
    <r>
      <rPr>
        <sz val="10"/>
        <rFont val="Verdana"/>
        <family val="2"/>
        <charset val="186"/>
      </rPr>
      <t xml:space="preserve"> praeities rezultatai negarantuoja, kad tokie patys ar panašūs rezultatai bus ir ateityje.</t>
    </r>
  </si>
  <si>
    <t>* Apskaitos vieneto vertės pokytis.</t>
  </si>
  <si>
    <t>** Apskaičiuota remiantis apskaitos vieneto vertės pokyčiu per nurodytą laikotarpį. Vidutinė metinė grąža gauta taikant geometrinį vidurkį.</t>
  </si>
  <si>
    <t xml:space="preserve">***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</si>
  <si>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 xml:space="preserve">**** Rodikliui apskaičiuoti naudoti mėnesiniai apskaitos vieneto verčių pokyčiai, rezultatas perskaičiuotas į metinį.  Standartinis nuokrypis parodo, kaip intensyviai per laikotarpį svyruoja fondo investicinio vieneto vertė. Kuo šis rodiklis didesnis, tuo didesnė rizika. </t>
  </si>
  <si>
    <r>
      <t>*****</t>
    </r>
    <r>
      <rPr>
        <b/>
        <sz val="10"/>
        <rFont val="Verdana"/>
        <family val="2"/>
        <charset val="186"/>
      </rPr>
      <t xml:space="preserve"> UAB „INVL Asset Management“</t>
    </r>
    <r>
      <rPr>
        <sz val="10"/>
        <rFont val="Verdana"/>
        <family val="2"/>
        <charset val="186"/>
      </rPr>
      <t xml:space="preserve"> 2019-02-01 atliko šių fondų dalyvių ir turto perkėlimą į naujuosius tikslinės grupės pensijų fondus. Šie pensijų fondai veikė iki 2019 m. sausio 31 d. Visi rodikliai apskaičiuoti pagal sausio 31 d. pabaigos duomenis.</t>
    </r>
  </si>
  <si>
    <r>
      <t>******</t>
    </r>
    <r>
      <rPr>
        <b/>
        <sz val="10"/>
        <rFont val="Verdana"/>
        <family val="2"/>
        <charset val="186"/>
      </rPr>
      <t xml:space="preserve"> UAB „SEB investicijų valdymas“</t>
    </r>
    <r>
      <rPr>
        <sz val="10"/>
        <rFont val="Verdana"/>
        <family val="2"/>
        <charset val="186"/>
      </rPr>
      <t xml:space="preserve"> 2019-04-11 atliko šių fondų dalyvių ir turto perkėlimą į naujuosius tikslinės grupės pensijų fondus. Šie pensijų fondai veikė iki 2019 m. balandžio 10 d. Visi rodikliai apskaičiuoti pagal balandžio 10 d. pabaigos duomenis.</t>
    </r>
  </si>
  <si>
    <r>
      <t xml:space="preserve">******* </t>
    </r>
    <r>
      <rPr>
        <b/>
        <sz val="10"/>
        <rFont val="Verdana"/>
        <family val="2"/>
        <charset val="186"/>
      </rPr>
      <t>Luminor investicijų valdymas UAB</t>
    </r>
    <r>
      <rPr>
        <sz val="10"/>
        <rFont val="Verdana"/>
        <family val="2"/>
        <charset val="186"/>
      </rPr>
      <t xml:space="preserve"> 2019-04-12 atliko šių fondų dalyvių ir turto perkėlimą į naujuosius tikslinės grupės pensijų fondus. Šie pensijų fondai veikė iki 2019 m. balandžio 11 d. Visi rodikliai apskaičiuoti pagal balandžio 11 d. pabaigos duomenis.</t>
    </r>
  </si>
  <si>
    <r>
      <t xml:space="preserve">******** </t>
    </r>
    <r>
      <rPr>
        <b/>
        <sz val="10"/>
        <rFont val="Verdana"/>
        <family val="2"/>
        <charset val="186"/>
      </rPr>
      <t xml:space="preserve">UAGDPB „Aviva Lietuva“ </t>
    </r>
    <r>
      <rPr>
        <sz val="10"/>
        <rFont val="Verdana"/>
        <family val="2"/>
        <charset val="186"/>
      </rPr>
      <t>2019-05-15 atliko šių fondų dalyvių ir turto perkėlimą į naujuosius tikslinės grupės pensijų fondus. Šie pensijų fondai veikė iki 2019 m. gegužės 14 d. Visi rodikliai apskaičiuoti pagal gegužės 14 d. pabaigos duomenis.</t>
    </r>
  </si>
  <si>
    <r>
      <t>*********</t>
    </r>
    <r>
      <rPr>
        <b/>
        <sz val="10"/>
        <rFont val="Verdana"/>
        <family val="2"/>
        <charset val="186"/>
      </rPr>
      <t xml:space="preserve"> UAB „Swedbank investicijų valdymas“ </t>
    </r>
    <r>
      <rPr>
        <sz val="10"/>
        <rFont val="Verdana"/>
        <family val="2"/>
        <charset val="186"/>
      </rPr>
      <t>2019-05-16 atliko šių fondų dalyvių ir turto perkėlimą į naujuosius tikslinės grupės pensijų fondus. Šie pensijų fondai veikė iki 2019 m. gegužės 15 d. Visi rodikliai apskaičiuoti pagal gegužės 15 d. pabaigos duomenis.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</si>
</sst>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\ _€_-;\-* #,##0\ _€_-;_-* &quot;-&quot;??\ _€_-;_-@_-"/>
    <numFmt numFmtId="165" formatCode="0.00_ ;[Red]\-0.00\ 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sz val="10"/>
      <color theme="1"/>
      <name val="Verdana"/>
      <family val="2"/>
      <charset val="186"/>
    </font>
    <font>
      <u/>
      <sz val="11"/>
      <color theme="10"/>
      <name val="Calibri"/>
      <family val="2"/>
      <scheme val="minor"/>
    </font>
    <font>
      <sz val="9"/>
      <color theme="1"/>
      <name val="Verdana"/>
      <family val="2"/>
      <charset val="186"/>
    </font>
    <font>
      <u/>
      <sz val="12"/>
      <color theme="10"/>
      <name val="Verdana"/>
      <family val="2"/>
      <charset val="186"/>
    </font>
    <font>
      <b/>
      <sz val="9"/>
      <color rgb="FFC00000"/>
      <name val="Verdana"/>
      <family val="2"/>
      <charset val="186"/>
    </font>
    <font>
      <sz val="9"/>
      <name val="Verdana"/>
      <family val="2"/>
      <charset val="186"/>
    </font>
    <font>
      <sz val="9"/>
      <color theme="0" tint="-0.499984740745262"/>
      <name val="Verdana"/>
      <family val="2"/>
      <charset val="186"/>
    </font>
    <font>
      <sz val="10"/>
      <name val="Arial"/>
      <family val="2"/>
      <charset val="186"/>
    </font>
    <font>
      <b/>
      <sz val="9"/>
      <name val="Verdana"/>
      <family val="2"/>
      <charset val="186"/>
    </font>
    <font>
      <sz val="12"/>
      <color theme="1"/>
      <name val="Verdana"/>
      <family val="2"/>
      <charset val="186"/>
    </font>
    <font>
      <sz val="12"/>
      <color theme="1"/>
      <name val="Calibri"/>
      <family val="2"/>
      <scheme val="minor"/>
    </font>
    <font>
      <b/>
      <i/>
      <u/>
      <sz val="10"/>
      <color rgb="FFFF0000"/>
      <name val="Verdana"/>
      <family val="2"/>
      <charset val="186"/>
    </font>
    <font>
      <b/>
      <sz val="10"/>
      <name val="Verdana"/>
      <family val="2"/>
      <charset val="186"/>
    </font>
    <font>
      <b/>
      <sz val="11"/>
      <color rgb="FFFF0000"/>
      <name val="Verdana"/>
      <family val="2"/>
      <charset val="186"/>
    </font>
    <font>
      <b/>
      <sz val="10"/>
      <color rgb="FFFF0000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name val="Verdana"/>
      <family val="2"/>
    </font>
    <font>
      <b/>
      <u/>
      <sz val="10"/>
      <color theme="0"/>
      <name val="Verdana"/>
      <family val="2"/>
      <charset val="186"/>
    </font>
    <font>
      <sz val="9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color theme="0"/>
      <name val="Verdana"/>
      <family val="2"/>
    </font>
    <font>
      <b/>
      <u/>
      <sz val="11"/>
      <color theme="1"/>
      <name val="Verdana"/>
      <family val="2"/>
      <charset val="186"/>
    </font>
    <font>
      <b/>
      <sz val="11"/>
      <name val="Verdana"/>
      <family val="2"/>
      <charset val="186"/>
    </font>
    <font>
      <sz val="10"/>
      <name val="Verdana"/>
      <family val="2"/>
      <charset val="186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Verdana"/>
      <family val="2"/>
      <charset val="186"/>
    </font>
    <font>
      <sz val="11"/>
      <name val="Verdana"/>
      <family val="2"/>
      <charset val="186"/>
    </font>
    <font>
      <sz val="9"/>
      <color indexed="8"/>
      <name val="Verdana"/>
      <family val="2"/>
      <charset val="186"/>
    </font>
    <font>
      <sz val="10"/>
      <color indexed="8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 tint="-0.249977111117893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1" fillId="0" borderId="0"/>
    <xf numFmtId="0" fontId="1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10" fontId="0" fillId="0" borderId="0" xfId="0" applyNumberFormat="1"/>
    <xf numFmtId="0" fontId="0" fillId="0" borderId="0" xfId="0" applyFill="1"/>
    <xf numFmtId="0" fontId="2" fillId="0" borderId="0" xfId="0" applyFont="1"/>
    <xf numFmtId="10" fontId="2" fillId="0" borderId="0" xfId="0" applyNumberFormat="1" applyFont="1" applyFill="1"/>
    <xf numFmtId="0" fontId="2" fillId="0" borderId="0" xfId="0" applyFont="1" applyFill="1"/>
    <xf numFmtId="0" fontId="6" fillId="0" borderId="0" xfId="0" applyFont="1"/>
    <xf numFmtId="2" fontId="6" fillId="0" borderId="0" xfId="0" applyNumberFormat="1" applyFont="1" applyBorder="1"/>
    <xf numFmtId="164" fontId="6" fillId="0" borderId="0" xfId="1" applyNumberFormat="1" applyFont="1" applyBorder="1"/>
    <xf numFmtId="165" fontId="6" fillId="0" borderId="0" xfId="0" applyNumberFormat="1" applyFont="1" applyBorder="1" applyAlignment="1">
      <alignment horizontal="center"/>
    </xf>
    <xf numFmtId="165" fontId="10" fillId="0" borderId="0" xfId="0" applyNumberFormat="1" applyFont="1" applyBorder="1" applyAlignment="1">
      <alignment horizontal="center"/>
    </xf>
    <xf numFmtId="0" fontId="6" fillId="0" borderId="0" xfId="0" applyFont="1" applyFill="1"/>
    <xf numFmtId="165" fontId="6" fillId="0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center"/>
    </xf>
    <xf numFmtId="0" fontId="12" fillId="2" borderId="0" xfId="4" applyFont="1" applyFill="1" applyAlignment="1"/>
    <xf numFmtId="0" fontId="14" fillId="0" borderId="0" xfId="0" applyFont="1"/>
    <xf numFmtId="14" fontId="14" fillId="0" borderId="0" xfId="0" applyNumberFormat="1" applyFont="1"/>
    <xf numFmtId="0" fontId="13" fillId="0" borderId="0" xfId="0" applyFont="1" applyAlignment="1"/>
    <xf numFmtId="0" fontId="14" fillId="0" borderId="0" xfId="0" applyFont="1" applyAlignment="1"/>
    <xf numFmtId="0" fontId="17" fillId="0" borderId="0" xfId="0" applyFont="1"/>
    <xf numFmtId="9" fontId="8" fillId="0" borderId="0" xfId="2" applyFont="1" applyFill="1" applyBorder="1"/>
    <xf numFmtId="43" fontId="6" fillId="0" borderId="0" xfId="1" applyNumberFormat="1" applyFont="1" applyFill="1" applyBorder="1"/>
    <xf numFmtId="0" fontId="6" fillId="0" borderId="0" xfId="0" applyFont="1" applyBorder="1"/>
    <xf numFmtId="0" fontId="9" fillId="0" borderId="0" xfId="0" applyFont="1" applyBorder="1"/>
    <xf numFmtId="0" fontId="19" fillId="3" borderId="1" xfId="0" applyFont="1" applyFill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left" wrapText="1"/>
    </xf>
    <xf numFmtId="0" fontId="18" fillId="0" borderId="0" xfId="0" applyFont="1" applyBorder="1"/>
    <xf numFmtId="14" fontId="15" fillId="0" borderId="0" xfId="0" applyNumberFormat="1" applyFont="1" applyBorder="1" applyAlignment="1">
      <alignment horizontal="left"/>
    </xf>
    <xf numFmtId="0" fontId="21" fillId="3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left"/>
    </xf>
    <xf numFmtId="0" fontId="21" fillId="3" borderId="1" xfId="3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wrapText="1"/>
    </xf>
    <xf numFmtId="2" fontId="23" fillId="0" borderId="6" xfId="0" applyNumberFormat="1" applyFont="1" applyFill="1" applyBorder="1" applyAlignment="1">
      <alignment horizontal="center" vertical="center"/>
    </xf>
    <xf numFmtId="1" fontId="23" fillId="0" borderId="6" xfId="0" applyNumberFormat="1" applyFont="1" applyFill="1" applyBorder="1" applyAlignment="1">
      <alignment horizontal="center" vertical="center"/>
    </xf>
    <xf numFmtId="164" fontId="23" fillId="0" borderId="6" xfId="1" applyNumberFormat="1" applyFont="1" applyFill="1" applyBorder="1" applyAlignment="1">
      <alignment horizontal="center" vertical="center"/>
    </xf>
    <xf numFmtId="2" fontId="23" fillId="0" borderId="6" xfId="0" applyNumberFormat="1" applyFont="1" applyFill="1" applyBorder="1" applyAlignment="1">
      <alignment horizontal="center" vertical="center" wrapText="1"/>
    </xf>
    <xf numFmtId="0" fontId="19" fillId="3" borderId="0" xfId="0" applyFont="1" applyFill="1" applyAlignment="1">
      <alignment vertical="center"/>
    </xf>
    <xf numFmtId="9" fontId="19" fillId="3" borderId="0" xfId="2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horizontal="right" vertical="center"/>
    </xf>
    <xf numFmtId="2" fontId="19" fillId="3" borderId="0" xfId="0" applyNumberFormat="1" applyFont="1" applyFill="1" applyAlignment="1">
      <alignment vertical="center" wrapText="1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wrapText="1"/>
    </xf>
    <xf numFmtId="2" fontId="2" fillId="0" borderId="0" xfId="0" applyNumberFormat="1" applyFont="1" applyFill="1" applyBorder="1" applyAlignment="1">
      <alignment horizontal="center"/>
    </xf>
    <xf numFmtId="0" fontId="27" fillId="0" borderId="0" xfId="0" applyFont="1" applyFill="1" applyBorder="1" applyAlignment="1">
      <alignment horizontal="right"/>
    </xf>
    <xf numFmtId="2" fontId="3" fillId="0" borderId="0" xfId="0" applyNumberFormat="1" applyFont="1" applyFill="1" applyAlignment="1">
      <alignment wrapText="1"/>
    </xf>
    <xf numFmtId="0" fontId="0" fillId="0" borderId="0" xfId="0" applyFont="1" applyBorder="1" applyAlignment="1"/>
    <xf numFmtId="9" fontId="0" fillId="0" borderId="0" xfId="2" applyFont="1"/>
    <xf numFmtId="0" fontId="28" fillId="2" borderId="0" xfId="4" applyFont="1" applyFill="1" applyBorder="1" applyAlignment="1"/>
    <xf numFmtId="0" fontId="30" fillId="0" borderId="0" xfId="0" applyFont="1" applyBorder="1"/>
    <xf numFmtId="0" fontId="28" fillId="0" borderId="0" xfId="0" applyFont="1" applyBorder="1"/>
    <xf numFmtId="0" fontId="28" fillId="0" borderId="0" xfId="0" applyFont="1" applyBorder="1" applyAlignment="1"/>
    <xf numFmtId="0" fontId="9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28" fillId="2" borderId="0" xfId="4" applyFont="1" applyFill="1" applyAlignment="1"/>
    <xf numFmtId="0" fontId="23" fillId="0" borderId="0" xfId="0" applyFont="1"/>
    <xf numFmtId="0" fontId="29" fillId="0" borderId="0" xfId="0" applyFont="1"/>
    <xf numFmtId="0" fontId="23" fillId="0" borderId="0" xfId="0" applyFont="1" applyAlignment="1"/>
    <xf numFmtId="1" fontId="4" fillId="0" borderId="6" xfId="0" applyNumberFormat="1" applyFont="1" applyFill="1" applyBorder="1" applyAlignment="1">
      <alignment horizontal="center" vertical="center"/>
    </xf>
    <xf numFmtId="0" fontId="7" fillId="0" borderId="0" xfId="3" applyFont="1" applyAlignment="1">
      <alignment vertical="top"/>
    </xf>
    <xf numFmtId="1" fontId="28" fillId="0" borderId="6" xfId="0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wrapText="1"/>
    </xf>
    <xf numFmtId="0" fontId="12" fillId="2" borderId="0" xfId="0" applyFont="1" applyFill="1"/>
    <xf numFmtId="3" fontId="33" fillId="2" borderId="0" xfId="0" applyNumberFormat="1" applyFont="1" applyFill="1" applyAlignment="1">
      <alignment horizontal="center"/>
    </xf>
    <xf numFmtId="0" fontId="9" fillId="2" borderId="0" xfId="0" applyFont="1" applyFill="1"/>
    <xf numFmtId="0" fontId="19" fillId="3" borderId="2" xfId="0" applyFont="1" applyFill="1" applyBorder="1" applyAlignment="1">
      <alignment horizontal="left" vertical="center" wrapText="1"/>
    </xf>
    <xf numFmtId="0" fontId="23" fillId="0" borderId="10" xfId="0" applyFont="1" applyFill="1" applyBorder="1" applyAlignment="1">
      <alignment wrapText="1"/>
    </xf>
    <xf numFmtId="0" fontId="16" fillId="2" borderId="0" xfId="4" applyFont="1" applyFill="1" applyAlignment="1"/>
    <xf numFmtId="0" fontId="28" fillId="2" borderId="0" xfId="0" applyFont="1" applyFill="1"/>
    <xf numFmtId="3" fontId="34" fillId="2" borderId="0" xfId="0" applyNumberFormat="1" applyFont="1" applyFill="1" applyAlignment="1">
      <alignment horizontal="center"/>
    </xf>
    <xf numFmtId="4" fontId="33" fillId="2" borderId="0" xfId="0" applyNumberFormat="1" applyFont="1" applyFill="1" applyAlignment="1">
      <alignment horizontal="center"/>
    </xf>
    <xf numFmtId="0" fontId="26" fillId="0" borderId="7" xfId="0" applyFont="1" applyFill="1" applyBorder="1" applyAlignment="1">
      <alignment horizontal="left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19" fillId="3" borderId="3" xfId="0" applyFont="1" applyFill="1" applyBorder="1" applyAlignment="1">
      <alignment horizontal="center" wrapText="1"/>
    </xf>
    <xf numFmtId="0" fontId="19" fillId="3" borderId="4" xfId="0" applyFont="1" applyFill="1" applyBorder="1" applyAlignment="1">
      <alignment horizontal="center" wrapText="1"/>
    </xf>
    <xf numFmtId="0" fontId="19" fillId="3" borderId="2" xfId="0" applyFont="1" applyFill="1" applyBorder="1" applyAlignment="1">
      <alignment horizontal="left" vertical="center" wrapText="1"/>
    </xf>
    <xf numFmtId="0" fontId="19" fillId="3" borderId="9" xfId="0" applyFont="1" applyFill="1" applyBorder="1" applyAlignment="1">
      <alignment horizontal="left" vertical="center" wrapText="1"/>
    </xf>
    <xf numFmtId="0" fontId="19" fillId="3" borderId="8" xfId="0" applyFont="1" applyFill="1" applyBorder="1" applyAlignment="1">
      <alignment horizontal="center" wrapText="1"/>
    </xf>
    <xf numFmtId="0" fontId="19" fillId="3" borderId="8" xfId="0" applyFont="1" applyFill="1" applyBorder="1" applyAlignment="1">
      <alignment horizontal="center" vertical="center" wrapText="1"/>
    </xf>
  </cellXfs>
  <cellStyles count="7">
    <cellStyle name="Comma" xfId="1" builtinId="3"/>
    <cellStyle name="Hyperlink" xfId="3" builtinId="8"/>
    <cellStyle name="Normal" xfId="0" builtinId="0"/>
    <cellStyle name="Normal 2" xfId="5"/>
    <cellStyle name="Normal 3" xfId="4"/>
    <cellStyle name="Percent" xfId="2" builtinId="5"/>
    <cellStyle name="Percent 2" xfId="6"/>
  </cellStyles>
  <dxfs count="81"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b/>
        <i val="0"/>
        <color rgb="FF00B050"/>
      </font>
    </dxf>
  </dxfs>
  <tableStyles count="0" defaultTableStyle="TableStyleMedium2" defaultPivotStyle="PivotStyleMedium9"/>
  <colors>
    <mruColors>
      <color rgb="FF00B07D"/>
      <color rgb="FF903F98"/>
      <color rgb="FFFCAF17"/>
      <color rgb="FFCCFFCC"/>
      <color rgb="FF66FF99"/>
      <color rgb="FFBDFFBD"/>
      <color rgb="FF66FFCC"/>
      <color rgb="FFFFFFD5"/>
      <color rgb="FFC877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'1996-2002'!$C$29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0.13646616137392217"/>
                  <c:y val="-4.975123403626865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LMN-96/02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0.11516291713535808"/>
                  <c:y val="-3.665523357453356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INV-96/02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5.9273181202814676E-2"/>
                  <c:y val="-4.97512340362686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SBN-96/02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-2.5074990626171729E-4"/>
                  <c:y val="1.63514624515697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SWD-96/02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6.2030073351782802E-2"/>
                  <c:y val="4.7263672334455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AVI-96/02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'1996-2002'!$B$30:$B$34</c:f>
              <c:numCache>
                <c:formatCode>0.00</c:formatCode>
                <c:ptCount val="5"/>
                <c:pt idx="0">
                  <c:v>8.6030399463350342</c:v>
                </c:pt>
                <c:pt idx="1">
                  <c:v>11.588044289182836</c:v>
                </c:pt>
                <c:pt idx="2">
                  <c:v>12.889462678482728</c:v>
                </c:pt>
                <c:pt idx="3">
                  <c:v>12.576962887458865</c:v>
                </c:pt>
                <c:pt idx="4">
                  <c:v>12.262372416580822</c:v>
                </c:pt>
              </c:numCache>
            </c:numRef>
          </c:xVal>
          <c:yVal>
            <c:numRef>
              <c:f>'1996-2002'!$C$30:$C$34</c:f>
              <c:numCache>
                <c:formatCode>0.00</c:formatCode>
                <c:ptCount val="5"/>
                <c:pt idx="0">
                  <c:v>12.78999999999999</c:v>
                </c:pt>
                <c:pt idx="1">
                  <c:v>11.660000000000004</c:v>
                </c:pt>
                <c:pt idx="2">
                  <c:v>14.290000000000003</c:v>
                </c:pt>
                <c:pt idx="3">
                  <c:v>12.802945086409645</c:v>
                </c:pt>
                <c:pt idx="4">
                  <c:v>9.430000000000005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16608"/>
        <c:axId val="195517184"/>
      </c:scatterChart>
      <c:valAx>
        <c:axId val="195516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algn="ctr" rtl="0"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  <a:p>
                <a:pPr algn="ctr" rtl="0">
                  <a:defRPr/>
                </a:pPr>
                <a:endParaRPr lang="lt-LT"/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5517184"/>
        <c:crosses val="autoZero"/>
        <c:crossBetween val="midCat"/>
      </c:valAx>
      <c:valAx>
        <c:axId val="195517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19551660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'1996-2002'!$C$59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-3.5483870066449832E-3"/>
                  <c:y val="-3.009259259259259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LMN-96/02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4.7311826755266446E-3"/>
                  <c:y val="6.944444444444402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INV-96/02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0"/>
                  <c:y val="-2.3148143928961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SBN-96/02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SWD-96/02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1.1827956688816612E-3"/>
                  <c:y val="3.009258710765035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AVI-96/02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'1996-2002'!$B$60:$B$64</c:f>
              <c:numCache>
                <c:formatCode>0.00</c:formatCode>
                <c:ptCount val="5"/>
                <c:pt idx="0">
                  <c:v>2.6890000000000001</c:v>
                </c:pt>
                <c:pt idx="1">
                  <c:v>5.3159999999999998</c:v>
                </c:pt>
                <c:pt idx="2">
                  <c:v>8.548</c:v>
                </c:pt>
                <c:pt idx="3">
                  <c:v>23.518999999999998</c:v>
                </c:pt>
                <c:pt idx="4">
                  <c:v>8.6560000000000006</c:v>
                </c:pt>
              </c:numCache>
            </c:numRef>
          </c:xVal>
          <c:yVal>
            <c:numRef>
              <c:f>'1996-2002'!$C$60:$C$64</c:f>
              <c:numCache>
                <c:formatCode>0.00</c:formatCode>
                <c:ptCount val="5"/>
                <c:pt idx="0">
                  <c:v>12.78999999999999</c:v>
                </c:pt>
                <c:pt idx="1">
                  <c:v>11.660000000000004</c:v>
                </c:pt>
                <c:pt idx="2">
                  <c:v>14.290000000000003</c:v>
                </c:pt>
                <c:pt idx="3">
                  <c:v>12.802945086409645</c:v>
                </c:pt>
                <c:pt idx="4">
                  <c:v>9.430000000000005</c:v>
                </c:pt>
              </c:numCache>
            </c:numRef>
          </c:yVal>
          <c:bubbleSize>
            <c:numRef>
              <c:f>'1996-2002'!$D$60:$D$64</c:f>
              <c:numCache>
                <c:formatCode>0.00</c:formatCode>
                <c:ptCount val="5"/>
                <c:pt idx="0">
                  <c:v>1.3573504828</c:v>
                </c:pt>
                <c:pt idx="1">
                  <c:v>3.5362719261</c:v>
                </c:pt>
                <c:pt idx="2">
                  <c:v>4.7351962599999995</c:v>
                </c:pt>
                <c:pt idx="3">
                  <c:v>10.60289506</c:v>
                </c:pt>
                <c:pt idx="4">
                  <c:v>3.61481969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96173824"/>
        <c:axId val="196174400"/>
      </c:bubbleChart>
      <c:valAx>
        <c:axId val="19617382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6174400"/>
        <c:crosses val="autoZero"/>
        <c:crossBetween val="midCat"/>
      </c:valAx>
      <c:valAx>
        <c:axId val="1961744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9617382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'1989-1995'!$C$29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0.13646616137392217"/>
                  <c:y val="-4.975123403626865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LMN-89/95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0.10665584831131092"/>
                  <c:y val="3.23028072457057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INV-89/95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0.10682040479501921"/>
                  <c:y val="-4.02400031904561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SBN-89/95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-2.712134638896033E-3"/>
                  <c:y val="9.217684788545191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SWD-89/95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6.2030073351782802E-2"/>
                  <c:y val="4.7263672334455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AVI-89/95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'1989-1995'!$B$30:$B$34</c:f>
              <c:numCache>
                <c:formatCode>0.00</c:formatCode>
                <c:ptCount val="5"/>
                <c:pt idx="0">
                  <c:v>8.7581059577848581</c:v>
                </c:pt>
                <c:pt idx="1">
                  <c:v>11.781969395224579</c:v>
                </c:pt>
                <c:pt idx="2">
                  <c:v>12.543168790752288</c:v>
                </c:pt>
                <c:pt idx="3">
                  <c:v>12.546812382983319</c:v>
                </c:pt>
                <c:pt idx="4">
                  <c:v>11.924714202169685</c:v>
                </c:pt>
              </c:numCache>
            </c:numRef>
          </c:xVal>
          <c:yVal>
            <c:numRef>
              <c:f>'1989-1995'!$C$30:$C$34</c:f>
              <c:numCache>
                <c:formatCode>0.00</c:formatCode>
                <c:ptCount val="5"/>
                <c:pt idx="0">
                  <c:v>12.850000000000005</c:v>
                </c:pt>
                <c:pt idx="1">
                  <c:v>11.850000000000005</c:v>
                </c:pt>
                <c:pt idx="2">
                  <c:v>13.62000000000001</c:v>
                </c:pt>
                <c:pt idx="3">
                  <c:v>13.158708879034741</c:v>
                </c:pt>
                <c:pt idx="4">
                  <c:v>7.8300000000000036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76128"/>
        <c:axId val="196176704"/>
      </c:scatterChart>
      <c:valAx>
        <c:axId val="196176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6176704"/>
        <c:crosses val="autoZero"/>
        <c:crossBetween val="midCat"/>
      </c:valAx>
      <c:valAx>
        <c:axId val="196176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19617612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'1989-1995'!$C$59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-3.0859068407800821E-2"/>
                  <c:y val="-8.56483148060085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LMN-89/95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7.6938448635277224E-3"/>
                  <c:y val="4.62962878579236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INV-89/95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-1.5387689727055525E-2"/>
                  <c:y val="-7.17592461797816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SBN-89/95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SWD-89/95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1.1074895901586678E-2"/>
                  <c:y val="6.249998860819688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AVI-89/95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'1989-1995'!$B$60:$B$64</c:f>
              <c:numCache>
                <c:formatCode>0.00</c:formatCode>
                <c:ptCount val="5"/>
                <c:pt idx="0">
                  <c:v>14.053000000000001</c:v>
                </c:pt>
                <c:pt idx="1">
                  <c:v>25.922000000000001</c:v>
                </c:pt>
                <c:pt idx="2">
                  <c:v>33.709000000000003</c:v>
                </c:pt>
                <c:pt idx="3">
                  <c:v>80.281999999999996</c:v>
                </c:pt>
                <c:pt idx="4">
                  <c:v>27.117000000000001</c:v>
                </c:pt>
              </c:numCache>
            </c:numRef>
          </c:xVal>
          <c:yVal>
            <c:numRef>
              <c:f>'1989-1995'!$C$60:$C$64</c:f>
              <c:numCache>
                <c:formatCode>0.00</c:formatCode>
                <c:ptCount val="5"/>
                <c:pt idx="0">
                  <c:v>12.850000000000005</c:v>
                </c:pt>
                <c:pt idx="1">
                  <c:v>11.850000000000005</c:v>
                </c:pt>
                <c:pt idx="2">
                  <c:v>13.62000000000001</c:v>
                </c:pt>
                <c:pt idx="3">
                  <c:v>13.158708879034741</c:v>
                </c:pt>
                <c:pt idx="4">
                  <c:v>7.8300000000000036</c:v>
                </c:pt>
              </c:numCache>
            </c:numRef>
          </c:yVal>
          <c:bubbleSize>
            <c:numRef>
              <c:f>'1989-1995'!$D$60:$D$64</c:f>
              <c:numCache>
                <c:formatCode>0.00</c:formatCode>
                <c:ptCount val="5"/>
                <c:pt idx="0">
                  <c:v>17.913148798999998</c:v>
                </c:pt>
                <c:pt idx="1">
                  <c:v>36.573120238399994</c:v>
                </c:pt>
                <c:pt idx="2">
                  <c:v>43.291193219999997</c:v>
                </c:pt>
                <c:pt idx="3">
                  <c:v>98.302401189999998</c:v>
                </c:pt>
                <c:pt idx="4">
                  <c:v>31.284284260000003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96178432"/>
        <c:axId val="196179008"/>
      </c:bubbleChart>
      <c:valAx>
        <c:axId val="19617843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6179008"/>
        <c:crosses val="autoZero"/>
        <c:crossBetween val="midCat"/>
      </c:valAx>
      <c:valAx>
        <c:axId val="19617900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9617843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'1982-1988'!$C$29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0.13646616137392217"/>
                  <c:y val="-4.975123403626865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LMN-82/88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0.10126217255497558"/>
                  <c:y val="2.99249493720941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INV-82/88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9.5500687424391037E-2"/>
                  <c:y val="-3.78619524805516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SBN-82/88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-8.3203203168590468E-3"/>
                  <c:y val="2.110718940468970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SWD-82/88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0.10264886379402077"/>
                  <c:y val="-2.169454040673448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AVI-82/88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'1982-1988'!$B$30:$B$34</c:f>
              <c:numCache>
                <c:formatCode>0.00</c:formatCode>
                <c:ptCount val="5"/>
                <c:pt idx="0">
                  <c:v>8.7168219249197918</c:v>
                </c:pt>
                <c:pt idx="1">
                  <c:v>11.539278532626748</c:v>
                </c:pt>
                <c:pt idx="2">
                  <c:v>12.469693619356777</c:v>
                </c:pt>
                <c:pt idx="3">
                  <c:v>12.562915829754795</c:v>
                </c:pt>
                <c:pt idx="4">
                  <c:v>12.010846013277153</c:v>
                </c:pt>
              </c:numCache>
            </c:numRef>
          </c:xVal>
          <c:yVal>
            <c:numRef>
              <c:f>'1982-1988'!$C$30:$C$34</c:f>
              <c:numCache>
                <c:formatCode>0.00</c:formatCode>
                <c:ptCount val="5"/>
                <c:pt idx="0">
                  <c:v>12.559999999999993</c:v>
                </c:pt>
                <c:pt idx="1">
                  <c:v>11.519999999999996</c:v>
                </c:pt>
                <c:pt idx="2">
                  <c:v>13.549999999999995</c:v>
                </c:pt>
                <c:pt idx="3">
                  <c:v>13.25761486835313</c:v>
                </c:pt>
                <c:pt idx="4">
                  <c:v>8.07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80736"/>
        <c:axId val="196181312"/>
      </c:scatterChart>
      <c:valAx>
        <c:axId val="196180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6181312"/>
        <c:crosses val="autoZero"/>
        <c:crossBetween val="midCat"/>
      </c:valAx>
      <c:valAx>
        <c:axId val="196181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1961807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'1982-1988'!$C$59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-3.2829607749493936E-2"/>
                  <c:y val="-9.722220450163962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LMN-82/88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5.4563492915940086E-3"/>
                  <c:y val="-4.16666590721312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INV-82/88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-1.5277778016463224E-2"/>
                  <c:y val="-9.490739010874342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SBN-82/88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layout>
                <c:manualLayout>
                  <c:x val="-4.3650794332752065E-3"/>
                  <c:y val="1.15740719644808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SWD-82/88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1.1827818582486854E-3"/>
                  <c:y val="-2.546295832185807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AVI-82/88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'1982-1988'!$B$60:$B$64</c:f>
              <c:numCache>
                <c:formatCode>0.00</c:formatCode>
                <c:ptCount val="5"/>
                <c:pt idx="0">
                  <c:v>24.695</c:v>
                </c:pt>
                <c:pt idx="1">
                  <c:v>37.323999999999998</c:v>
                </c:pt>
                <c:pt idx="2">
                  <c:v>66.331999999999994</c:v>
                </c:pt>
                <c:pt idx="3">
                  <c:v>100.798</c:v>
                </c:pt>
                <c:pt idx="4">
                  <c:v>41.302999999999997</c:v>
                </c:pt>
              </c:numCache>
            </c:numRef>
          </c:xVal>
          <c:yVal>
            <c:numRef>
              <c:f>'1982-1988'!$C$60:$C$64</c:f>
              <c:numCache>
                <c:formatCode>0.00</c:formatCode>
                <c:ptCount val="5"/>
                <c:pt idx="0">
                  <c:v>12.559999999999993</c:v>
                </c:pt>
                <c:pt idx="1">
                  <c:v>11.519999999999996</c:v>
                </c:pt>
                <c:pt idx="2">
                  <c:v>13.549999999999995</c:v>
                </c:pt>
                <c:pt idx="3">
                  <c:v>13.25761486835313</c:v>
                </c:pt>
                <c:pt idx="4">
                  <c:v>8.07</c:v>
                </c:pt>
              </c:numCache>
            </c:numRef>
          </c:yVal>
          <c:bubbleSize>
            <c:numRef>
              <c:f>'1982-1988'!$D$60:$D$64</c:f>
              <c:numCache>
                <c:formatCode>0.00</c:formatCode>
                <c:ptCount val="5"/>
                <c:pt idx="0">
                  <c:v>49.946327167999996</c:v>
                </c:pt>
                <c:pt idx="1">
                  <c:v>91.930357044900006</c:v>
                </c:pt>
                <c:pt idx="2">
                  <c:v>142.59912858999999</c:v>
                </c:pt>
                <c:pt idx="3">
                  <c:v>186.41143721</c:v>
                </c:pt>
                <c:pt idx="4">
                  <c:v>70.213076110000003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98108288"/>
        <c:axId val="198108864"/>
      </c:bubbleChart>
      <c:valAx>
        <c:axId val="19810828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8108864"/>
        <c:crosses val="autoZero"/>
        <c:crossBetween val="midCat"/>
      </c:valAx>
      <c:valAx>
        <c:axId val="198108864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981082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'1975-1981'!$C$29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0.10218792211132412"/>
                  <c:y val="-2.875379919860383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LMN-75/81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0.11992480848011353"/>
                  <c:y val="-2.238805531632089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INV-75/81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4.9321409111971373E-2"/>
                  <c:y val="-3.548428288117720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SBN-75/81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-1.0452384057767859E-2"/>
                  <c:y val="2.82407798343696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SWD-75/81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6.2030073351782802E-2"/>
                  <c:y val="4.7263672334455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AVI-75/81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'1975-1981'!$B$30:$B$34</c:f>
              <c:numCache>
                <c:formatCode>0.00</c:formatCode>
                <c:ptCount val="5"/>
                <c:pt idx="0">
                  <c:v>8.1280418168830089</c:v>
                </c:pt>
                <c:pt idx="1">
                  <c:v>11.917257458023094</c:v>
                </c:pt>
                <c:pt idx="2">
                  <c:v>14.233434459318875</c:v>
                </c:pt>
                <c:pt idx="3">
                  <c:v>12.607081099840551</c:v>
                </c:pt>
                <c:pt idx="4">
                  <c:v>12.008808129561732</c:v>
                </c:pt>
              </c:numCache>
            </c:numRef>
          </c:xVal>
          <c:yVal>
            <c:numRef>
              <c:f>'1975-1981'!$C$30:$C$34</c:f>
              <c:numCache>
                <c:formatCode>0.00</c:formatCode>
                <c:ptCount val="5"/>
                <c:pt idx="0">
                  <c:v>12.179999999999991</c:v>
                </c:pt>
                <c:pt idx="1">
                  <c:v>12.080000000000002</c:v>
                </c:pt>
                <c:pt idx="2">
                  <c:v>15.969999999999995</c:v>
                </c:pt>
                <c:pt idx="3">
                  <c:v>13.291925465838528</c:v>
                </c:pt>
                <c:pt idx="4">
                  <c:v>7.790000000000008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10592"/>
        <c:axId val="198111168"/>
      </c:scatterChart>
      <c:valAx>
        <c:axId val="19811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879282135187642"/>
              <c:y val="0.93589297122504256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8111168"/>
        <c:crosses val="autoZero"/>
        <c:crossBetween val="midCat"/>
      </c:valAx>
      <c:valAx>
        <c:axId val="198111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19811059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'1975-1981'!$C$59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Pt>
            <c:idx val="0"/>
            <c:invertIfNegative val="0"/>
            <c:bubble3D val="1"/>
          </c:dPt>
          <c:dLbls>
            <c:dLbl>
              <c:idx val="0"/>
              <c:layout>
                <c:manualLayout>
                  <c:x val="-0.19572725917118858"/>
                  <c:y val="-2.777796004666083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LMN-75/81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3.1874327059027367E-2"/>
                  <c:y val="-1.62037037037037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INV-75/81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-1.0991206947897551E-3"/>
                  <c:y val="-4.629628785792362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SBN-75/81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SWD-75/81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1.1827956688816612E-3"/>
                  <c:y val="3.009258710765035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AVI-75/81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'1975-1981'!$B$60:$B$64</c:f>
              <c:numCache>
                <c:formatCode>0.00</c:formatCode>
                <c:ptCount val="5"/>
                <c:pt idx="0">
                  <c:v>24.963999999999999</c:v>
                </c:pt>
                <c:pt idx="1">
                  <c:v>22.440999999999999</c:v>
                </c:pt>
                <c:pt idx="2">
                  <c:v>60.091000000000001</c:v>
                </c:pt>
                <c:pt idx="3">
                  <c:v>95.385999999999996</c:v>
                </c:pt>
                <c:pt idx="4">
                  <c:v>39.048000000000002</c:v>
                </c:pt>
              </c:numCache>
            </c:numRef>
          </c:xVal>
          <c:yVal>
            <c:numRef>
              <c:f>'1975-1981'!$C$60:$C$64</c:f>
              <c:numCache>
                <c:formatCode>0.00</c:formatCode>
                <c:ptCount val="5"/>
                <c:pt idx="0">
                  <c:v>12.080000000000002</c:v>
                </c:pt>
                <c:pt idx="1">
                  <c:v>12.179999999999991</c:v>
                </c:pt>
                <c:pt idx="2">
                  <c:v>15.969999999999995</c:v>
                </c:pt>
                <c:pt idx="3">
                  <c:v>13.291925465838528</c:v>
                </c:pt>
                <c:pt idx="4">
                  <c:v>7.790000000000008</c:v>
                </c:pt>
              </c:numCache>
            </c:numRef>
          </c:yVal>
          <c:bubbleSize>
            <c:numRef>
              <c:f>'1975-1981'!$D$60:$D$64</c:f>
              <c:numCache>
                <c:formatCode>0.00</c:formatCode>
                <c:ptCount val="5"/>
                <c:pt idx="0">
                  <c:v>109.9691062981</c:v>
                </c:pt>
                <c:pt idx="1">
                  <c:v>70.330409844800002</c:v>
                </c:pt>
                <c:pt idx="2">
                  <c:v>213.10217907000001</c:v>
                </c:pt>
                <c:pt idx="3">
                  <c:v>277.3584133</c:v>
                </c:pt>
                <c:pt idx="4">
                  <c:v>101.20975104999999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98112896"/>
        <c:axId val="198113472"/>
      </c:bubbleChart>
      <c:valAx>
        <c:axId val="19811289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8113472"/>
        <c:crosses val="autoZero"/>
        <c:crossBetween val="midCat"/>
      </c:valAx>
      <c:valAx>
        <c:axId val="19811347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9811289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'1968-1974'!$C$29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0.13646616137392217"/>
                  <c:y val="-4.975123403626865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LMN-68/74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0.10002143587634338"/>
                  <c:y val="3.230262001236116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INV-68/74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0.11677215404785442"/>
                  <c:y val="-4.572051042056535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SBN-68/74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1.0556864364884238E-2"/>
                  <c:y val="-2.9358188435008763E-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SWD-68/74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4.8761133465059621E-2"/>
                  <c:y val="-4.78510386488942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AVI-68/74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'1968-1974'!$B$30:$B$34</c:f>
              <c:numCache>
                <c:formatCode>0.00</c:formatCode>
                <c:ptCount val="5"/>
                <c:pt idx="0">
                  <c:v>8.2566888336901769</c:v>
                </c:pt>
                <c:pt idx="1">
                  <c:v>11.388190011605328</c:v>
                </c:pt>
                <c:pt idx="2">
                  <c:v>12.358478044271161</c:v>
                </c:pt>
                <c:pt idx="3">
                  <c:v>12.643298488641516</c:v>
                </c:pt>
                <c:pt idx="4">
                  <c:v>11.042237273494512</c:v>
                </c:pt>
              </c:numCache>
            </c:numRef>
          </c:xVal>
          <c:yVal>
            <c:numRef>
              <c:f>'1968-1974'!$C$30:$C$34</c:f>
              <c:numCache>
                <c:formatCode>0.00</c:formatCode>
                <c:ptCount val="5"/>
                <c:pt idx="0">
                  <c:v>12.719999999999999</c:v>
                </c:pt>
                <c:pt idx="1">
                  <c:v>12.020000000000008</c:v>
                </c:pt>
                <c:pt idx="2">
                  <c:v>13.319999999999999</c:v>
                </c:pt>
                <c:pt idx="3">
                  <c:v>13.330581923235663</c:v>
                </c:pt>
                <c:pt idx="4">
                  <c:v>6.6599999999999993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14752"/>
        <c:axId val="199115328"/>
      </c:scatterChart>
      <c:valAx>
        <c:axId val="199114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algn="ctr" rtl="0"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9115328"/>
        <c:crosses val="autoZero"/>
        <c:crossBetween val="midCat"/>
      </c:valAx>
      <c:valAx>
        <c:axId val="199115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19911475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'1968-1974'!$C$59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-0.16495179317214109"/>
                  <c:y val="-5.092592592592592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LMN-68/74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1.0991206947896747E-3"/>
                  <c:y val="9.953703703703707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INV-68/74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8.7928790133807999E-3"/>
                  <c:y val="2.314632124046325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SBN-68/74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SWD-68/74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3.3810510380589956E-3"/>
                  <c:y val="-2.314814814814814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AVI-68/74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'1968-1974'!$B$60:$B$64</c:f>
              <c:numCache>
                <c:formatCode>0.00</c:formatCode>
                <c:ptCount val="5"/>
                <c:pt idx="0">
                  <c:v>22.602</c:v>
                </c:pt>
                <c:pt idx="1">
                  <c:v>22.405999999999999</c:v>
                </c:pt>
                <c:pt idx="2">
                  <c:v>52.661000000000001</c:v>
                </c:pt>
                <c:pt idx="3">
                  <c:v>95.031000000000006</c:v>
                </c:pt>
                <c:pt idx="4">
                  <c:v>41.302999999999997</c:v>
                </c:pt>
              </c:numCache>
            </c:numRef>
          </c:xVal>
          <c:yVal>
            <c:numRef>
              <c:f>'1968-1974'!$C$60:$C$64</c:f>
              <c:numCache>
                <c:formatCode>0.00</c:formatCode>
                <c:ptCount val="5"/>
                <c:pt idx="0">
                  <c:v>12.020000000000008</c:v>
                </c:pt>
                <c:pt idx="1">
                  <c:v>12.719999999999999</c:v>
                </c:pt>
                <c:pt idx="2">
                  <c:v>13.319999999999999</c:v>
                </c:pt>
                <c:pt idx="3">
                  <c:v>13.330581923235663</c:v>
                </c:pt>
                <c:pt idx="4">
                  <c:v>6.6599999999999993</c:v>
                </c:pt>
              </c:numCache>
            </c:numRef>
          </c:yVal>
          <c:bubbleSize>
            <c:numRef>
              <c:f>'1968-1974'!$D$60:$D$64</c:f>
              <c:numCache>
                <c:formatCode>0.00</c:formatCode>
                <c:ptCount val="5"/>
                <c:pt idx="0">
                  <c:v>103.64374411519999</c:v>
                </c:pt>
                <c:pt idx="1">
                  <c:v>74.372098654400006</c:v>
                </c:pt>
                <c:pt idx="2">
                  <c:v>205.25630866999998</c:v>
                </c:pt>
                <c:pt idx="3">
                  <c:v>297.90276532999997</c:v>
                </c:pt>
                <c:pt idx="4">
                  <c:v>121.80008477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99117056"/>
        <c:axId val="199117632"/>
      </c:bubbleChart>
      <c:valAx>
        <c:axId val="19911705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9117632"/>
        <c:crosses val="autoZero"/>
        <c:crossBetween val="midCat"/>
      </c:valAx>
      <c:valAx>
        <c:axId val="19911763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9911705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'1961-1967'!$C$29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0.10439942194528749"/>
                  <c:y val="-2.597300956444094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LMN-61/67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5.3580026430034941E-2"/>
                  <c:y val="3.46806707222657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INV-61/67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6.9224907617641773E-2"/>
                  <c:y val="-5.45071840498160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SBN-61/67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-5.0063480493265462E-4"/>
                  <c:y val="-2.671445360910058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SWD-61/67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6.2030073351782802E-2"/>
                  <c:y val="4.7263672334455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AVI-61/67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'1961-1967'!$B$30:$B$34</c:f>
              <c:numCache>
                <c:formatCode>0.00</c:formatCode>
                <c:ptCount val="5"/>
                <c:pt idx="0">
                  <c:v>5.933792899343965</c:v>
                </c:pt>
                <c:pt idx="1">
                  <c:v>7.0045937651016947</c:v>
                </c:pt>
                <c:pt idx="2">
                  <c:v>8.0658539637832103</c:v>
                </c:pt>
                <c:pt idx="3">
                  <c:v>8.7057334721383182</c:v>
                </c:pt>
                <c:pt idx="4">
                  <c:v>5.8826532949548298</c:v>
                </c:pt>
              </c:numCache>
            </c:numRef>
          </c:xVal>
          <c:yVal>
            <c:numRef>
              <c:f>'1961-1967'!$C$30:$C$34</c:f>
              <c:numCache>
                <c:formatCode>0.00</c:formatCode>
                <c:ptCount val="5"/>
                <c:pt idx="0">
                  <c:v>9.4600000000000009</c:v>
                </c:pt>
                <c:pt idx="1">
                  <c:v>8.8600000000000012</c:v>
                </c:pt>
                <c:pt idx="2">
                  <c:v>9.5800000000000107</c:v>
                </c:pt>
                <c:pt idx="3">
                  <c:v>9.5918367346938815</c:v>
                </c:pt>
                <c:pt idx="4">
                  <c:v>4.9299999999999899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19360"/>
        <c:axId val="199119936"/>
      </c:scatterChart>
      <c:valAx>
        <c:axId val="19911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9119936"/>
        <c:crosses val="autoZero"/>
        <c:crossBetween val="midCat"/>
      </c:valAx>
      <c:valAx>
        <c:axId val="199119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19911936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'1961-1967'!$C$59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-3.0859068407800779E-2"/>
                  <c:y val="-8.564814814814812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LMN-61/67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7.3641086550908202E-2"/>
                  <c:y val="9.722222222222222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INV-61/67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-5.4956034739483727E-3"/>
                  <c:y val="-7.17592461797816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SBN-61/67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SWD-61/67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1.1827956688816612E-3"/>
                  <c:y val="3.009258710765035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AVI-61/67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'1961-1967'!$B$60:$B$64</c:f>
              <c:numCache>
                <c:formatCode>0.00</c:formatCode>
                <c:ptCount val="5"/>
                <c:pt idx="0">
                  <c:v>20.585000000000001</c:v>
                </c:pt>
                <c:pt idx="1">
                  <c:v>18.23</c:v>
                </c:pt>
                <c:pt idx="2">
                  <c:v>46.665999999999997</c:v>
                </c:pt>
                <c:pt idx="3">
                  <c:v>84.691999999999993</c:v>
                </c:pt>
                <c:pt idx="4">
                  <c:v>39.616</c:v>
                </c:pt>
              </c:numCache>
            </c:numRef>
          </c:xVal>
          <c:yVal>
            <c:numRef>
              <c:f>'1961-1967'!$C$60:$C$64</c:f>
              <c:numCache>
                <c:formatCode>0.00</c:formatCode>
                <c:ptCount val="5"/>
                <c:pt idx="0">
                  <c:v>9.4600000000000009</c:v>
                </c:pt>
                <c:pt idx="1">
                  <c:v>8.8600000000000012</c:v>
                </c:pt>
                <c:pt idx="2">
                  <c:v>9.5800000000000107</c:v>
                </c:pt>
                <c:pt idx="3">
                  <c:v>9.5918367346938815</c:v>
                </c:pt>
                <c:pt idx="4">
                  <c:v>4.9299999999999899</c:v>
                </c:pt>
              </c:numCache>
            </c:numRef>
          </c:yVal>
          <c:bubbleSize>
            <c:numRef>
              <c:f>'1961-1967'!$D$60:$D$64</c:f>
              <c:numCache>
                <c:formatCode>0.00</c:formatCode>
                <c:ptCount val="5"/>
                <c:pt idx="0">
                  <c:v>68.052967335899993</c:v>
                </c:pt>
                <c:pt idx="1">
                  <c:v>78.231147028500004</c:v>
                </c:pt>
                <c:pt idx="2">
                  <c:v>181.86018058000002</c:v>
                </c:pt>
                <c:pt idx="3">
                  <c:v>263.13295419000002</c:v>
                </c:pt>
                <c:pt idx="4">
                  <c:v>124.14687896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99121664"/>
        <c:axId val="199122240"/>
      </c:bubbleChart>
      <c:valAx>
        <c:axId val="1991216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9122240"/>
        <c:crosses val="autoZero"/>
        <c:crossBetween val="midCat"/>
      </c:valAx>
      <c:valAx>
        <c:axId val="19912224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9912166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'1954-1960'!$C$29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6.4682016797298978E-4"/>
                  <c:y val="-9.730891386124068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LMN-54/60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0.11992480848011353"/>
                  <c:y val="-2.238805531632089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INV-54/60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5.9273181202814676E-2"/>
                  <c:y val="-4.97512340362686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SBN-54/60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-1.9298353581837752E-2"/>
                  <c:y val="4.7263672334455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SWD-54/60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5.981854556795408E-2"/>
                  <c:y val="6.86644717921679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AVI-54/60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'1954-1960'!$B$30:$B$34</c:f>
              <c:numCache>
                <c:formatCode>0.00</c:formatCode>
                <c:ptCount val="5"/>
                <c:pt idx="0">
                  <c:v>3.4296209642190085</c:v>
                </c:pt>
                <c:pt idx="1">
                  <c:v>2.6645481436883118</c:v>
                </c:pt>
                <c:pt idx="2">
                  <c:v>4.7761495950597475</c:v>
                </c:pt>
                <c:pt idx="3">
                  <c:v>3.4962026997640767</c:v>
                </c:pt>
                <c:pt idx="4">
                  <c:v>3.1131294280388788</c:v>
                </c:pt>
              </c:numCache>
            </c:numRef>
          </c:xVal>
          <c:yVal>
            <c:numRef>
              <c:f>'1954-1960'!$C$30:$C$34</c:f>
              <c:numCache>
                <c:formatCode>0.00</c:formatCode>
                <c:ptCount val="5"/>
                <c:pt idx="0">
                  <c:v>5.5900000000000061</c:v>
                </c:pt>
                <c:pt idx="1">
                  <c:v>5.0799999999999956</c:v>
                </c:pt>
                <c:pt idx="2">
                  <c:v>6.6899999999999959</c:v>
                </c:pt>
                <c:pt idx="3">
                  <c:v>4.0899999999999936</c:v>
                </c:pt>
                <c:pt idx="4">
                  <c:v>4.0200000000000014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14208"/>
        <c:axId val="199214784"/>
      </c:scatterChart>
      <c:valAx>
        <c:axId val="19921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9214784"/>
        <c:crosses val="autoZero"/>
        <c:crossBetween val="midCat"/>
      </c:valAx>
      <c:valAx>
        <c:axId val="199214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19921420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'1954-1960'!$C$59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-2.5363638023725602E-2"/>
                  <c:y val="-8.101851851851851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LMN-54/60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8.9028862822900234E-2"/>
                  <c:y val="7.638870662000583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INV-54/60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-5.4956034739483727E-3"/>
                  <c:y val="-7.40740740740740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SBN-54/60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layout>
                <c:manualLayout>
                  <c:x val="-5.4956034739483727E-3"/>
                  <c:y val="-3.009259259259259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SWD-54/60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1.0153451961631859E-3"/>
                  <c:y val="-4.398148148148152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AVI-54/60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'1954-1960'!$B$60:$B$64</c:f>
              <c:numCache>
                <c:formatCode>0.00</c:formatCode>
                <c:ptCount val="5"/>
                <c:pt idx="0">
                  <c:v>10.891999999999999</c:v>
                </c:pt>
                <c:pt idx="1">
                  <c:v>6.7389999999999999</c:v>
                </c:pt>
                <c:pt idx="2">
                  <c:v>23.838999999999999</c:v>
                </c:pt>
                <c:pt idx="3">
                  <c:v>39.433999999999997</c:v>
                </c:pt>
                <c:pt idx="4">
                  <c:v>21.445</c:v>
                </c:pt>
              </c:numCache>
            </c:numRef>
          </c:xVal>
          <c:yVal>
            <c:numRef>
              <c:f>'1954-1960'!$C$60:$C$64</c:f>
              <c:numCache>
                <c:formatCode>0.00</c:formatCode>
                <c:ptCount val="5"/>
                <c:pt idx="0">
                  <c:v>5.5900000000000061</c:v>
                </c:pt>
                <c:pt idx="1">
                  <c:v>5.0799999999999956</c:v>
                </c:pt>
                <c:pt idx="2">
                  <c:v>6.6899999999999959</c:v>
                </c:pt>
                <c:pt idx="3">
                  <c:v>4.0899999999999936</c:v>
                </c:pt>
                <c:pt idx="4">
                  <c:v>4.0200000000000014</c:v>
                </c:pt>
              </c:numCache>
            </c:numRef>
          </c:yVal>
          <c:bubbleSize>
            <c:numRef>
              <c:f>'1954-1960'!$D$60:$D$64</c:f>
              <c:numCache>
                <c:formatCode>0.00</c:formatCode>
                <c:ptCount val="5"/>
                <c:pt idx="0">
                  <c:v>36.870945177000003</c:v>
                </c:pt>
                <c:pt idx="1">
                  <c:v>27.747197072999999</c:v>
                </c:pt>
                <c:pt idx="2">
                  <c:v>94.98686721</c:v>
                </c:pt>
                <c:pt idx="3">
                  <c:v>130.73572842999999</c:v>
                </c:pt>
                <c:pt idx="4">
                  <c:v>68.14124511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99216512"/>
        <c:axId val="199217088"/>
      </c:bubbleChart>
      <c:valAx>
        <c:axId val="19921651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9217088"/>
        <c:crosses val="autoZero"/>
        <c:crossBetween val="midCat"/>
      </c:valAx>
      <c:valAx>
        <c:axId val="19921708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9921651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TIF!$C$29</c:f>
              <c:strCache>
                <c:ptCount val="1"/>
                <c:pt idx="0">
                  <c:v>Grąža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5"/>
            <c:spPr>
              <a:solidFill>
                <a:srgbClr val="00B07D"/>
              </a:solidFill>
            </c:spPr>
          </c:marker>
          <c:dLbls>
            <c:dLbl>
              <c:idx val="0"/>
              <c:layout>
                <c:manualLayout>
                  <c:x val="-9.7764922443397365E-2"/>
                  <c:y val="1.166987990291576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LMN-TIPF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-2.7153561150321218E-3"/>
                  <c:y val="-2.00101892386137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INV-TIPF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2"/>
              <c:layout>
                <c:manualLayout>
                  <c:x val="-2.6100660855355895E-2"/>
                  <c:y val="-4.499573014357614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SBN-TIPF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3.9223648629942648E-3"/>
                  <c:y val="4.461957835425216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SWD-TIPF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dLbl>
              <c:idx val="4"/>
              <c:layout>
                <c:manualLayout>
                  <c:x val="-9.9625629646217406E-2"/>
                  <c:y val="-1.218289926714996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AVI-TIPF</a:t>
                    </a:r>
                  </a:p>
                </c:rich>
              </c:tx>
              <c:showLegendKey val="0"/>
              <c:showVal val="1"/>
              <c:showCatName val="1"/>
              <c:showSerName val="1"/>
              <c:showPercent val="0"/>
              <c:showBubbleSize val="0"/>
            </c:dLbl>
            <c:showLegendKey val="0"/>
            <c:showVal val="1"/>
            <c:showCatName val="1"/>
            <c:showSerName val="1"/>
            <c:showPercent val="0"/>
            <c:showBubbleSize val="0"/>
            <c:showLeaderLines val="0"/>
          </c:dLbls>
          <c:xVal>
            <c:numRef>
              <c:f>TIF!$B$30:$B$34</c:f>
              <c:numCache>
                <c:formatCode>0.00</c:formatCode>
                <c:ptCount val="5"/>
                <c:pt idx="0">
                  <c:v>2.2562112950937392</c:v>
                </c:pt>
                <c:pt idx="1">
                  <c:v>2.7999657594511596</c:v>
                </c:pt>
                <c:pt idx="2">
                  <c:v>2.4213018681869958</c:v>
                </c:pt>
                <c:pt idx="3">
                  <c:v>2.548255716466461</c:v>
                </c:pt>
                <c:pt idx="4">
                  <c:v>2.4764452275781346</c:v>
                </c:pt>
              </c:numCache>
            </c:numRef>
          </c:xVal>
          <c:yVal>
            <c:numRef>
              <c:f>TIF!$C$30:$C$34</c:f>
              <c:numCache>
                <c:formatCode>0.00</c:formatCode>
                <c:ptCount val="5"/>
                <c:pt idx="0">
                  <c:v>4.3500000000000094</c:v>
                </c:pt>
                <c:pt idx="1">
                  <c:v>4.5199999999999907</c:v>
                </c:pt>
                <c:pt idx="2">
                  <c:v>4.5500000000000096</c:v>
                </c:pt>
                <c:pt idx="3">
                  <c:v>3.180000000000005</c:v>
                </c:pt>
                <c:pt idx="4">
                  <c:v>3.2899999999999929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18816"/>
        <c:axId val="199219392"/>
      </c:scatterChart>
      <c:valAx>
        <c:axId val="19921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Rizika</a:t>
                </a:r>
                <a:r>
                  <a:rPr lang="lt-LT"/>
                  <a:t>, proc.</a:t>
                </a:r>
              </a:p>
            </c:rich>
          </c:tx>
          <c:layout>
            <c:manualLayout>
              <c:xMode val="edge"/>
              <c:yMode val="edge"/>
              <c:x val="0.50229931190535126"/>
              <c:y val="0.93830846979502691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9219392"/>
        <c:crosses val="autoZero"/>
        <c:crossBetween val="midCat"/>
      </c:valAx>
      <c:valAx>
        <c:axId val="199219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19921881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TIF!$C$59</c:f>
              <c:strCache>
                <c:ptCount val="1"/>
                <c:pt idx="0">
                  <c:v>Grąža (proc.)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dLbls>
            <c:dLbl>
              <c:idx val="0"/>
              <c:layout>
                <c:manualLayout>
                  <c:x val="6.5110352150481565E-3"/>
                  <c:y val="2.314814814814814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LMN-TIPF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1"/>
              <c:layout>
                <c:manualLayout>
                  <c:x val="-0.13299360406955063"/>
                  <c:y val="-2.083333333333333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INV-TIPF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2"/>
              <c:layout>
                <c:manualLayout>
                  <c:x val="1.099034149853077E-3"/>
                  <c:y val="1.851833287431963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SBN-TIPF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SWD-TIPF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dLbl>
              <c:idx val="4"/>
              <c:layout>
                <c:manualLayout>
                  <c:x val="-0.16934827595129978"/>
                  <c:y val="-1.620370075027326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AVI-TIPF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</c:dLbl>
            <c:showLegendKey val="0"/>
            <c:showVal val="1"/>
            <c:showCatName val="1"/>
            <c:showSerName val="0"/>
            <c:showPercent val="0"/>
            <c:showBubbleSize val="1"/>
            <c:showLeaderLines val="0"/>
          </c:dLbls>
          <c:xVal>
            <c:numRef>
              <c:f>TIF!$B$60:$B$64</c:f>
              <c:numCache>
                <c:formatCode>0.00</c:formatCode>
                <c:ptCount val="5"/>
                <c:pt idx="0">
                  <c:v>0.88100000000000001</c:v>
                </c:pt>
                <c:pt idx="1">
                  <c:v>0.68700000000000006</c:v>
                </c:pt>
                <c:pt idx="2">
                  <c:v>4.1310000000000002</c:v>
                </c:pt>
                <c:pt idx="3">
                  <c:v>2.673</c:v>
                </c:pt>
                <c:pt idx="4">
                  <c:v>2.3530000000000002</c:v>
                </c:pt>
              </c:numCache>
            </c:numRef>
          </c:xVal>
          <c:yVal>
            <c:numRef>
              <c:f>TIF!$C$60:$C$64</c:f>
              <c:numCache>
                <c:formatCode>0.00</c:formatCode>
                <c:ptCount val="5"/>
                <c:pt idx="0">
                  <c:v>4.3500000000000094</c:v>
                </c:pt>
                <c:pt idx="1">
                  <c:v>4.5199999999999907</c:v>
                </c:pt>
                <c:pt idx="2">
                  <c:v>4.5500000000000096</c:v>
                </c:pt>
                <c:pt idx="3">
                  <c:v>3.180000000000005</c:v>
                </c:pt>
                <c:pt idx="4">
                  <c:v>3.2899999999999929</c:v>
                </c:pt>
              </c:numCache>
            </c:numRef>
          </c:yVal>
          <c:bubbleSize>
            <c:numRef>
              <c:f>TIF!$D$60:$D$64</c:f>
              <c:numCache>
                <c:formatCode>0.00</c:formatCode>
                <c:ptCount val="5"/>
                <c:pt idx="0">
                  <c:v>1.7038520555000001</c:v>
                </c:pt>
                <c:pt idx="1">
                  <c:v>2.2393414995000001</c:v>
                </c:pt>
                <c:pt idx="2">
                  <c:v>9.4589238200000008</c:v>
                </c:pt>
                <c:pt idx="3">
                  <c:v>10.962769789999999</c:v>
                </c:pt>
                <c:pt idx="4">
                  <c:v>4.5663079500000006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99598080"/>
        <c:axId val="199598656"/>
      </c:bubbleChart>
      <c:valAx>
        <c:axId val="19959808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Dalyvių skaičius, tūkst.</a:t>
                </a:r>
              </a:p>
            </c:rich>
          </c:tx>
          <c:layout>
            <c:manualLayout>
              <c:xMode val="edge"/>
              <c:yMode val="edge"/>
              <c:x val="0.41219907512829373"/>
              <c:y val="0.9397800124343809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99598656"/>
        <c:crosses val="autoZero"/>
        <c:crossBetween val="midCat"/>
      </c:valAx>
      <c:valAx>
        <c:axId val="19959865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Grąža, proc.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9959808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1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lt-LT" sz="1200"/>
              <a:t>Tikslinės pensijų fondų dalyvių grupės pensijų fondų strategijos (pagal dalyvio amžių)</a:t>
            </a:r>
          </a:p>
        </c:rich>
      </c:tx>
      <c:layout>
        <c:manualLayout>
          <c:xMode val="edge"/>
          <c:yMode val="edge"/>
          <c:x val="0.21176706957519731"/>
          <c:y val="3.653989273959044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050787009059375E-2"/>
          <c:y val="0.14585938758756148"/>
          <c:w val="0.71226106107151876"/>
          <c:h val="0.81001721909906077"/>
        </c:manualLayout>
      </c:layout>
      <c:lineChart>
        <c:grouping val="standard"/>
        <c:varyColors val="0"/>
        <c:ser>
          <c:idx val="1"/>
          <c:order val="0"/>
          <c:tx>
            <c:strRef>
              <c:f>Strategijų_palyginimas!$B$2</c:f>
              <c:strCache>
                <c:ptCount val="1"/>
                <c:pt idx="0">
                  <c:v>UAB „SEB investicijų valdymas“</c:v>
                </c:pt>
              </c:strCache>
            </c:strRef>
          </c:tx>
          <c:spPr>
            <a:ln w="44450">
              <a:solidFill>
                <a:srgbClr val="00B07D"/>
              </a:solidFill>
            </a:ln>
          </c:spPr>
          <c:marker>
            <c:symbol val="none"/>
          </c:marker>
          <c:cat>
            <c:numRef>
              <c:f>Strategijų_palyginimas!$A$3:$A$51</c:f>
              <c:numCache>
                <c:formatCode>0</c:formatCod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</c:numCache>
            </c:numRef>
          </c:cat>
          <c:val>
            <c:numRef>
              <c:f>Strategijų_palyginimas!$B$3:$B$51</c:f>
              <c:numCache>
                <c:formatCode>0</c:formatCode>
                <c:ptCount val="49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98</c:v>
                </c:pt>
                <c:pt idx="15">
                  <c:v>98</c:v>
                </c:pt>
                <c:pt idx="16">
                  <c:v>98</c:v>
                </c:pt>
                <c:pt idx="17">
                  <c:v>98</c:v>
                </c:pt>
                <c:pt idx="18">
                  <c:v>98</c:v>
                </c:pt>
                <c:pt idx="19">
                  <c:v>98</c:v>
                </c:pt>
                <c:pt idx="20">
                  <c:v>98</c:v>
                </c:pt>
                <c:pt idx="21">
                  <c:v>98</c:v>
                </c:pt>
                <c:pt idx="22">
                  <c:v>98</c:v>
                </c:pt>
                <c:pt idx="23">
                  <c:v>98</c:v>
                </c:pt>
                <c:pt idx="24">
                  <c:v>98</c:v>
                </c:pt>
                <c:pt idx="25">
                  <c:v>98</c:v>
                </c:pt>
                <c:pt idx="26">
                  <c:v>98</c:v>
                </c:pt>
                <c:pt idx="27">
                  <c:v>98</c:v>
                </c:pt>
                <c:pt idx="28">
                  <c:v>92.9</c:v>
                </c:pt>
                <c:pt idx="29">
                  <c:v>87.9</c:v>
                </c:pt>
                <c:pt idx="30">
                  <c:v>82.899999999999991</c:v>
                </c:pt>
                <c:pt idx="31">
                  <c:v>78</c:v>
                </c:pt>
                <c:pt idx="32">
                  <c:v>73.099999999999994</c:v>
                </c:pt>
                <c:pt idx="33">
                  <c:v>68.099999999999994</c:v>
                </c:pt>
                <c:pt idx="34">
                  <c:v>63.3</c:v>
                </c:pt>
                <c:pt idx="35">
                  <c:v>58.5</c:v>
                </c:pt>
                <c:pt idx="36">
                  <c:v>53.800000000000004</c:v>
                </c:pt>
                <c:pt idx="37">
                  <c:v>49.1</c:v>
                </c:pt>
                <c:pt idx="38">
                  <c:v>44.4</c:v>
                </c:pt>
                <c:pt idx="39">
                  <c:v>39.800000000000004</c:v>
                </c:pt>
                <c:pt idx="40">
                  <c:v>35.299999999999997</c:v>
                </c:pt>
                <c:pt idx="41">
                  <c:v>30.8</c:v>
                </c:pt>
                <c:pt idx="42">
                  <c:v>26.6</c:v>
                </c:pt>
                <c:pt idx="43">
                  <c:v>22.400000000000002</c:v>
                </c:pt>
                <c:pt idx="44">
                  <c:v>18.5</c:v>
                </c:pt>
                <c:pt idx="45">
                  <c:v>18.5</c:v>
                </c:pt>
                <c:pt idx="46">
                  <c:v>18.5</c:v>
                </c:pt>
                <c:pt idx="47">
                  <c:v>18.5</c:v>
                </c:pt>
                <c:pt idx="48">
                  <c:v>18.5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Strategijų_palyginimas!$C$2</c:f>
              <c:strCache>
                <c:ptCount val="1"/>
                <c:pt idx="0">
                  <c:v>UAB „INVL Asset Management“</c:v>
                </c:pt>
              </c:strCache>
            </c:strRef>
          </c:tx>
          <c:spPr>
            <a:ln w="44450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Strategijų_palyginimas!$A$3:$A$51</c:f>
              <c:numCache>
                <c:formatCode>0</c:formatCod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</c:numCache>
            </c:numRef>
          </c:cat>
          <c:val>
            <c:numRef>
              <c:f>Strategijų_palyginimas!$C$3:$C$51</c:f>
              <c:numCache>
                <c:formatCode>0</c:formatCode>
                <c:ptCount val="4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97</c:v>
                </c:pt>
                <c:pt idx="4">
                  <c:v>97</c:v>
                </c:pt>
                <c:pt idx="5">
                  <c:v>97</c:v>
                </c:pt>
                <c:pt idx="6">
                  <c:v>97</c:v>
                </c:pt>
                <c:pt idx="7">
                  <c:v>97</c:v>
                </c:pt>
                <c:pt idx="8">
                  <c:v>97</c:v>
                </c:pt>
                <c:pt idx="9">
                  <c:v>97</c:v>
                </c:pt>
                <c:pt idx="10">
                  <c:v>97</c:v>
                </c:pt>
                <c:pt idx="11">
                  <c:v>97</c:v>
                </c:pt>
                <c:pt idx="12">
                  <c:v>97</c:v>
                </c:pt>
                <c:pt idx="13">
                  <c:v>97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97</c:v>
                </c:pt>
                <c:pt idx="26">
                  <c:v>97</c:v>
                </c:pt>
                <c:pt idx="27">
                  <c:v>97</c:v>
                </c:pt>
                <c:pt idx="28">
                  <c:v>91.88</c:v>
                </c:pt>
                <c:pt idx="29">
                  <c:v>86.77</c:v>
                </c:pt>
                <c:pt idx="30">
                  <c:v>81.64</c:v>
                </c:pt>
                <c:pt idx="31">
                  <c:v>76.530000000000015</c:v>
                </c:pt>
                <c:pt idx="32">
                  <c:v>71.41</c:v>
                </c:pt>
                <c:pt idx="33">
                  <c:v>66.3</c:v>
                </c:pt>
                <c:pt idx="34">
                  <c:v>61.18</c:v>
                </c:pt>
                <c:pt idx="35">
                  <c:v>56.06</c:v>
                </c:pt>
                <c:pt idx="36">
                  <c:v>50.94</c:v>
                </c:pt>
                <c:pt idx="37">
                  <c:v>45.82</c:v>
                </c:pt>
                <c:pt idx="38">
                  <c:v>40.71</c:v>
                </c:pt>
                <c:pt idx="39">
                  <c:v>35.589999999999996</c:v>
                </c:pt>
                <c:pt idx="40">
                  <c:v>30.470000000000002</c:v>
                </c:pt>
                <c:pt idx="41">
                  <c:v>25.35</c:v>
                </c:pt>
                <c:pt idx="42">
                  <c:v>20.239999999999998</c:v>
                </c:pt>
                <c:pt idx="43">
                  <c:v>15.120000000000001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Strategijų_palyginimas!$D$2</c:f>
              <c:strCache>
                <c:ptCount val="1"/>
                <c:pt idx="0">
                  <c:v>UAB „Swedbank investicijų valdymas“</c:v>
                </c:pt>
              </c:strCache>
            </c:strRef>
          </c:tx>
          <c:spPr>
            <a:ln w="444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Strategijų_palyginimas!$A$3:$A$51</c:f>
              <c:numCache>
                <c:formatCode>0</c:formatCod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</c:numCache>
            </c:numRef>
          </c:cat>
          <c:val>
            <c:numRef>
              <c:f>Strategijų_palyginimas!$D$3:$D$51</c:f>
              <c:numCache>
                <c:formatCode>0</c:formatCode>
                <c:ptCount val="49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85</c:v>
                </c:pt>
                <c:pt idx="31">
                  <c:v>80</c:v>
                </c:pt>
                <c:pt idx="32">
                  <c:v>75</c:v>
                </c:pt>
                <c:pt idx="33">
                  <c:v>70</c:v>
                </c:pt>
                <c:pt idx="34">
                  <c:v>65</c:v>
                </c:pt>
                <c:pt idx="35">
                  <c:v>60</c:v>
                </c:pt>
                <c:pt idx="36">
                  <c:v>55.000000000000007</c:v>
                </c:pt>
                <c:pt idx="37">
                  <c:v>50</c:v>
                </c:pt>
                <c:pt idx="38">
                  <c:v>44.999999999999993</c:v>
                </c:pt>
                <c:pt idx="39">
                  <c:v>40</c:v>
                </c:pt>
                <c:pt idx="40">
                  <c:v>35</c:v>
                </c:pt>
                <c:pt idx="41">
                  <c:v>30</c:v>
                </c:pt>
                <c:pt idx="42">
                  <c:v>25</c:v>
                </c:pt>
                <c:pt idx="43">
                  <c:v>20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Strategijų_palyginimas!$E$2</c:f>
              <c:strCache>
                <c:ptCount val="1"/>
                <c:pt idx="0">
                  <c:v>Luminor investicijų valdymas UAB </c:v>
                </c:pt>
              </c:strCache>
            </c:strRef>
          </c:tx>
          <c:spPr>
            <a:ln w="44450">
              <a:solidFill>
                <a:srgbClr val="903F98"/>
              </a:solidFill>
            </a:ln>
          </c:spPr>
          <c:marker>
            <c:symbol val="none"/>
          </c:marker>
          <c:cat>
            <c:numRef>
              <c:f>Strategijų_palyginimas!$A$3:$A$51</c:f>
              <c:numCache>
                <c:formatCode>0</c:formatCod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</c:numCache>
            </c:numRef>
          </c:cat>
          <c:val>
            <c:numRef>
              <c:f>Strategijų_palyginimas!$E$3:$E$51</c:f>
              <c:numCache>
                <c:formatCode>0</c:formatCode>
                <c:ptCount val="49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85</c:v>
                </c:pt>
                <c:pt idx="31">
                  <c:v>80</c:v>
                </c:pt>
                <c:pt idx="32">
                  <c:v>75</c:v>
                </c:pt>
                <c:pt idx="33">
                  <c:v>70</c:v>
                </c:pt>
                <c:pt idx="34">
                  <c:v>65</c:v>
                </c:pt>
                <c:pt idx="35">
                  <c:v>60</c:v>
                </c:pt>
                <c:pt idx="36">
                  <c:v>55.000000000000007</c:v>
                </c:pt>
                <c:pt idx="37">
                  <c:v>50</c:v>
                </c:pt>
                <c:pt idx="38">
                  <c:v>45</c:v>
                </c:pt>
                <c:pt idx="39">
                  <c:v>40</c:v>
                </c:pt>
                <c:pt idx="40">
                  <c:v>35</c:v>
                </c:pt>
                <c:pt idx="41">
                  <c:v>30</c:v>
                </c:pt>
                <c:pt idx="42">
                  <c:v>25</c:v>
                </c:pt>
                <c:pt idx="43">
                  <c:v>20</c:v>
                </c:pt>
                <c:pt idx="44">
                  <c:v>15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</c:numCache>
            </c:numRef>
          </c:val>
          <c:smooth val="0"/>
        </c:ser>
        <c:ser>
          <c:idx val="5"/>
          <c:order val="4"/>
          <c:tx>
            <c:strRef>
              <c:f>Strategijų_palyginimas!$F$2</c:f>
              <c:strCache>
                <c:ptCount val="1"/>
                <c:pt idx="0">
                  <c:v>UAGDPB „Aviva Lietuva“</c:v>
                </c:pt>
              </c:strCache>
            </c:strRef>
          </c:tx>
          <c:spPr>
            <a:ln w="44450">
              <a:solidFill>
                <a:srgbClr val="FCAF17"/>
              </a:solidFill>
            </a:ln>
          </c:spPr>
          <c:marker>
            <c:symbol val="none"/>
          </c:marker>
          <c:cat>
            <c:numRef>
              <c:f>Strategijų_palyginimas!$A$3:$A$51</c:f>
              <c:numCache>
                <c:formatCode>0</c:formatCod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</c:numCache>
            </c:numRef>
          </c:cat>
          <c:val>
            <c:numRef>
              <c:f>Strategijų_palyginimas!$F$3:$F$51</c:f>
              <c:numCache>
                <c:formatCode>0</c:formatCode>
                <c:ptCount val="49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89</c:v>
                </c:pt>
                <c:pt idx="27">
                  <c:v>87</c:v>
                </c:pt>
                <c:pt idx="28">
                  <c:v>83</c:v>
                </c:pt>
                <c:pt idx="29">
                  <c:v>78</c:v>
                </c:pt>
                <c:pt idx="30">
                  <c:v>72</c:v>
                </c:pt>
                <c:pt idx="31">
                  <c:v>66</c:v>
                </c:pt>
                <c:pt idx="32">
                  <c:v>59</c:v>
                </c:pt>
                <c:pt idx="33">
                  <c:v>54</c:v>
                </c:pt>
                <c:pt idx="34">
                  <c:v>48</c:v>
                </c:pt>
                <c:pt idx="35">
                  <c:v>43</c:v>
                </c:pt>
                <c:pt idx="36">
                  <c:v>39</c:v>
                </c:pt>
                <c:pt idx="37">
                  <c:v>35</c:v>
                </c:pt>
                <c:pt idx="38">
                  <c:v>32</c:v>
                </c:pt>
                <c:pt idx="39">
                  <c:v>28.000000000000004</c:v>
                </c:pt>
                <c:pt idx="40">
                  <c:v>26</c:v>
                </c:pt>
                <c:pt idx="41">
                  <c:v>23</c:v>
                </c:pt>
                <c:pt idx="42">
                  <c:v>21</c:v>
                </c:pt>
                <c:pt idx="43">
                  <c:v>19</c:v>
                </c:pt>
                <c:pt idx="44">
                  <c:v>17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63456"/>
        <c:axId val="199600384"/>
      </c:lineChart>
      <c:catAx>
        <c:axId val="1997634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199600384"/>
        <c:crosses val="autoZero"/>
        <c:auto val="1"/>
        <c:lblAlgn val="ctr"/>
        <c:lblOffset val="100"/>
        <c:noMultiLvlLbl val="0"/>
      </c:catAx>
      <c:valAx>
        <c:axId val="199600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Rizikingų turto klasių dalis</a:t>
                </a:r>
              </a:p>
            </c:rich>
          </c:tx>
          <c:layout>
            <c:manualLayout>
              <c:xMode val="edge"/>
              <c:yMode val="edge"/>
              <c:x val="7.6252713500843134E-3"/>
              <c:y val="0.41857618547085085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crossAx val="199763456"/>
        <c:crosses val="autoZero"/>
        <c:crossBetween val="between"/>
      </c:valAx>
      <c:spPr>
        <a:ln w="57150"/>
      </c:spPr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90054</xdr:rowOff>
    </xdr:from>
    <xdr:to>
      <xdr:col>3</xdr:col>
      <xdr:colOff>1149927</xdr:colOff>
      <xdr:row>48</xdr:row>
      <xdr:rowOff>110837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96979</xdr:rowOff>
    </xdr:from>
    <xdr:to>
      <xdr:col>4</xdr:col>
      <xdr:colOff>27709</xdr:colOff>
      <xdr:row>80</xdr:row>
      <xdr:rowOff>41561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62345</xdr:rowOff>
    </xdr:from>
    <xdr:to>
      <xdr:col>4</xdr:col>
      <xdr:colOff>1025236</xdr:colOff>
      <xdr:row>48</xdr:row>
      <xdr:rowOff>83128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110835</xdr:rowOff>
    </xdr:from>
    <xdr:to>
      <xdr:col>4</xdr:col>
      <xdr:colOff>1094509</xdr:colOff>
      <xdr:row>80</xdr:row>
      <xdr:rowOff>55417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62344</xdr:rowOff>
    </xdr:from>
    <xdr:to>
      <xdr:col>5</xdr:col>
      <xdr:colOff>0</xdr:colOff>
      <xdr:row>48</xdr:row>
      <xdr:rowOff>83127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110833</xdr:rowOff>
    </xdr:from>
    <xdr:to>
      <xdr:col>5</xdr:col>
      <xdr:colOff>41564</xdr:colOff>
      <xdr:row>80</xdr:row>
      <xdr:rowOff>55415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90054</xdr:rowOff>
    </xdr:from>
    <xdr:to>
      <xdr:col>4</xdr:col>
      <xdr:colOff>1025236</xdr:colOff>
      <xdr:row>48</xdr:row>
      <xdr:rowOff>110837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27709</xdr:colOff>
      <xdr:row>54</xdr:row>
      <xdr:rowOff>96980</xdr:rowOff>
    </xdr:from>
    <xdr:to>
      <xdr:col>5</xdr:col>
      <xdr:colOff>13855</xdr:colOff>
      <xdr:row>80</xdr:row>
      <xdr:rowOff>41562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62345</xdr:rowOff>
    </xdr:from>
    <xdr:to>
      <xdr:col>4</xdr:col>
      <xdr:colOff>1025236</xdr:colOff>
      <xdr:row>48</xdr:row>
      <xdr:rowOff>83128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96980</xdr:rowOff>
    </xdr:from>
    <xdr:to>
      <xdr:col>4</xdr:col>
      <xdr:colOff>1094509</xdr:colOff>
      <xdr:row>80</xdr:row>
      <xdr:rowOff>41562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62344</xdr:rowOff>
    </xdr:from>
    <xdr:to>
      <xdr:col>4</xdr:col>
      <xdr:colOff>1025236</xdr:colOff>
      <xdr:row>48</xdr:row>
      <xdr:rowOff>83127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124689</xdr:rowOff>
    </xdr:from>
    <xdr:to>
      <xdr:col>4</xdr:col>
      <xdr:colOff>1094509</xdr:colOff>
      <xdr:row>80</xdr:row>
      <xdr:rowOff>69271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62344</xdr:rowOff>
    </xdr:from>
    <xdr:to>
      <xdr:col>4</xdr:col>
      <xdr:colOff>1025236</xdr:colOff>
      <xdr:row>48</xdr:row>
      <xdr:rowOff>83127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69270</xdr:rowOff>
    </xdr:from>
    <xdr:to>
      <xdr:col>4</xdr:col>
      <xdr:colOff>1094509</xdr:colOff>
      <xdr:row>80</xdr:row>
      <xdr:rowOff>13852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76199</xdr:rowOff>
    </xdr:from>
    <xdr:to>
      <xdr:col>4</xdr:col>
      <xdr:colOff>1025236</xdr:colOff>
      <xdr:row>48</xdr:row>
      <xdr:rowOff>96982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124689</xdr:rowOff>
    </xdr:from>
    <xdr:to>
      <xdr:col>4</xdr:col>
      <xdr:colOff>1094509</xdr:colOff>
      <xdr:row>80</xdr:row>
      <xdr:rowOff>69271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108856</xdr:colOff>
      <xdr:row>2</xdr:row>
      <xdr:rowOff>38099</xdr:rowOff>
    </xdr:from>
    <xdr:to>
      <xdr:col>28</xdr:col>
      <xdr:colOff>21772</xdr:colOff>
      <xdr:row>44</xdr:row>
      <xdr:rowOff>21771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7D"/>
  </sheetPr>
  <dimension ref="A1:O69"/>
  <sheetViews>
    <sheetView showGridLines="0" tabSelected="1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4.4" x14ac:dyDescent="0.3"/>
  <cols>
    <col min="1" max="1" width="42.44140625" style="6" customWidth="1"/>
    <col min="2" max="2" width="14.44140625" style="6" customWidth="1"/>
    <col min="3" max="3" width="67.5546875" style="6" customWidth="1"/>
    <col min="4" max="4" width="13.109375" bestFit="1" customWidth="1"/>
    <col min="5" max="5" width="15.109375" customWidth="1"/>
    <col min="6" max="6" width="17.5546875" customWidth="1"/>
    <col min="7" max="7" width="14.21875" customWidth="1"/>
    <col min="8" max="8" width="2.88671875" customWidth="1"/>
    <col min="9" max="9" width="13" customWidth="1"/>
    <col min="10" max="10" width="16.33203125" customWidth="1"/>
    <col min="11" max="11" width="2.88671875" customWidth="1"/>
    <col min="12" max="13" width="16.6640625" customWidth="1"/>
  </cols>
  <sheetData>
    <row r="1" spans="1:13" ht="23.4" customHeight="1" x14ac:dyDescent="0.3">
      <c r="A1" s="25">
        <v>43646</v>
      </c>
      <c r="B1" s="26"/>
      <c r="C1" s="27"/>
      <c r="D1" s="75" t="s">
        <v>95</v>
      </c>
      <c r="E1" s="32" t="s">
        <v>93</v>
      </c>
      <c r="F1" s="75" t="s">
        <v>103</v>
      </c>
      <c r="G1" s="75" t="s">
        <v>88</v>
      </c>
      <c r="H1" s="29"/>
      <c r="I1" s="77" t="s">
        <v>89</v>
      </c>
      <c r="J1" s="78"/>
      <c r="K1" s="30"/>
      <c r="L1" s="77" t="s">
        <v>92</v>
      </c>
      <c r="M1" s="78"/>
    </row>
    <row r="2" spans="1:13" ht="88.2" x14ac:dyDescent="0.3">
      <c r="A2" s="24" t="s">
        <v>43</v>
      </c>
      <c r="B2" s="24" t="s">
        <v>44</v>
      </c>
      <c r="C2" s="24" t="s">
        <v>45</v>
      </c>
      <c r="D2" s="76"/>
      <c r="E2" s="24" t="s">
        <v>118</v>
      </c>
      <c r="F2" s="76"/>
      <c r="G2" s="76"/>
      <c r="H2" s="29"/>
      <c r="I2" s="24" t="s">
        <v>114</v>
      </c>
      <c r="J2" s="24" t="s">
        <v>115</v>
      </c>
      <c r="K2" s="31"/>
      <c r="L2" s="24" t="s">
        <v>116</v>
      </c>
      <c r="M2" s="24" t="s">
        <v>117</v>
      </c>
    </row>
    <row r="3" spans="1:13" s="49" customFormat="1" ht="30.6" customHeight="1" x14ac:dyDescent="0.3">
      <c r="A3" s="74" t="s">
        <v>46</v>
      </c>
      <c r="B3" s="74"/>
      <c r="C3" s="74"/>
      <c r="D3" s="45"/>
      <c r="E3" s="45"/>
      <c r="F3" s="46"/>
      <c r="G3" s="47" t="s">
        <v>119</v>
      </c>
      <c r="H3" s="45"/>
      <c r="I3" s="48">
        <v>12.416707517785641</v>
      </c>
      <c r="J3" s="48">
        <v>14.402366515401933</v>
      </c>
      <c r="K3" s="45"/>
      <c r="L3" s="45"/>
      <c r="M3" s="45"/>
    </row>
    <row r="4" spans="1:13" x14ac:dyDescent="0.3">
      <c r="A4" s="33" t="s">
        <v>36</v>
      </c>
      <c r="B4" s="33" t="s">
        <v>4</v>
      </c>
      <c r="C4" s="33" t="s">
        <v>47</v>
      </c>
      <c r="D4" s="34">
        <v>0.49589041095890413</v>
      </c>
      <c r="E4" s="35">
        <v>90</v>
      </c>
      <c r="F4" s="34">
        <v>1.3573504828</v>
      </c>
      <c r="G4" s="36">
        <v>2689</v>
      </c>
      <c r="H4" s="22"/>
      <c r="I4" s="37">
        <v>12.78999999999999</v>
      </c>
      <c r="J4" s="37">
        <v>14.349000000000011</v>
      </c>
      <c r="K4" s="23"/>
      <c r="L4" s="37">
        <v>8.6030399463350342</v>
      </c>
      <c r="M4" s="37">
        <v>13.629772233887374</v>
      </c>
    </row>
    <row r="5" spans="1:13" x14ac:dyDescent="0.3">
      <c r="A5" s="33" t="s">
        <v>130</v>
      </c>
      <c r="B5" s="33" t="s">
        <v>2</v>
      </c>
      <c r="C5" s="33" t="s">
        <v>48</v>
      </c>
      <c r="D5" s="34">
        <v>0.49589041095890413</v>
      </c>
      <c r="E5" s="35">
        <v>97</v>
      </c>
      <c r="F5" s="34">
        <v>3.5362719261</v>
      </c>
      <c r="G5" s="36">
        <v>5316</v>
      </c>
      <c r="H5" s="22"/>
      <c r="I5" s="37">
        <v>11.660000000000004</v>
      </c>
      <c r="J5" s="37">
        <v>14.058700000000002</v>
      </c>
      <c r="K5" s="23"/>
      <c r="L5" s="37">
        <v>11.588044289182836</v>
      </c>
      <c r="M5" s="37">
        <v>13.913715027847912</v>
      </c>
    </row>
    <row r="6" spans="1:13" x14ac:dyDescent="0.3">
      <c r="A6" s="33" t="s">
        <v>129</v>
      </c>
      <c r="B6" s="33" t="s">
        <v>1</v>
      </c>
      <c r="C6" s="33" t="s">
        <v>49</v>
      </c>
      <c r="D6" s="34">
        <v>0.49589041095890413</v>
      </c>
      <c r="E6" s="35">
        <v>98</v>
      </c>
      <c r="F6" s="34">
        <v>4.7351962599999995</v>
      </c>
      <c r="G6" s="36">
        <v>8548</v>
      </c>
      <c r="H6" s="22"/>
      <c r="I6" s="37">
        <v>14.290000000000003</v>
      </c>
      <c r="J6" s="37">
        <v>14.513299999999996</v>
      </c>
      <c r="K6" s="23"/>
      <c r="L6" s="37">
        <v>12.889462678482728</v>
      </c>
      <c r="M6" s="37">
        <v>13.53647576750843</v>
      </c>
    </row>
    <row r="7" spans="1:13" x14ac:dyDescent="0.3">
      <c r="A7" s="33" t="s">
        <v>131</v>
      </c>
      <c r="B7" s="33" t="s">
        <v>3</v>
      </c>
      <c r="C7" s="33" t="s">
        <v>109</v>
      </c>
      <c r="D7" s="34">
        <v>0.49589041095890413</v>
      </c>
      <c r="E7" s="35">
        <v>90</v>
      </c>
      <c r="F7" s="34">
        <v>10.60289506</v>
      </c>
      <c r="G7" s="36">
        <v>23519</v>
      </c>
      <c r="H7" s="22"/>
      <c r="I7" s="37">
        <v>12.802945086409645</v>
      </c>
      <c r="J7" s="37">
        <v>14.274787345814421</v>
      </c>
      <c r="K7" s="23"/>
      <c r="L7" s="37">
        <v>12.576962887458865</v>
      </c>
      <c r="M7" s="37">
        <v>13.20244451367051</v>
      </c>
    </row>
    <row r="8" spans="1:13" x14ac:dyDescent="0.3">
      <c r="A8" s="33" t="s">
        <v>37</v>
      </c>
      <c r="B8" s="33" t="s">
        <v>5</v>
      </c>
      <c r="C8" s="33" t="s">
        <v>50</v>
      </c>
      <c r="D8" s="34">
        <v>0.49589041095890413</v>
      </c>
      <c r="E8" s="35">
        <v>90</v>
      </c>
      <c r="F8" s="34">
        <v>3.61481969</v>
      </c>
      <c r="G8" s="36">
        <v>8656</v>
      </c>
      <c r="H8" s="22"/>
      <c r="I8" s="37">
        <v>9.430000000000005</v>
      </c>
      <c r="J8" s="37">
        <v>14.987499999999997</v>
      </c>
      <c r="K8" s="23"/>
      <c r="L8" s="37">
        <v>12.262372416580822</v>
      </c>
      <c r="M8" s="37">
        <v>14.461534010296178</v>
      </c>
    </row>
    <row r="9" spans="1:13" s="49" customFormat="1" ht="30.6" customHeight="1" x14ac:dyDescent="0.3">
      <c r="A9" s="74" t="s">
        <v>51</v>
      </c>
      <c r="B9" s="74"/>
      <c r="C9" s="74"/>
      <c r="D9" s="45"/>
      <c r="E9" s="45"/>
      <c r="F9" s="46"/>
      <c r="G9" s="47" t="s">
        <v>119</v>
      </c>
      <c r="H9" s="45"/>
      <c r="I9" s="48">
        <v>12.278497475628249</v>
      </c>
      <c r="J9" s="48">
        <v>14.389355085567541</v>
      </c>
      <c r="K9" s="45"/>
      <c r="L9" s="45"/>
      <c r="M9" s="45"/>
    </row>
    <row r="10" spans="1:13" x14ac:dyDescent="0.3">
      <c r="A10" s="33" t="s">
        <v>36</v>
      </c>
      <c r="B10" s="33" t="s">
        <v>9</v>
      </c>
      <c r="C10" s="33" t="s">
        <v>52</v>
      </c>
      <c r="D10" s="34">
        <v>0.49589041095890413</v>
      </c>
      <c r="E10" s="35">
        <v>90</v>
      </c>
      <c r="F10" s="34">
        <v>17.913148798999998</v>
      </c>
      <c r="G10" s="36">
        <v>14053</v>
      </c>
      <c r="H10" s="22"/>
      <c r="I10" s="37">
        <v>12.850000000000005</v>
      </c>
      <c r="J10" s="37">
        <v>14.349000000000011</v>
      </c>
      <c r="K10" s="23"/>
      <c r="L10" s="37">
        <v>8.7581059577848581</v>
      </c>
      <c r="M10" s="37">
        <v>13.629772233887374</v>
      </c>
    </row>
    <row r="11" spans="1:13" x14ac:dyDescent="0.3">
      <c r="A11" s="33" t="s">
        <v>130</v>
      </c>
      <c r="B11" s="33" t="s">
        <v>7</v>
      </c>
      <c r="C11" s="33" t="s">
        <v>53</v>
      </c>
      <c r="D11" s="34">
        <v>0.49589041095890413</v>
      </c>
      <c r="E11" s="35">
        <v>97</v>
      </c>
      <c r="F11" s="34">
        <v>36.573120238399994</v>
      </c>
      <c r="G11" s="36">
        <v>25922</v>
      </c>
      <c r="H11" s="22"/>
      <c r="I11" s="37">
        <v>11.850000000000005</v>
      </c>
      <c r="J11" s="37">
        <v>14.058700000000002</v>
      </c>
      <c r="K11" s="23"/>
      <c r="L11" s="37">
        <v>11.781969395224579</v>
      </c>
      <c r="M11" s="37">
        <v>13.913715027847912</v>
      </c>
    </row>
    <row r="12" spans="1:13" x14ac:dyDescent="0.3">
      <c r="A12" s="33" t="s">
        <v>129</v>
      </c>
      <c r="B12" s="33" t="s">
        <v>6</v>
      </c>
      <c r="C12" s="33" t="s">
        <v>54</v>
      </c>
      <c r="D12" s="34">
        <v>0.49589041095890413</v>
      </c>
      <c r="E12" s="35">
        <v>98</v>
      </c>
      <c r="F12" s="34">
        <v>43.291193219999997</v>
      </c>
      <c r="G12" s="36">
        <v>33709</v>
      </c>
      <c r="H12" s="22"/>
      <c r="I12" s="37">
        <v>13.62000000000001</v>
      </c>
      <c r="J12" s="37">
        <v>14.513299999999996</v>
      </c>
      <c r="K12" s="23"/>
      <c r="L12" s="37">
        <v>12.543168790752288</v>
      </c>
      <c r="M12" s="37">
        <v>13.53647576750843</v>
      </c>
    </row>
    <row r="13" spans="1:13" x14ac:dyDescent="0.3">
      <c r="A13" s="33" t="s">
        <v>131</v>
      </c>
      <c r="B13" s="33" t="s">
        <v>8</v>
      </c>
      <c r="C13" s="33" t="s">
        <v>108</v>
      </c>
      <c r="D13" s="34">
        <v>0.49589041095890413</v>
      </c>
      <c r="E13" s="35">
        <v>90</v>
      </c>
      <c r="F13" s="34">
        <v>98.302401189999998</v>
      </c>
      <c r="G13" s="36">
        <v>80282</v>
      </c>
      <c r="H13" s="22"/>
      <c r="I13" s="37">
        <v>13.158708879034741</v>
      </c>
      <c r="J13" s="37">
        <v>14.274787345814421</v>
      </c>
      <c r="K13" s="23"/>
      <c r="L13" s="37">
        <v>12.546812382983319</v>
      </c>
      <c r="M13" s="37">
        <v>13.20244451367051</v>
      </c>
    </row>
    <row r="14" spans="1:13" x14ac:dyDescent="0.3">
      <c r="A14" s="33" t="s">
        <v>37</v>
      </c>
      <c r="B14" s="33" t="s">
        <v>10</v>
      </c>
      <c r="C14" s="33" t="s">
        <v>55</v>
      </c>
      <c r="D14" s="34">
        <v>0.49589041095890413</v>
      </c>
      <c r="E14" s="35">
        <v>90</v>
      </c>
      <c r="F14" s="34">
        <v>31.284284260000003</v>
      </c>
      <c r="G14" s="36">
        <v>27117</v>
      </c>
      <c r="H14" s="22"/>
      <c r="I14" s="37">
        <v>7.8300000000000036</v>
      </c>
      <c r="J14" s="37">
        <v>14.987499999999997</v>
      </c>
      <c r="K14" s="23"/>
      <c r="L14" s="37">
        <v>11.924714202169685</v>
      </c>
      <c r="M14" s="37">
        <v>14.461534010296178</v>
      </c>
    </row>
    <row r="15" spans="1:13" s="49" customFormat="1" ht="30.6" customHeight="1" x14ac:dyDescent="0.3">
      <c r="A15" s="74" t="s">
        <v>56</v>
      </c>
      <c r="B15" s="74"/>
      <c r="C15" s="74"/>
      <c r="D15" s="45"/>
      <c r="E15" s="45"/>
      <c r="F15" s="46"/>
      <c r="G15" s="47" t="s">
        <v>119</v>
      </c>
      <c r="H15" s="45"/>
      <c r="I15" s="48">
        <v>12.301918921896922</v>
      </c>
      <c r="J15" s="48">
        <v>14.400263350636449</v>
      </c>
      <c r="K15" s="45"/>
      <c r="L15" s="45"/>
      <c r="M15" s="45"/>
    </row>
    <row r="16" spans="1:13" x14ac:dyDescent="0.3">
      <c r="A16" s="33" t="s">
        <v>36</v>
      </c>
      <c r="B16" s="33" t="s">
        <v>14</v>
      </c>
      <c r="C16" s="33" t="s">
        <v>57</v>
      </c>
      <c r="D16" s="34">
        <v>0.49589041095890413</v>
      </c>
      <c r="E16" s="35">
        <v>90</v>
      </c>
      <c r="F16" s="34">
        <v>49.946327167999996</v>
      </c>
      <c r="G16" s="36">
        <v>24695</v>
      </c>
      <c r="H16" s="22"/>
      <c r="I16" s="37">
        <v>12.559999999999993</v>
      </c>
      <c r="J16" s="37">
        <v>14.349000000000011</v>
      </c>
      <c r="K16" s="23"/>
      <c r="L16" s="37">
        <v>8.7168219249197918</v>
      </c>
      <c r="M16" s="37">
        <v>13.629772233887374</v>
      </c>
    </row>
    <row r="17" spans="1:13" x14ac:dyDescent="0.3">
      <c r="A17" s="33" t="s">
        <v>130</v>
      </c>
      <c r="B17" s="33" t="s">
        <v>12</v>
      </c>
      <c r="C17" s="33" t="s">
        <v>58</v>
      </c>
      <c r="D17" s="34">
        <v>0.49589041095890413</v>
      </c>
      <c r="E17" s="35">
        <v>97</v>
      </c>
      <c r="F17" s="34">
        <v>91.930357044900006</v>
      </c>
      <c r="G17" s="36">
        <v>37324</v>
      </c>
      <c r="H17" s="22"/>
      <c r="I17" s="37">
        <v>11.519999999999996</v>
      </c>
      <c r="J17" s="37">
        <v>14.058700000000002</v>
      </c>
      <c r="K17" s="23"/>
      <c r="L17" s="37">
        <v>11.539278532626748</v>
      </c>
      <c r="M17" s="37">
        <v>13.913715027847912</v>
      </c>
    </row>
    <row r="18" spans="1:13" x14ac:dyDescent="0.3">
      <c r="A18" s="33" t="s">
        <v>129</v>
      </c>
      <c r="B18" s="33" t="s">
        <v>11</v>
      </c>
      <c r="C18" s="33" t="s">
        <v>59</v>
      </c>
      <c r="D18" s="34">
        <v>0.49589041095890413</v>
      </c>
      <c r="E18" s="35">
        <v>98</v>
      </c>
      <c r="F18" s="34">
        <v>142.59912858999999</v>
      </c>
      <c r="G18" s="36">
        <v>66332</v>
      </c>
      <c r="H18" s="22"/>
      <c r="I18" s="37">
        <v>13.549999999999995</v>
      </c>
      <c r="J18" s="37">
        <v>14.513299999999996</v>
      </c>
      <c r="K18" s="23"/>
      <c r="L18" s="37">
        <v>12.469693619356777</v>
      </c>
      <c r="M18" s="37">
        <v>13.53647576750843</v>
      </c>
    </row>
    <row r="19" spans="1:13" x14ac:dyDescent="0.3">
      <c r="A19" s="33" t="s">
        <v>131</v>
      </c>
      <c r="B19" s="33" t="s">
        <v>13</v>
      </c>
      <c r="C19" s="33" t="s">
        <v>107</v>
      </c>
      <c r="D19" s="34">
        <v>0.49589041095890413</v>
      </c>
      <c r="E19" s="35">
        <v>90</v>
      </c>
      <c r="F19" s="34">
        <v>186.41143721</v>
      </c>
      <c r="G19" s="36">
        <v>100798</v>
      </c>
      <c r="H19" s="22"/>
      <c r="I19" s="37">
        <v>13.25761486835313</v>
      </c>
      <c r="J19" s="37">
        <v>14.274787345814421</v>
      </c>
      <c r="K19" s="23"/>
      <c r="L19" s="37">
        <v>12.562915829754795</v>
      </c>
      <c r="M19" s="37">
        <v>13.20244451367051</v>
      </c>
    </row>
    <row r="20" spans="1:13" x14ac:dyDescent="0.3">
      <c r="A20" s="33" t="s">
        <v>37</v>
      </c>
      <c r="B20" s="33" t="s">
        <v>15</v>
      </c>
      <c r="C20" s="33" t="s">
        <v>60</v>
      </c>
      <c r="D20" s="34">
        <v>0.49589041095890413</v>
      </c>
      <c r="E20" s="35">
        <v>90</v>
      </c>
      <c r="F20" s="34">
        <v>70.213076110000003</v>
      </c>
      <c r="G20" s="36">
        <v>41303</v>
      </c>
      <c r="H20" s="22"/>
      <c r="I20" s="37">
        <v>8.07</v>
      </c>
      <c r="J20" s="37">
        <v>14.987499999999997</v>
      </c>
      <c r="K20" s="23"/>
      <c r="L20" s="37">
        <v>12.010846013277153</v>
      </c>
      <c r="M20" s="37">
        <v>14.461534010296178</v>
      </c>
    </row>
    <row r="21" spans="1:13" s="49" customFormat="1" ht="30.6" customHeight="1" x14ac:dyDescent="0.3">
      <c r="A21" s="74" t="s">
        <v>61</v>
      </c>
      <c r="B21" s="74"/>
      <c r="C21" s="74"/>
      <c r="D21" s="45"/>
      <c r="E21" s="45"/>
      <c r="F21" s="46"/>
      <c r="G21" s="47" t="s">
        <v>119</v>
      </c>
      <c r="H21" s="45"/>
      <c r="I21" s="48">
        <v>13.035929043943442</v>
      </c>
      <c r="J21" s="48">
        <v>15.298514974909025</v>
      </c>
      <c r="K21" s="45"/>
      <c r="L21" s="45"/>
      <c r="M21" s="45"/>
    </row>
    <row r="22" spans="1:13" x14ac:dyDescent="0.3">
      <c r="A22" s="33" t="s">
        <v>36</v>
      </c>
      <c r="B22" s="33" t="s">
        <v>19</v>
      </c>
      <c r="C22" s="33" t="s">
        <v>62</v>
      </c>
      <c r="D22" s="34">
        <v>0.49589041095890413</v>
      </c>
      <c r="E22" s="35">
        <v>90</v>
      </c>
      <c r="F22" s="34">
        <v>70.330409844800002</v>
      </c>
      <c r="G22" s="36">
        <v>22441</v>
      </c>
      <c r="H22" s="22"/>
      <c r="I22" s="37">
        <v>12.179999999999991</v>
      </c>
      <c r="J22" s="37">
        <v>14.349000000000011</v>
      </c>
      <c r="K22" s="23"/>
      <c r="L22" s="37">
        <v>8.1280418168830089</v>
      </c>
      <c r="M22" s="37">
        <v>13.629772233887374</v>
      </c>
    </row>
    <row r="23" spans="1:13" x14ac:dyDescent="0.3">
      <c r="A23" s="33" t="s">
        <v>130</v>
      </c>
      <c r="B23" s="33" t="s">
        <v>17</v>
      </c>
      <c r="C23" s="33" t="s">
        <v>63</v>
      </c>
      <c r="D23" s="34">
        <v>0.49589041095890413</v>
      </c>
      <c r="E23" s="35">
        <v>97</v>
      </c>
      <c r="F23" s="34">
        <v>109.9691062981</v>
      </c>
      <c r="G23" s="36">
        <v>24964</v>
      </c>
      <c r="H23" s="22"/>
      <c r="I23" s="37">
        <v>12.080000000000002</v>
      </c>
      <c r="J23" s="37">
        <v>14.058700000000002</v>
      </c>
      <c r="K23" s="23"/>
      <c r="L23" s="37">
        <v>11.917257458023094</v>
      </c>
      <c r="M23" s="37">
        <v>13.913715027847912</v>
      </c>
    </row>
    <row r="24" spans="1:13" x14ac:dyDescent="0.3">
      <c r="A24" s="33" t="s">
        <v>129</v>
      </c>
      <c r="B24" s="33" t="s">
        <v>16</v>
      </c>
      <c r="C24" s="33" t="s">
        <v>64</v>
      </c>
      <c r="D24" s="34">
        <v>0.49589041095890413</v>
      </c>
      <c r="E24" s="35">
        <v>98</v>
      </c>
      <c r="F24" s="34">
        <v>213.10217907000001</v>
      </c>
      <c r="G24" s="36">
        <v>60091</v>
      </c>
      <c r="H24" s="22"/>
      <c r="I24" s="37">
        <v>15.969999999999995</v>
      </c>
      <c r="J24" s="37">
        <v>17.731800000000007</v>
      </c>
      <c r="K24" s="23"/>
      <c r="L24" s="37">
        <v>14.233434459318875</v>
      </c>
      <c r="M24" s="37">
        <v>15.810853680142156</v>
      </c>
    </row>
    <row r="25" spans="1:13" x14ac:dyDescent="0.3">
      <c r="A25" s="33" t="s">
        <v>131</v>
      </c>
      <c r="B25" s="33" t="s">
        <v>18</v>
      </c>
      <c r="C25" s="33" t="s">
        <v>106</v>
      </c>
      <c r="D25" s="34">
        <v>0.49589041095890413</v>
      </c>
      <c r="E25" s="35">
        <v>90</v>
      </c>
      <c r="F25" s="34">
        <v>277.3584133</v>
      </c>
      <c r="G25" s="36">
        <v>95386</v>
      </c>
      <c r="H25" s="22"/>
      <c r="I25" s="37">
        <v>13.291925465838528</v>
      </c>
      <c r="J25" s="37">
        <v>14.274787345814421</v>
      </c>
      <c r="K25" s="23"/>
      <c r="L25" s="37">
        <v>12.607081099840551</v>
      </c>
      <c r="M25" s="37">
        <v>13.20244451367051</v>
      </c>
    </row>
    <row r="26" spans="1:13" x14ac:dyDescent="0.3">
      <c r="A26" s="33" t="s">
        <v>37</v>
      </c>
      <c r="B26" s="33" t="s">
        <v>20</v>
      </c>
      <c r="C26" s="33" t="s">
        <v>65</v>
      </c>
      <c r="D26" s="34">
        <v>0.49589041095890413</v>
      </c>
      <c r="E26" s="35">
        <v>90</v>
      </c>
      <c r="F26" s="34">
        <v>101.20975104999999</v>
      </c>
      <c r="G26" s="36">
        <v>39048</v>
      </c>
      <c r="H26" s="22"/>
      <c r="I26" s="37">
        <v>7.790000000000008</v>
      </c>
      <c r="J26" s="37">
        <v>14.987499999999997</v>
      </c>
      <c r="K26" s="23"/>
      <c r="L26" s="37">
        <v>12.008808129561732</v>
      </c>
      <c r="M26" s="37">
        <v>14.461534010296178</v>
      </c>
    </row>
    <row r="27" spans="1:13" s="49" customFormat="1" ht="30.6" customHeight="1" x14ac:dyDescent="0.3">
      <c r="A27" s="74" t="s">
        <v>66</v>
      </c>
      <c r="B27" s="74"/>
      <c r="C27" s="74"/>
      <c r="D27" s="45"/>
      <c r="E27" s="64"/>
      <c r="F27" s="46"/>
      <c r="G27" s="47" t="s">
        <v>119</v>
      </c>
      <c r="H27" s="45"/>
      <c r="I27" s="48">
        <v>12.090327463466506</v>
      </c>
      <c r="J27" s="48">
        <v>14.139455616970897</v>
      </c>
      <c r="K27" s="45"/>
      <c r="L27" s="45"/>
      <c r="M27" s="45"/>
    </row>
    <row r="28" spans="1:13" x14ac:dyDescent="0.3">
      <c r="A28" s="33" t="s">
        <v>36</v>
      </c>
      <c r="B28" s="33" t="s">
        <v>24</v>
      </c>
      <c r="C28" s="33" t="s">
        <v>67</v>
      </c>
      <c r="D28" s="34">
        <v>0.49589041095890413</v>
      </c>
      <c r="E28" s="63">
        <v>90</v>
      </c>
      <c r="F28" s="34">
        <v>74.372098654400006</v>
      </c>
      <c r="G28" s="36">
        <v>22406</v>
      </c>
      <c r="H28" s="22"/>
      <c r="I28" s="37">
        <v>12.719999999999999</v>
      </c>
      <c r="J28" s="37">
        <v>14.349000000000011</v>
      </c>
      <c r="K28" s="23"/>
      <c r="L28" s="37">
        <v>8.2566888336901769</v>
      </c>
      <c r="M28" s="37">
        <v>13.629772233887374</v>
      </c>
    </row>
    <row r="29" spans="1:13" x14ac:dyDescent="0.3">
      <c r="A29" s="33" t="s">
        <v>130</v>
      </c>
      <c r="B29" s="33" t="s">
        <v>22</v>
      </c>
      <c r="C29" s="33" t="s">
        <v>68</v>
      </c>
      <c r="D29" s="34">
        <v>0.49589041095890413</v>
      </c>
      <c r="E29" s="63">
        <v>89</v>
      </c>
      <c r="F29" s="34">
        <v>103.64374411519999</v>
      </c>
      <c r="G29" s="36">
        <v>22602</v>
      </c>
      <c r="H29" s="22"/>
      <c r="I29" s="37">
        <v>12.020000000000008</v>
      </c>
      <c r="J29" s="37">
        <v>14.104500000000009</v>
      </c>
      <c r="K29" s="23"/>
      <c r="L29" s="37">
        <v>11.388190011605328</v>
      </c>
      <c r="M29" s="37">
        <v>13.416322420646498</v>
      </c>
    </row>
    <row r="30" spans="1:13" x14ac:dyDescent="0.3">
      <c r="A30" s="33" t="s">
        <v>129</v>
      </c>
      <c r="B30" s="33" t="s">
        <v>21</v>
      </c>
      <c r="C30" s="33" t="s">
        <v>69</v>
      </c>
      <c r="D30" s="34">
        <v>0.49589041095890413</v>
      </c>
      <c r="E30" s="63">
        <v>92.9</v>
      </c>
      <c r="F30" s="34">
        <v>205.25630866999998</v>
      </c>
      <c r="G30" s="36">
        <v>52661</v>
      </c>
      <c r="H30" s="22"/>
      <c r="I30" s="37">
        <v>13.319999999999999</v>
      </c>
      <c r="J30" s="37">
        <v>14.051900000000007</v>
      </c>
      <c r="K30" s="23"/>
      <c r="L30" s="37">
        <v>12.358478044271161</v>
      </c>
      <c r="M30" s="37">
        <v>12.876622963850695</v>
      </c>
    </row>
    <row r="31" spans="1:13" x14ac:dyDescent="0.3">
      <c r="A31" s="33" t="s">
        <v>131</v>
      </c>
      <c r="B31" s="33" t="s">
        <v>23</v>
      </c>
      <c r="C31" s="33" t="s">
        <v>105</v>
      </c>
      <c r="D31" s="34">
        <v>0.49589041095890413</v>
      </c>
      <c r="E31" s="63">
        <v>90</v>
      </c>
      <c r="F31" s="34">
        <v>297.90276532999997</v>
      </c>
      <c r="G31" s="36">
        <v>95031</v>
      </c>
      <c r="H31" s="22"/>
      <c r="I31" s="37">
        <v>13.330581923235663</v>
      </c>
      <c r="J31" s="37">
        <v>14.274787345814421</v>
      </c>
      <c r="K31" s="23"/>
      <c r="L31" s="37">
        <v>12.643298488641516</v>
      </c>
      <c r="M31" s="37">
        <v>13.20244451367051</v>
      </c>
    </row>
    <row r="32" spans="1:13" x14ac:dyDescent="0.3">
      <c r="A32" s="33" t="s">
        <v>37</v>
      </c>
      <c r="B32" s="33" t="s">
        <v>25</v>
      </c>
      <c r="C32" s="33" t="s">
        <v>70</v>
      </c>
      <c r="D32" s="34">
        <v>0.49589041095890413</v>
      </c>
      <c r="E32" s="63">
        <v>83</v>
      </c>
      <c r="F32" s="34">
        <v>121.80008477</v>
      </c>
      <c r="G32" s="36">
        <v>41303</v>
      </c>
      <c r="H32" s="22"/>
      <c r="I32" s="37">
        <v>6.6599999999999993</v>
      </c>
      <c r="J32" s="37">
        <v>13.857799999999987</v>
      </c>
      <c r="K32" s="23"/>
      <c r="L32" s="37">
        <v>11.042237273494512</v>
      </c>
      <c r="M32" s="37">
        <v>13.343420517185841</v>
      </c>
    </row>
    <row r="33" spans="1:15" s="49" customFormat="1" ht="30.6" customHeight="1" x14ac:dyDescent="0.3">
      <c r="A33" s="74" t="s">
        <v>71</v>
      </c>
      <c r="B33" s="74"/>
      <c r="C33" s="74"/>
      <c r="D33" s="45"/>
      <c r="E33" s="64"/>
      <c r="F33" s="46"/>
      <c r="G33" s="47" t="s">
        <v>119</v>
      </c>
      <c r="H33" s="45"/>
      <c r="I33" s="48">
        <v>8.6872971835070771</v>
      </c>
      <c r="J33" s="48">
        <v>10.362563302608056</v>
      </c>
      <c r="K33" s="45"/>
      <c r="L33" s="45"/>
      <c r="M33" s="45"/>
    </row>
    <row r="34" spans="1:15" x14ac:dyDescent="0.3">
      <c r="A34" s="33" t="s">
        <v>36</v>
      </c>
      <c r="B34" s="33" t="s">
        <v>27</v>
      </c>
      <c r="C34" s="33" t="s">
        <v>72</v>
      </c>
      <c r="D34" s="34">
        <v>0.49589041095890413</v>
      </c>
      <c r="E34" s="63">
        <v>60</v>
      </c>
      <c r="F34" s="34">
        <v>68.052967335899993</v>
      </c>
      <c r="G34" s="36">
        <v>20585</v>
      </c>
      <c r="H34" s="22"/>
      <c r="I34" s="37">
        <v>9.4600000000000009</v>
      </c>
      <c r="J34" s="37">
        <v>11.749900000000002</v>
      </c>
      <c r="K34" s="23"/>
      <c r="L34" s="37">
        <v>5.933792899343965</v>
      </c>
      <c r="M34" s="37">
        <v>9.3467926713049287</v>
      </c>
    </row>
    <row r="35" spans="1:15" x14ac:dyDescent="0.3">
      <c r="A35" s="33" t="s">
        <v>130</v>
      </c>
      <c r="B35" s="33" t="s">
        <v>29</v>
      </c>
      <c r="C35" s="33" t="s">
        <v>73</v>
      </c>
      <c r="D35" s="34">
        <v>0.49589041095890413</v>
      </c>
      <c r="E35" s="63">
        <v>54</v>
      </c>
      <c r="F35" s="34">
        <v>78.231147028500004</v>
      </c>
      <c r="G35" s="36">
        <v>18230</v>
      </c>
      <c r="H35" s="22"/>
      <c r="I35" s="37">
        <v>8.8600000000000012</v>
      </c>
      <c r="J35" s="37">
        <v>10.166999999999993</v>
      </c>
      <c r="K35" s="23"/>
      <c r="L35" s="37">
        <v>7.0045937651016947</v>
      </c>
      <c r="M35" s="37">
        <v>8.5709418422579251</v>
      </c>
    </row>
    <row r="36" spans="1:15" x14ac:dyDescent="0.3">
      <c r="A36" s="33" t="s">
        <v>129</v>
      </c>
      <c r="B36" s="33" t="s">
        <v>28</v>
      </c>
      <c r="C36" s="33" t="s">
        <v>74</v>
      </c>
      <c r="D36" s="34">
        <v>0.49589041095890413</v>
      </c>
      <c r="E36" s="63">
        <v>58.5</v>
      </c>
      <c r="F36" s="34">
        <v>181.86018058000002</v>
      </c>
      <c r="G36" s="36">
        <v>46666</v>
      </c>
      <c r="H36" s="22"/>
      <c r="I36" s="37">
        <v>9.5800000000000107</v>
      </c>
      <c r="J36" s="37">
        <v>10.950400000000005</v>
      </c>
      <c r="K36" s="23"/>
      <c r="L36" s="37">
        <v>8.0658539637832103</v>
      </c>
      <c r="M36" s="37">
        <v>8.5639744134162381</v>
      </c>
    </row>
    <row r="37" spans="1:15" x14ac:dyDescent="0.3">
      <c r="A37" s="33" t="s">
        <v>131</v>
      </c>
      <c r="B37" s="33" t="s">
        <v>26</v>
      </c>
      <c r="C37" s="33" t="s">
        <v>104</v>
      </c>
      <c r="D37" s="34">
        <v>0.49589041095890413</v>
      </c>
      <c r="E37" s="63">
        <v>59.999999999999986</v>
      </c>
      <c r="F37" s="34">
        <v>263.13295419000002</v>
      </c>
      <c r="G37" s="36">
        <v>84692</v>
      </c>
      <c r="H37" s="22"/>
      <c r="I37" s="37">
        <v>9.5918367346938815</v>
      </c>
      <c r="J37" s="37">
        <v>10.988503398097738</v>
      </c>
      <c r="K37" s="23"/>
      <c r="L37" s="37">
        <v>8.7057334721383182</v>
      </c>
      <c r="M37" s="37">
        <v>9.0485296875424126</v>
      </c>
    </row>
    <row r="38" spans="1:15" x14ac:dyDescent="0.3">
      <c r="A38" s="33" t="s">
        <v>37</v>
      </c>
      <c r="B38" s="33" t="s">
        <v>30</v>
      </c>
      <c r="C38" s="33" t="s">
        <v>75</v>
      </c>
      <c r="D38" s="34">
        <v>0.49589041095890413</v>
      </c>
      <c r="E38" s="63">
        <v>43</v>
      </c>
      <c r="F38" s="34">
        <v>124.14687896</v>
      </c>
      <c r="G38" s="36">
        <v>39616</v>
      </c>
      <c r="H38" s="22"/>
      <c r="I38" s="37">
        <v>4.9299999999999899</v>
      </c>
      <c r="J38" s="37">
        <v>7.537499999999997</v>
      </c>
      <c r="K38" s="23"/>
      <c r="L38" s="37">
        <v>5.8826532949548298</v>
      </c>
      <c r="M38" s="37">
        <v>6.9774488360370537</v>
      </c>
    </row>
    <row r="39" spans="1:15" s="49" customFormat="1" ht="30.6" customHeight="1" x14ac:dyDescent="0.3">
      <c r="A39" s="74" t="s">
        <v>76</v>
      </c>
      <c r="B39" s="74"/>
      <c r="C39" s="74"/>
      <c r="D39" s="45"/>
      <c r="E39" s="64"/>
      <c r="F39" s="46"/>
      <c r="G39" s="47" t="s">
        <v>119</v>
      </c>
      <c r="H39" s="45"/>
      <c r="I39" s="48">
        <v>4.9965228543328744</v>
      </c>
      <c r="J39" s="48">
        <v>6.8010458790290516</v>
      </c>
      <c r="K39" s="45"/>
      <c r="L39" s="45"/>
      <c r="M39" s="45"/>
    </row>
    <row r="40" spans="1:15" x14ac:dyDescent="0.3">
      <c r="A40" s="33" t="s">
        <v>36</v>
      </c>
      <c r="B40" s="33" t="s">
        <v>32</v>
      </c>
      <c r="C40" s="33" t="s">
        <v>77</v>
      </c>
      <c r="D40" s="34">
        <v>0.49589041095890413</v>
      </c>
      <c r="E40" s="63">
        <v>25</v>
      </c>
      <c r="F40" s="34">
        <v>36.870945177000003</v>
      </c>
      <c r="G40" s="36">
        <v>10892</v>
      </c>
      <c r="H40" s="22"/>
      <c r="I40" s="37">
        <v>5.5900000000000061</v>
      </c>
      <c r="J40" s="37">
        <v>8.7373999999999832</v>
      </c>
      <c r="K40" s="23"/>
      <c r="L40" s="37">
        <v>3.4296209642190085</v>
      </c>
      <c r="M40" s="37">
        <v>4.5121434504748326</v>
      </c>
    </row>
    <row r="41" spans="1:15" x14ac:dyDescent="0.3">
      <c r="A41" s="33" t="s">
        <v>130</v>
      </c>
      <c r="B41" s="33" t="s">
        <v>35</v>
      </c>
      <c r="C41" s="33" t="s">
        <v>78</v>
      </c>
      <c r="D41" s="34">
        <v>0.49589041095890413</v>
      </c>
      <c r="E41" s="63">
        <v>13</v>
      </c>
      <c r="F41" s="34">
        <v>27.747197072999999</v>
      </c>
      <c r="G41" s="36">
        <v>6739</v>
      </c>
      <c r="H41" s="22"/>
      <c r="I41" s="37">
        <v>5.0799999999999956</v>
      </c>
      <c r="J41" s="37">
        <v>5.2472000000000074</v>
      </c>
      <c r="K41" s="23"/>
      <c r="L41" s="37">
        <v>2.6645481436883118</v>
      </c>
      <c r="M41" s="37">
        <v>3.1887451692757343</v>
      </c>
    </row>
    <row r="42" spans="1:15" x14ac:dyDescent="0.3">
      <c r="A42" s="33" t="s">
        <v>129</v>
      </c>
      <c r="B42" s="33" t="s">
        <v>33</v>
      </c>
      <c r="C42" s="33" t="s">
        <v>79</v>
      </c>
      <c r="D42" s="34">
        <v>0.49589041095890413</v>
      </c>
      <c r="E42" s="63">
        <v>22.400000000000002</v>
      </c>
      <c r="F42" s="34">
        <v>94.98686721</v>
      </c>
      <c r="G42" s="36">
        <v>23839</v>
      </c>
      <c r="H42" s="22"/>
      <c r="I42" s="37">
        <v>6.6899999999999959</v>
      </c>
      <c r="J42" s="37">
        <v>7.8229000000000104</v>
      </c>
      <c r="K42" s="23"/>
      <c r="L42" s="37">
        <v>4.7761495950597475</v>
      </c>
      <c r="M42" s="37">
        <v>4.0830254361532914</v>
      </c>
    </row>
    <row r="43" spans="1:15" x14ac:dyDescent="0.3">
      <c r="A43" s="33" t="s">
        <v>131</v>
      </c>
      <c r="B43" s="33" t="s">
        <v>31</v>
      </c>
      <c r="C43" s="33" t="s">
        <v>80</v>
      </c>
      <c r="D43" s="34">
        <v>0.49589041095890413</v>
      </c>
      <c r="E43" s="63">
        <v>24.999999999999982</v>
      </c>
      <c r="F43" s="34">
        <v>130.73572842999999</v>
      </c>
      <c r="G43" s="36">
        <v>39434</v>
      </c>
      <c r="H43" s="22"/>
      <c r="I43" s="37">
        <v>4.0899999999999936</v>
      </c>
      <c r="J43" s="37">
        <v>7.2189999999999976</v>
      </c>
      <c r="K43" s="23"/>
      <c r="L43" s="37">
        <v>3.4962026997640767</v>
      </c>
      <c r="M43" s="37">
        <v>4.3476601468269029</v>
      </c>
    </row>
    <row r="44" spans="1:15" x14ac:dyDescent="0.3">
      <c r="A44" s="33" t="s">
        <v>37</v>
      </c>
      <c r="B44" s="33" t="s">
        <v>34</v>
      </c>
      <c r="C44" s="33" t="s">
        <v>81</v>
      </c>
      <c r="D44" s="34">
        <v>0.49589041095890413</v>
      </c>
      <c r="E44" s="63">
        <v>21</v>
      </c>
      <c r="F44" s="34">
        <v>68.14124511</v>
      </c>
      <c r="G44" s="36">
        <v>21445</v>
      </c>
      <c r="H44" s="22"/>
      <c r="I44" s="37">
        <v>4.0200000000000014</v>
      </c>
      <c r="J44" s="37">
        <v>4.1597000000000106</v>
      </c>
      <c r="K44" s="23"/>
      <c r="L44" s="37">
        <v>3.1131294280388788</v>
      </c>
      <c r="M44" s="37">
        <v>3.523668813269488</v>
      </c>
    </row>
    <row r="45" spans="1:15" s="49" customFormat="1" ht="30.6" customHeight="1" x14ac:dyDescent="0.3">
      <c r="A45" s="74" t="s">
        <v>82</v>
      </c>
      <c r="B45" s="74"/>
      <c r="C45" s="74"/>
      <c r="D45" s="45"/>
      <c r="E45" s="64"/>
      <c r="F45" s="46"/>
      <c r="G45" s="47" t="s">
        <v>119</v>
      </c>
      <c r="H45" s="45"/>
      <c r="I45" s="48">
        <v>3.8179011979562709</v>
      </c>
      <c r="J45" s="48">
        <v>4.9464779141499271</v>
      </c>
      <c r="K45" s="45"/>
      <c r="L45" s="45"/>
      <c r="M45" s="45"/>
    </row>
    <row r="46" spans="1:15" x14ac:dyDescent="0.3">
      <c r="A46" s="33" t="s">
        <v>36</v>
      </c>
      <c r="B46" s="33" t="s">
        <v>41</v>
      </c>
      <c r="C46" s="33" t="s">
        <v>83</v>
      </c>
      <c r="D46" s="34">
        <v>0.49589041095890413</v>
      </c>
      <c r="E46" s="63">
        <v>10</v>
      </c>
      <c r="F46" s="34">
        <v>1.7038520555000001</v>
      </c>
      <c r="G46" s="36">
        <v>881</v>
      </c>
      <c r="H46" s="22"/>
      <c r="I46" s="37">
        <v>4.3500000000000094</v>
      </c>
      <c r="J46" s="37">
        <v>7.0602999999999971</v>
      </c>
      <c r="K46" s="23"/>
      <c r="L46" s="37">
        <v>2.2562112950937392</v>
      </c>
      <c r="M46" s="37">
        <v>2.726823132023557</v>
      </c>
      <c r="O46" s="50"/>
    </row>
    <row r="47" spans="1:15" x14ac:dyDescent="0.3">
      <c r="A47" s="33" t="s">
        <v>130</v>
      </c>
      <c r="B47" s="33" t="s">
        <v>39</v>
      </c>
      <c r="C47" s="33" t="s">
        <v>84</v>
      </c>
      <c r="D47" s="34">
        <v>0.49589041095890413</v>
      </c>
      <c r="E47" s="63">
        <v>17</v>
      </c>
      <c r="F47" s="34">
        <v>2.2393414995000001</v>
      </c>
      <c r="G47" s="36">
        <v>687</v>
      </c>
      <c r="H47" s="22"/>
      <c r="I47" s="37">
        <v>4.5199999999999907</v>
      </c>
      <c r="J47" s="37">
        <v>5.2537999999999974</v>
      </c>
      <c r="K47" s="23"/>
      <c r="L47" s="37">
        <v>2.7999657594511596</v>
      </c>
      <c r="M47" s="37">
        <v>3.4522970864891338</v>
      </c>
      <c r="O47" s="50"/>
    </row>
    <row r="48" spans="1:15" x14ac:dyDescent="0.3">
      <c r="A48" s="33" t="s">
        <v>129</v>
      </c>
      <c r="B48" s="33" t="s">
        <v>38</v>
      </c>
      <c r="C48" s="33" t="s">
        <v>85</v>
      </c>
      <c r="D48" s="34">
        <v>0.49589041095890413</v>
      </c>
      <c r="E48" s="63">
        <v>15</v>
      </c>
      <c r="F48" s="34">
        <v>9.4589238200000008</v>
      </c>
      <c r="G48" s="36">
        <v>4131</v>
      </c>
      <c r="H48" s="22"/>
      <c r="I48" s="37">
        <v>4.5500000000000096</v>
      </c>
      <c r="J48" s="37">
        <v>5.2921999999999914</v>
      </c>
      <c r="K48" s="23"/>
      <c r="L48" s="37">
        <v>2.4213018681869958</v>
      </c>
      <c r="M48" s="37">
        <v>2.526246274406815</v>
      </c>
      <c r="O48" s="50"/>
    </row>
    <row r="49" spans="1:15" x14ac:dyDescent="0.3">
      <c r="A49" s="33" t="s">
        <v>131</v>
      </c>
      <c r="B49" s="33" t="s">
        <v>40</v>
      </c>
      <c r="C49" s="33" t="s">
        <v>86</v>
      </c>
      <c r="D49" s="34">
        <v>0.49589041095890413</v>
      </c>
      <c r="E49" s="63">
        <v>15</v>
      </c>
      <c r="F49" s="34">
        <v>10.962769789999999</v>
      </c>
      <c r="G49" s="36">
        <v>2673</v>
      </c>
      <c r="H49" s="22"/>
      <c r="I49" s="37">
        <v>3.180000000000005</v>
      </c>
      <c r="J49" s="37">
        <v>6.1549000000000076</v>
      </c>
      <c r="K49" s="23"/>
      <c r="L49" s="37">
        <v>2.548255716466461</v>
      </c>
      <c r="M49" s="37">
        <v>3.1351048445172545</v>
      </c>
      <c r="O49" s="50"/>
    </row>
    <row r="50" spans="1:15" x14ac:dyDescent="0.3">
      <c r="A50" s="33" t="s">
        <v>37</v>
      </c>
      <c r="B50" s="33" t="s">
        <v>42</v>
      </c>
      <c r="C50" s="33" t="s">
        <v>87</v>
      </c>
      <c r="D50" s="34">
        <v>0.49589041095890413</v>
      </c>
      <c r="E50" s="63">
        <v>10</v>
      </c>
      <c r="F50" s="34">
        <v>4.5663079500000006</v>
      </c>
      <c r="G50" s="36">
        <v>2353</v>
      </c>
      <c r="H50" s="22"/>
      <c r="I50" s="37">
        <v>3.2899999999999929</v>
      </c>
      <c r="J50" s="37">
        <v>0.38970000000000393</v>
      </c>
      <c r="K50" s="23"/>
      <c r="L50" s="37">
        <v>2.4764452275781346</v>
      </c>
      <c r="M50" s="37">
        <v>0.55776777990988102</v>
      </c>
      <c r="O50" s="50"/>
    </row>
    <row r="51" spans="1:15" x14ac:dyDescent="0.3">
      <c r="D51" s="7"/>
      <c r="E51" s="20"/>
      <c r="F51" s="21"/>
      <c r="G51" s="8"/>
      <c r="H51" s="6"/>
      <c r="I51" s="9"/>
      <c r="J51" s="10"/>
      <c r="K51" s="11"/>
      <c r="L51" s="12"/>
      <c r="M51" s="13"/>
      <c r="N51" s="2"/>
    </row>
    <row r="52" spans="1:15" s="44" customFormat="1" x14ac:dyDescent="0.3">
      <c r="A52" s="38"/>
      <c r="B52" s="38"/>
      <c r="C52" s="38"/>
      <c r="D52" s="38"/>
      <c r="E52" s="39"/>
      <c r="F52" s="40"/>
      <c r="G52" s="41" t="s">
        <v>128</v>
      </c>
      <c r="H52" s="42"/>
      <c r="I52" s="42">
        <v>10.844854272572272</v>
      </c>
      <c r="J52" s="42">
        <v>12.842729149307484</v>
      </c>
      <c r="K52" s="42"/>
      <c r="L52" s="42"/>
      <c r="M52" s="42"/>
      <c r="N52" s="43"/>
    </row>
    <row r="53" spans="1:15" x14ac:dyDescent="0.3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2"/>
      <c r="N53" s="2"/>
    </row>
    <row r="54" spans="1:15" s="52" customFormat="1" ht="13.8" x14ac:dyDescent="0.3">
      <c r="A54" s="51" t="s">
        <v>121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</row>
    <row r="55" spans="1:15" s="52" customFormat="1" ht="13.8" x14ac:dyDescent="0.3">
      <c r="A55" s="51" t="s">
        <v>100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</row>
    <row r="56" spans="1:15" s="52" customFormat="1" ht="13.8" x14ac:dyDescent="0.3">
      <c r="A56" s="51" t="s">
        <v>112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</row>
    <row r="57" spans="1:15" s="52" customFormat="1" ht="13.8" x14ac:dyDescent="0.3">
      <c r="A57" s="51" t="s">
        <v>111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</row>
    <row r="58" spans="1:15" s="52" customFormat="1" ht="13.8" x14ac:dyDescent="0.3">
      <c r="A58" s="51" t="s">
        <v>132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5" s="52" customFormat="1" ht="13.8" x14ac:dyDescent="0.3">
      <c r="A59" s="54" t="s">
        <v>113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</row>
    <row r="60" spans="1:15" s="52" customFormat="1" ht="13.8" x14ac:dyDescent="0.3">
      <c r="A60" s="53" t="s">
        <v>110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</row>
    <row r="61" spans="1:15" s="52" customFormat="1" ht="13.8" x14ac:dyDescent="0.3">
      <c r="A61" s="53" t="s">
        <v>120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5" x14ac:dyDescent="0.3">
      <c r="D62" s="6"/>
      <c r="E62" s="6"/>
      <c r="F62" s="6"/>
      <c r="G62" s="6"/>
      <c r="H62" s="6"/>
      <c r="I62" s="6"/>
      <c r="J62" s="6"/>
      <c r="K62" s="6"/>
      <c r="L62" s="6"/>
    </row>
    <row r="69" spans="4:5" x14ac:dyDescent="0.3">
      <c r="D69" s="1"/>
      <c r="E69" s="1"/>
    </row>
  </sheetData>
  <mergeCells count="13">
    <mergeCell ref="D1:D2"/>
    <mergeCell ref="F1:F2"/>
    <mergeCell ref="G1:G2"/>
    <mergeCell ref="I1:J1"/>
    <mergeCell ref="L1:M1"/>
    <mergeCell ref="A33:C33"/>
    <mergeCell ref="A39:C39"/>
    <mergeCell ref="A45:C45"/>
    <mergeCell ref="A3:C3"/>
    <mergeCell ref="A9:C9"/>
    <mergeCell ref="A15:C15"/>
    <mergeCell ref="A21:C21"/>
    <mergeCell ref="A27:C27"/>
  </mergeCells>
  <conditionalFormatting sqref="I51">
    <cfRule type="top10" dxfId="80" priority="110" percent="1" rank="10"/>
  </conditionalFormatting>
  <conditionalFormatting sqref="I4:J8">
    <cfRule type="cellIs" dxfId="79" priority="31" operator="greaterThanOrEqual">
      <formula>0</formula>
    </cfRule>
    <cfRule type="cellIs" dxfId="78" priority="32" operator="lessThan">
      <formula>0</formula>
    </cfRule>
  </conditionalFormatting>
  <conditionalFormatting sqref="L46:M50">
    <cfRule type="cellIs" dxfId="77" priority="1" operator="greaterThanOrEqual">
      <formula>0</formula>
    </cfRule>
    <cfRule type="cellIs" dxfId="76" priority="2" operator="lessThan">
      <formula>0</formula>
    </cfRule>
  </conditionalFormatting>
  <conditionalFormatting sqref="L4:M8">
    <cfRule type="cellIs" dxfId="75" priority="29" operator="greaterThanOrEqual">
      <formula>0</formula>
    </cfRule>
    <cfRule type="cellIs" dxfId="74" priority="30" operator="lessThan">
      <formula>0</formula>
    </cfRule>
  </conditionalFormatting>
  <conditionalFormatting sqref="I10:J14">
    <cfRule type="cellIs" dxfId="73" priority="27" operator="greaterThanOrEqual">
      <formula>0</formula>
    </cfRule>
    <cfRule type="cellIs" dxfId="72" priority="28" operator="lessThan">
      <formula>0</formula>
    </cfRule>
  </conditionalFormatting>
  <conditionalFormatting sqref="L10:M14">
    <cfRule type="cellIs" dxfId="71" priority="25" operator="greaterThanOrEqual">
      <formula>0</formula>
    </cfRule>
    <cfRule type="cellIs" dxfId="70" priority="26" operator="lessThan">
      <formula>0</formula>
    </cfRule>
  </conditionalFormatting>
  <conditionalFormatting sqref="I16:J20">
    <cfRule type="cellIs" dxfId="69" priority="23" operator="greaterThanOrEqual">
      <formula>0</formula>
    </cfRule>
    <cfRule type="cellIs" dxfId="68" priority="24" operator="lessThan">
      <formula>0</formula>
    </cfRule>
  </conditionalFormatting>
  <conditionalFormatting sqref="L16:M20">
    <cfRule type="cellIs" dxfId="67" priority="21" operator="greaterThanOrEqual">
      <formula>0</formula>
    </cfRule>
    <cfRule type="cellIs" dxfId="66" priority="22" operator="lessThan">
      <formula>0</formula>
    </cfRule>
  </conditionalFormatting>
  <conditionalFormatting sqref="I22:J26">
    <cfRule type="cellIs" dxfId="65" priority="19" operator="greaterThanOrEqual">
      <formula>0</formula>
    </cfRule>
    <cfRule type="cellIs" dxfId="64" priority="20" operator="lessThan">
      <formula>0</formula>
    </cfRule>
  </conditionalFormatting>
  <conditionalFormatting sqref="L22:M26">
    <cfRule type="cellIs" dxfId="63" priority="17" operator="greaterThanOrEqual">
      <formula>0</formula>
    </cfRule>
    <cfRule type="cellIs" dxfId="62" priority="18" operator="lessThan">
      <formula>0</formula>
    </cfRule>
  </conditionalFormatting>
  <conditionalFormatting sqref="I28:J32">
    <cfRule type="cellIs" dxfId="61" priority="15" operator="greaterThanOrEqual">
      <formula>0</formula>
    </cfRule>
    <cfRule type="cellIs" dxfId="60" priority="16" operator="lessThan">
      <formula>0</formula>
    </cfRule>
  </conditionalFormatting>
  <conditionalFormatting sqref="L28:M32">
    <cfRule type="cellIs" dxfId="59" priority="13" operator="greaterThanOrEqual">
      <formula>0</formula>
    </cfRule>
    <cfRule type="cellIs" dxfId="58" priority="14" operator="lessThan">
      <formula>0</formula>
    </cfRule>
  </conditionalFormatting>
  <conditionalFormatting sqref="I34:J38">
    <cfRule type="cellIs" dxfId="57" priority="11" operator="greaterThanOrEqual">
      <formula>0</formula>
    </cfRule>
    <cfRule type="cellIs" dxfId="56" priority="12" operator="lessThan">
      <formula>0</formula>
    </cfRule>
  </conditionalFormatting>
  <conditionalFormatting sqref="L34:M38">
    <cfRule type="cellIs" dxfId="55" priority="9" operator="greaterThanOrEqual">
      <formula>0</formula>
    </cfRule>
    <cfRule type="cellIs" dxfId="54" priority="10" operator="lessThan">
      <formula>0</formula>
    </cfRule>
  </conditionalFormatting>
  <conditionalFormatting sqref="I40:J44">
    <cfRule type="cellIs" dxfId="53" priority="7" operator="greaterThanOrEqual">
      <formula>0</formula>
    </cfRule>
    <cfRule type="cellIs" dxfId="52" priority="8" operator="lessThan">
      <formula>0</formula>
    </cfRule>
  </conditionalFormatting>
  <conditionalFormatting sqref="L40:M44">
    <cfRule type="cellIs" dxfId="51" priority="5" operator="greaterThanOrEqual">
      <formula>0</formula>
    </cfRule>
    <cfRule type="cellIs" dxfId="50" priority="6" operator="lessThan">
      <formula>0</formula>
    </cfRule>
  </conditionalFormatting>
  <conditionalFormatting sqref="I46:J50">
    <cfRule type="cellIs" dxfId="49" priority="3" operator="greaterThanOrEqual">
      <formula>0</formula>
    </cfRule>
    <cfRule type="cellIs" dxfId="48" priority="4" operator="lessThan">
      <formula>0</formula>
    </cfRule>
  </conditionalFormatting>
  <hyperlinks>
    <hyperlink ref="E1" location="Strategijų_palyginimas!A1" display="Strategija "/>
    <hyperlink ref="A3" location="'1996-2002'!A1" display="Tikslinės pensijų fondų dalyvių grupės pensijų fondai, 1996-2002"/>
    <hyperlink ref="A9" location="'1989-1995'!A1" display="Tikslinės pensijų fondų dalyvių grupės pensijų fondai, 1989-1995"/>
    <hyperlink ref="A15" location="'1982-1988'!A1" display="Tikslinės pensijų fondų dalyvių grupės pensijų fondai, 1982-1988"/>
    <hyperlink ref="A21" location="'1975-1981'!A1" display="Tikslinės pensijų fondų dalyvių grupės pensijų fondai, 1975-1981"/>
    <hyperlink ref="A27" location="'1968-1974'!A1" display="Tikslinės pensijų fondų dalyvių grupės pensijų fondai, 1968-1974"/>
    <hyperlink ref="A33" location="'1961-1967'!A1" display="Tikslinės pensijų fondų dalyvių grupės pensijų fondai, 1961-1967"/>
    <hyperlink ref="A39" location="'1954-1960'!A1" display="Tikslinės pensijų fondų dalyvių grupės pensijų fondai, 1954-1960"/>
    <hyperlink ref="A45" location="TIF!A1" display="Pensijų turto išsaugojimo pensijų fondai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7D"/>
  </sheetPr>
  <dimension ref="A1:K63"/>
  <sheetViews>
    <sheetView zoomScale="70" zoomScaleNormal="70" workbookViewId="0"/>
  </sheetViews>
  <sheetFormatPr defaultRowHeight="11.4" x14ac:dyDescent="0.2"/>
  <cols>
    <col min="1" max="1" width="47.88671875" style="67" customWidth="1"/>
    <col min="2" max="2" width="13.88671875" style="67" customWidth="1"/>
    <col min="3" max="3" width="14.6640625" style="67" customWidth="1"/>
    <col min="4" max="4" width="17.6640625" style="66" customWidth="1"/>
    <col min="5" max="5" width="23.44140625" style="66" customWidth="1"/>
    <col min="6" max="6" width="24.109375" style="66" customWidth="1"/>
    <col min="7" max="7" width="24" style="66" customWidth="1"/>
    <col min="8" max="8" width="25.88671875" style="66" customWidth="1"/>
    <col min="9" max="9" width="25.6640625" style="66" customWidth="1"/>
    <col min="10" max="10" width="21.33203125" style="66" customWidth="1"/>
    <col min="11" max="11" width="19.88671875" style="66" customWidth="1"/>
    <col min="12" max="12" width="8.88671875" style="67"/>
    <col min="13" max="13" width="9.33203125" style="67" bestFit="1" customWidth="1"/>
    <col min="14" max="14" width="10.5546875" style="67" bestFit="1" customWidth="1"/>
    <col min="15" max="15" width="9.5546875" style="67" bestFit="1" customWidth="1"/>
    <col min="16" max="249" width="8.88671875" style="67"/>
    <col min="250" max="250" width="39.109375" style="67" bestFit="1" customWidth="1"/>
    <col min="251" max="251" width="13.44140625" style="67" customWidth="1"/>
    <col min="252" max="252" width="15" style="67" customWidth="1"/>
    <col min="253" max="253" width="20.109375" style="67" bestFit="1" customWidth="1"/>
    <col min="254" max="254" width="25.33203125" style="67" customWidth="1"/>
    <col min="255" max="255" width="25.6640625" style="67" customWidth="1"/>
    <col min="256" max="256" width="30" style="67" bestFit="1" customWidth="1"/>
    <col min="257" max="257" width="25.33203125" style="67" bestFit="1" customWidth="1"/>
    <col min="258" max="258" width="16.5546875" style="67" customWidth="1"/>
    <col min="259" max="259" width="17.44140625" style="67" customWidth="1"/>
    <col min="260" max="505" width="8.88671875" style="67"/>
    <col min="506" max="506" width="39.109375" style="67" bestFit="1" customWidth="1"/>
    <col min="507" max="507" width="13.44140625" style="67" customWidth="1"/>
    <col min="508" max="508" width="15" style="67" customWidth="1"/>
    <col min="509" max="509" width="20.109375" style="67" bestFit="1" customWidth="1"/>
    <col min="510" max="510" width="25.33203125" style="67" customWidth="1"/>
    <col min="511" max="511" width="25.6640625" style="67" customWidth="1"/>
    <col min="512" max="512" width="30" style="67" bestFit="1" customWidth="1"/>
    <col min="513" max="513" width="25.33203125" style="67" bestFit="1" customWidth="1"/>
    <col min="514" max="514" width="16.5546875" style="67" customWidth="1"/>
    <col min="515" max="515" width="17.44140625" style="67" customWidth="1"/>
    <col min="516" max="761" width="8.88671875" style="67"/>
    <col min="762" max="762" width="39.109375" style="67" bestFit="1" customWidth="1"/>
    <col min="763" max="763" width="13.44140625" style="67" customWidth="1"/>
    <col min="764" max="764" width="15" style="67" customWidth="1"/>
    <col min="765" max="765" width="20.109375" style="67" bestFit="1" customWidth="1"/>
    <col min="766" max="766" width="25.33203125" style="67" customWidth="1"/>
    <col min="767" max="767" width="25.6640625" style="67" customWidth="1"/>
    <col min="768" max="768" width="30" style="67" bestFit="1" customWidth="1"/>
    <col min="769" max="769" width="25.33203125" style="67" bestFit="1" customWidth="1"/>
    <col min="770" max="770" width="16.5546875" style="67" customWidth="1"/>
    <col min="771" max="771" width="17.44140625" style="67" customWidth="1"/>
    <col min="772" max="1017" width="8.88671875" style="67"/>
    <col min="1018" max="1018" width="39.109375" style="67" bestFit="1" customWidth="1"/>
    <col min="1019" max="1019" width="13.44140625" style="67" customWidth="1"/>
    <col min="1020" max="1020" width="15" style="67" customWidth="1"/>
    <col min="1021" max="1021" width="20.109375" style="67" bestFit="1" customWidth="1"/>
    <col min="1022" max="1022" width="25.33203125" style="67" customWidth="1"/>
    <col min="1023" max="1023" width="25.6640625" style="67" customWidth="1"/>
    <col min="1024" max="1024" width="30" style="67" bestFit="1" customWidth="1"/>
    <col min="1025" max="1025" width="25.33203125" style="67" bestFit="1" customWidth="1"/>
    <col min="1026" max="1026" width="16.5546875" style="67" customWidth="1"/>
    <col min="1027" max="1027" width="17.44140625" style="67" customWidth="1"/>
    <col min="1028" max="1273" width="8.88671875" style="67"/>
    <col min="1274" max="1274" width="39.109375" style="67" bestFit="1" customWidth="1"/>
    <col min="1275" max="1275" width="13.44140625" style="67" customWidth="1"/>
    <col min="1276" max="1276" width="15" style="67" customWidth="1"/>
    <col min="1277" max="1277" width="20.109375" style="67" bestFit="1" customWidth="1"/>
    <col min="1278" max="1278" width="25.33203125" style="67" customWidth="1"/>
    <col min="1279" max="1279" width="25.6640625" style="67" customWidth="1"/>
    <col min="1280" max="1280" width="30" style="67" bestFit="1" customWidth="1"/>
    <col min="1281" max="1281" width="25.33203125" style="67" bestFit="1" customWidth="1"/>
    <col min="1282" max="1282" width="16.5546875" style="67" customWidth="1"/>
    <col min="1283" max="1283" width="17.44140625" style="67" customWidth="1"/>
    <col min="1284" max="1529" width="8.88671875" style="67"/>
    <col min="1530" max="1530" width="39.109375" style="67" bestFit="1" customWidth="1"/>
    <col min="1531" max="1531" width="13.44140625" style="67" customWidth="1"/>
    <col min="1532" max="1532" width="15" style="67" customWidth="1"/>
    <col min="1533" max="1533" width="20.109375" style="67" bestFit="1" customWidth="1"/>
    <col min="1534" max="1534" width="25.33203125" style="67" customWidth="1"/>
    <col min="1535" max="1535" width="25.6640625" style="67" customWidth="1"/>
    <col min="1536" max="1536" width="30" style="67" bestFit="1" customWidth="1"/>
    <col min="1537" max="1537" width="25.33203125" style="67" bestFit="1" customWidth="1"/>
    <col min="1538" max="1538" width="16.5546875" style="67" customWidth="1"/>
    <col min="1539" max="1539" width="17.44140625" style="67" customWidth="1"/>
    <col min="1540" max="1785" width="8.88671875" style="67"/>
    <col min="1786" max="1786" width="39.109375" style="67" bestFit="1" customWidth="1"/>
    <col min="1787" max="1787" width="13.44140625" style="67" customWidth="1"/>
    <col min="1788" max="1788" width="15" style="67" customWidth="1"/>
    <col min="1789" max="1789" width="20.109375" style="67" bestFit="1" customWidth="1"/>
    <col min="1790" max="1790" width="25.33203125" style="67" customWidth="1"/>
    <col min="1791" max="1791" width="25.6640625" style="67" customWidth="1"/>
    <col min="1792" max="1792" width="30" style="67" bestFit="1" customWidth="1"/>
    <col min="1793" max="1793" width="25.33203125" style="67" bestFit="1" customWidth="1"/>
    <col min="1794" max="1794" width="16.5546875" style="67" customWidth="1"/>
    <col min="1795" max="1795" width="17.44140625" style="67" customWidth="1"/>
    <col min="1796" max="2041" width="8.88671875" style="67"/>
    <col min="2042" max="2042" width="39.109375" style="67" bestFit="1" customWidth="1"/>
    <col min="2043" max="2043" width="13.44140625" style="67" customWidth="1"/>
    <col min="2044" max="2044" width="15" style="67" customWidth="1"/>
    <col min="2045" max="2045" width="20.109375" style="67" bestFit="1" customWidth="1"/>
    <col min="2046" max="2046" width="25.33203125" style="67" customWidth="1"/>
    <col min="2047" max="2047" width="25.6640625" style="67" customWidth="1"/>
    <col min="2048" max="2048" width="30" style="67" bestFit="1" customWidth="1"/>
    <col min="2049" max="2049" width="25.33203125" style="67" bestFit="1" customWidth="1"/>
    <col min="2050" max="2050" width="16.5546875" style="67" customWidth="1"/>
    <col min="2051" max="2051" width="17.44140625" style="67" customWidth="1"/>
    <col min="2052" max="2297" width="8.88671875" style="67"/>
    <col min="2298" max="2298" width="39.109375" style="67" bestFit="1" customWidth="1"/>
    <col min="2299" max="2299" width="13.44140625" style="67" customWidth="1"/>
    <col min="2300" max="2300" width="15" style="67" customWidth="1"/>
    <col min="2301" max="2301" width="20.109375" style="67" bestFit="1" customWidth="1"/>
    <col min="2302" max="2302" width="25.33203125" style="67" customWidth="1"/>
    <col min="2303" max="2303" width="25.6640625" style="67" customWidth="1"/>
    <col min="2304" max="2304" width="30" style="67" bestFit="1" customWidth="1"/>
    <col min="2305" max="2305" width="25.33203125" style="67" bestFit="1" customWidth="1"/>
    <col min="2306" max="2306" width="16.5546875" style="67" customWidth="1"/>
    <col min="2307" max="2307" width="17.44140625" style="67" customWidth="1"/>
    <col min="2308" max="2553" width="8.88671875" style="67"/>
    <col min="2554" max="2554" width="39.109375" style="67" bestFit="1" customWidth="1"/>
    <col min="2555" max="2555" width="13.44140625" style="67" customWidth="1"/>
    <col min="2556" max="2556" width="15" style="67" customWidth="1"/>
    <col min="2557" max="2557" width="20.109375" style="67" bestFit="1" customWidth="1"/>
    <col min="2558" max="2558" width="25.33203125" style="67" customWidth="1"/>
    <col min="2559" max="2559" width="25.6640625" style="67" customWidth="1"/>
    <col min="2560" max="2560" width="30" style="67" bestFit="1" customWidth="1"/>
    <col min="2561" max="2561" width="25.33203125" style="67" bestFit="1" customWidth="1"/>
    <col min="2562" max="2562" width="16.5546875" style="67" customWidth="1"/>
    <col min="2563" max="2563" width="17.44140625" style="67" customWidth="1"/>
    <col min="2564" max="2809" width="8.88671875" style="67"/>
    <col min="2810" max="2810" width="39.109375" style="67" bestFit="1" customWidth="1"/>
    <col min="2811" max="2811" width="13.44140625" style="67" customWidth="1"/>
    <col min="2812" max="2812" width="15" style="67" customWidth="1"/>
    <col min="2813" max="2813" width="20.109375" style="67" bestFit="1" customWidth="1"/>
    <col min="2814" max="2814" width="25.33203125" style="67" customWidth="1"/>
    <col min="2815" max="2815" width="25.6640625" style="67" customWidth="1"/>
    <col min="2816" max="2816" width="30" style="67" bestFit="1" customWidth="1"/>
    <col min="2817" max="2817" width="25.33203125" style="67" bestFit="1" customWidth="1"/>
    <col min="2818" max="2818" width="16.5546875" style="67" customWidth="1"/>
    <col min="2819" max="2819" width="17.44140625" style="67" customWidth="1"/>
    <col min="2820" max="3065" width="8.88671875" style="67"/>
    <col min="3066" max="3066" width="39.109375" style="67" bestFit="1" customWidth="1"/>
    <col min="3067" max="3067" width="13.44140625" style="67" customWidth="1"/>
    <col min="3068" max="3068" width="15" style="67" customWidth="1"/>
    <col min="3069" max="3069" width="20.109375" style="67" bestFit="1" customWidth="1"/>
    <col min="3070" max="3070" width="25.33203125" style="67" customWidth="1"/>
    <col min="3071" max="3071" width="25.6640625" style="67" customWidth="1"/>
    <col min="3072" max="3072" width="30" style="67" bestFit="1" customWidth="1"/>
    <col min="3073" max="3073" width="25.33203125" style="67" bestFit="1" customWidth="1"/>
    <col min="3074" max="3074" width="16.5546875" style="67" customWidth="1"/>
    <col min="3075" max="3075" width="17.44140625" style="67" customWidth="1"/>
    <col min="3076" max="3321" width="8.88671875" style="67"/>
    <col min="3322" max="3322" width="39.109375" style="67" bestFit="1" customWidth="1"/>
    <col min="3323" max="3323" width="13.44140625" style="67" customWidth="1"/>
    <col min="3324" max="3324" width="15" style="67" customWidth="1"/>
    <col min="3325" max="3325" width="20.109375" style="67" bestFit="1" customWidth="1"/>
    <col min="3326" max="3326" width="25.33203125" style="67" customWidth="1"/>
    <col min="3327" max="3327" width="25.6640625" style="67" customWidth="1"/>
    <col min="3328" max="3328" width="30" style="67" bestFit="1" customWidth="1"/>
    <col min="3329" max="3329" width="25.33203125" style="67" bestFit="1" customWidth="1"/>
    <col min="3330" max="3330" width="16.5546875" style="67" customWidth="1"/>
    <col min="3331" max="3331" width="17.44140625" style="67" customWidth="1"/>
    <col min="3332" max="3577" width="8.88671875" style="67"/>
    <col min="3578" max="3578" width="39.109375" style="67" bestFit="1" customWidth="1"/>
    <col min="3579" max="3579" width="13.44140625" style="67" customWidth="1"/>
    <col min="3580" max="3580" width="15" style="67" customWidth="1"/>
    <col min="3581" max="3581" width="20.109375" style="67" bestFit="1" customWidth="1"/>
    <col min="3582" max="3582" width="25.33203125" style="67" customWidth="1"/>
    <col min="3583" max="3583" width="25.6640625" style="67" customWidth="1"/>
    <col min="3584" max="3584" width="30" style="67" bestFit="1" customWidth="1"/>
    <col min="3585" max="3585" width="25.33203125" style="67" bestFit="1" customWidth="1"/>
    <col min="3586" max="3586" width="16.5546875" style="67" customWidth="1"/>
    <col min="3587" max="3587" width="17.44140625" style="67" customWidth="1"/>
    <col min="3588" max="3833" width="8.88671875" style="67"/>
    <col min="3834" max="3834" width="39.109375" style="67" bestFit="1" customWidth="1"/>
    <col min="3835" max="3835" width="13.44140625" style="67" customWidth="1"/>
    <col min="3836" max="3836" width="15" style="67" customWidth="1"/>
    <col min="3837" max="3837" width="20.109375" style="67" bestFit="1" customWidth="1"/>
    <col min="3838" max="3838" width="25.33203125" style="67" customWidth="1"/>
    <col min="3839" max="3839" width="25.6640625" style="67" customWidth="1"/>
    <col min="3840" max="3840" width="30" style="67" bestFit="1" customWidth="1"/>
    <col min="3841" max="3841" width="25.33203125" style="67" bestFit="1" customWidth="1"/>
    <col min="3842" max="3842" width="16.5546875" style="67" customWidth="1"/>
    <col min="3843" max="3843" width="17.44140625" style="67" customWidth="1"/>
    <col min="3844" max="4089" width="8.88671875" style="67"/>
    <col min="4090" max="4090" width="39.109375" style="67" bestFit="1" customWidth="1"/>
    <col min="4091" max="4091" width="13.44140625" style="67" customWidth="1"/>
    <col min="4092" max="4092" width="15" style="67" customWidth="1"/>
    <col min="4093" max="4093" width="20.109375" style="67" bestFit="1" customWidth="1"/>
    <col min="4094" max="4094" width="25.33203125" style="67" customWidth="1"/>
    <col min="4095" max="4095" width="25.6640625" style="67" customWidth="1"/>
    <col min="4096" max="4096" width="30" style="67" bestFit="1" customWidth="1"/>
    <col min="4097" max="4097" width="25.33203125" style="67" bestFit="1" customWidth="1"/>
    <col min="4098" max="4098" width="16.5546875" style="67" customWidth="1"/>
    <col min="4099" max="4099" width="17.44140625" style="67" customWidth="1"/>
    <col min="4100" max="4345" width="8.88671875" style="67"/>
    <col min="4346" max="4346" width="39.109375" style="67" bestFit="1" customWidth="1"/>
    <col min="4347" max="4347" width="13.44140625" style="67" customWidth="1"/>
    <col min="4348" max="4348" width="15" style="67" customWidth="1"/>
    <col min="4349" max="4349" width="20.109375" style="67" bestFit="1" customWidth="1"/>
    <col min="4350" max="4350" width="25.33203125" style="67" customWidth="1"/>
    <col min="4351" max="4351" width="25.6640625" style="67" customWidth="1"/>
    <col min="4352" max="4352" width="30" style="67" bestFit="1" customWidth="1"/>
    <col min="4353" max="4353" width="25.33203125" style="67" bestFit="1" customWidth="1"/>
    <col min="4354" max="4354" width="16.5546875" style="67" customWidth="1"/>
    <col min="4355" max="4355" width="17.44140625" style="67" customWidth="1"/>
    <col min="4356" max="4601" width="8.88671875" style="67"/>
    <col min="4602" max="4602" width="39.109375" style="67" bestFit="1" customWidth="1"/>
    <col min="4603" max="4603" width="13.44140625" style="67" customWidth="1"/>
    <col min="4604" max="4604" width="15" style="67" customWidth="1"/>
    <col min="4605" max="4605" width="20.109375" style="67" bestFit="1" customWidth="1"/>
    <col min="4606" max="4606" width="25.33203125" style="67" customWidth="1"/>
    <col min="4607" max="4607" width="25.6640625" style="67" customWidth="1"/>
    <col min="4608" max="4608" width="30" style="67" bestFit="1" customWidth="1"/>
    <col min="4609" max="4609" width="25.33203125" style="67" bestFit="1" customWidth="1"/>
    <col min="4610" max="4610" width="16.5546875" style="67" customWidth="1"/>
    <col min="4611" max="4611" width="17.44140625" style="67" customWidth="1"/>
    <col min="4612" max="4857" width="8.88671875" style="67"/>
    <col min="4858" max="4858" width="39.109375" style="67" bestFit="1" customWidth="1"/>
    <col min="4859" max="4859" width="13.44140625" style="67" customWidth="1"/>
    <col min="4860" max="4860" width="15" style="67" customWidth="1"/>
    <col min="4861" max="4861" width="20.109375" style="67" bestFit="1" customWidth="1"/>
    <col min="4862" max="4862" width="25.33203125" style="67" customWidth="1"/>
    <col min="4863" max="4863" width="25.6640625" style="67" customWidth="1"/>
    <col min="4864" max="4864" width="30" style="67" bestFit="1" customWidth="1"/>
    <col min="4865" max="4865" width="25.33203125" style="67" bestFit="1" customWidth="1"/>
    <col min="4866" max="4866" width="16.5546875" style="67" customWidth="1"/>
    <col min="4867" max="4867" width="17.44140625" style="67" customWidth="1"/>
    <col min="4868" max="5113" width="8.88671875" style="67"/>
    <col min="5114" max="5114" width="39.109375" style="67" bestFit="1" customWidth="1"/>
    <col min="5115" max="5115" width="13.44140625" style="67" customWidth="1"/>
    <col min="5116" max="5116" width="15" style="67" customWidth="1"/>
    <col min="5117" max="5117" width="20.109375" style="67" bestFit="1" customWidth="1"/>
    <col min="5118" max="5118" width="25.33203125" style="67" customWidth="1"/>
    <col min="5119" max="5119" width="25.6640625" style="67" customWidth="1"/>
    <col min="5120" max="5120" width="30" style="67" bestFit="1" customWidth="1"/>
    <col min="5121" max="5121" width="25.33203125" style="67" bestFit="1" customWidth="1"/>
    <col min="5122" max="5122" width="16.5546875" style="67" customWidth="1"/>
    <col min="5123" max="5123" width="17.44140625" style="67" customWidth="1"/>
    <col min="5124" max="5369" width="8.88671875" style="67"/>
    <col min="5370" max="5370" width="39.109375" style="67" bestFit="1" customWidth="1"/>
    <col min="5371" max="5371" width="13.44140625" style="67" customWidth="1"/>
    <col min="5372" max="5372" width="15" style="67" customWidth="1"/>
    <col min="5373" max="5373" width="20.109375" style="67" bestFit="1" customWidth="1"/>
    <col min="5374" max="5374" width="25.33203125" style="67" customWidth="1"/>
    <col min="5375" max="5375" width="25.6640625" style="67" customWidth="1"/>
    <col min="5376" max="5376" width="30" style="67" bestFit="1" customWidth="1"/>
    <col min="5377" max="5377" width="25.33203125" style="67" bestFit="1" customWidth="1"/>
    <col min="5378" max="5378" width="16.5546875" style="67" customWidth="1"/>
    <col min="5379" max="5379" width="17.44140625" style="67" customWidth="1"/>
    <col min="5380" max="5625" width="8.88671875" style="67"/>
    <col min="5626" max="5626" width="39.109375" style="67" bestFit="1" customWidth="1"/>
    <col min="5627" max="5627" width="13.44140625" style="67" customWidth="1"/>
    <col min="5628" max="5628" width="15" style="67" customWidth="1"/>
    <col min="5629" max="5629" width="20.109375" style="67" bestFit="1" customWidth="1"/>
    <col min="5630" max="5630" width="25.33203125" style="67" customWidth="1"/>
    <col min="5631" max="5631" width="25.6640625" style="67" customWidth="1"/>
    <col min="5632" max="5632" width="30" style="67" bestFit="1" customWidth="1"/>
    <col min="5633" max="5633" width="25.33203125" style="67" bestFit="1" customWidth="1"/>
    <col min="5634" max="5634" width="16.5546875" style="67" customWidth="1"/>
    <col min="5635" max="5635" width="17.44140625" style="67" customWidth="1"/>
    <col min="5636" max="5881" width="8.88671875" style="67"/>
    <col min="5882" max="5882" width="39.109375" style="67" bestFit="1" customWidth="1"/>
    <col min="5883" max="5883" width="13.44140625" style="67" customWidth="1"/>
    <col min="5884" max="5884" width="15" style="67" customWidth="1"/>
    <col min="5885" max="5885" width="20.109375" style="67" bestFit="1" customWidth="1"/>
    <col min="5886" max="5886" width="25.33203125" style="67" customWidth="1"/>
    <col min="5887" max="5887" width="25.6640625" style="67" customWidth="1"/>
    <col min="5888" max="5888" width="30" style="67" bestFit="1" customWidth="1"/>
    <col min="5889" max="5889" width="25.33203125" style="67" bestFit="1" customWidth="1"/>
    <col min="5890" max="5890" width="16.5546875" style="67" customWidth="1"/>
    <col min="5891" max="5891" width="17.44140625" style="67" customWidth="1"/>
    <col min="5892" max="6137" width="8.88671875" style="67"/>
    <col min="6138" max="6138" width="39.109375" style="67" bestFit="1" customWidth="1"/>
    <col min="6139" max="6139" width="13.44140625" style="67" customWidth="1"/>
    <col min="6140" max="6140" width="15" style="67" customWidth="1"/>
    <col min="6141" max="6141" width="20.109375" style="67" bestFit="1" customWidth="1"/>
    <col min="6142" max="6142" width="25.33203125" style="67" customWidth="1"/>
    <col min="6143" max="6143" width="25.6640625" style="67" customWidth="1"/>
    <col min="6144" max="6144" width="30" style="67" bestFit="1" customWidth="1"/>
    <col min="6145" max="6145" width="25.33203125" style="67" bestFit="1" customWidth="1"/>
    <col min="6146" max="6146" width="16.5546875" style="67" customWidth="1"/>
    <col min="6147" max="6147" width="17.44140625" style="67" customWidth="1"/>
    <col min="6148" max="6393" width="8.88671875" style="67"/>
    <col min="6394" max="6394" width="39.109375" style="67" bestFit="1" customWidth="1"/>
    <col min="6395" max="6395" width="13.44140625" style="67" customWidth="1"/>
    <col min="6396" max="6396" width="15" style="67" customWidth="1"/>
    <col min="6397" max="6397" width="20.109375" style="67" bestFit="1" customWidth="1"/>
    <col min="6398" max="6398" width="25.33203125" style="67" customWidth="1"/>
    <col min="6399" max="6399" width="25.6640625" style="67" customWidth="1"/>
    <col min="6400" max="6400" width="30" style="67" bestFit="1" customWidth="1"/>
    <col min="6401" max="6401" width="25.33203125" style="67" bestFit="1" customWidth="1"/>
    <col min="6402" max="6402" width="16.5546875" style="67" customWidth="1"/>
    <col min="6403" max="6403" width="17.44140625" style="67" customWidth="1"/>
    <col min="6404" max="6649" width="8.88671875" style="67"/>
    <col min="6650" max="6650" width="39.109375" style="67" bestFit="1" customWidth="1"/>
    <col min="6651" max="6651" width="13.44140625" style="67" customWidth="1"/>
    <col min="6652" max="6652" width="15" style="67" customWidth="1"/>
    <col min="6653" max="6653" width="20.109375" style="67" bestFit="1" customWidth="1"/>
    <col min="6654" max="6654" width="25.33203125" style="67" customWidth="1"/>
    <col min="6655" max="6655" width="25.6640625" style="67" customWidth="1"/>
    <col min="6656" max="6656" width="30" style="67" bestFit="1" customWidth="1"/>
    <col min="6657" max="6657" width="25.33203125" style="67" bestFit="1" customWidth="1"/>
    <col min="6658" max="6658" width="16.5546875" style="67" customWidth="1"/>
    <col min="6659" max="6659" width="17.44140625" style="67" customWidth="1"/>
    <col min="6660" max="6905" width="8.88671875" style="67"/>
    <col min="6906" max="6906" width="39.109375" style="67" bestFit="1" customWidth="1"/>
    <col min="6907" max="6907" width="13.44140625" style="67" customWidth="1"/>
    <col min="6908" max="6908" width="15" style="67" customWidth="1"/>
    <col min="6909" max="6909" width="20.109375" style="67" bestFit="1" customWidth="1"/>
    <col min="6910" max="6910" width="25.33203125" style="67" customWidth="1"/>
    <col min="6911" max="6911" width="25.6640625" style="67" customWidth="1"/>
    <col min="6912" max="6912" width="30" style="67" bestFit="1" customWidth="1"/>
    <col min="6913" max="6913" width="25.33203125" style="67" bestFit="1" customWidth="1"/>
    <col min="6914" max="6914" width="16.5546875" style="67" customWidth="1"/>
    <col min="6915" max="6915" width="17.44140625" style="67" customWidth="1"/>
    <col min="6916" max="7161" width="8.88671875" style="67"/>
    <col min="7162" max="7162" width="39.109375" style="67" bestFit="1" customWidth="1"/>
    <col min="7163" max="7163" width="13.44140625" style="67" customWidth="1"/>
    <col min="7164" max="7164" width="15" style="67" customWidth="1"/>
    <col min="7165" max="7165" width="20.109375" style="67" bestFit="1" customWidth="1"/>
    <col min="7166" max="7166" width="25.33203125" style="67" customWidth="1"/>
    <col min="7167" max="7167" width="25.6640625" style="67" customWidth="1"/>
    <col min="7168" max="7168" width="30" style="67" bestFit="1" customWidth="1"/>
    <col min="7169" max="7169" width="25.33203125" style="67" bestFit="1" customWidth="1"/>
    <col min="7170" max="7170" width="16.5546875" style="67" customWidth="1"/>
    <col min="7171" max="7171" width="17.44140625" style="67" customWidth="1"/>
    <col min="7172" max="7417" width="8.88671875" style="67"/>
    <col min="7418" max="7418" width="39.109375" style="67" bestFit="1" customWidth="1"/>
    <col min="7419" max="7419" width="13.44140625" style="67" customWidth="1"/>
    <col min="7420" max="7420" width="15" style="67" customWidth="1"/>
    <col min="7421" max="7421" width="20.109375" style="67" bestFit="1" customWidth="1"/>
    <col min="7422" max="7422" width="25.33203125" style="67" customWidth="1"/>
    <col min="7423" max="7423" width="25.6640625" style="67" customWidth="1"/>
    <col min="7424" max="7424" width="30" style="67" bestFit="1" customWidth="1"/>
    <col min="7425" max="7425" width="25.33203125" style="67" bestFit="1" customWidth="1"/>
    <col min="7426" max="7426" width="16.5546875" style="67" customWidth="1"/>
    <col min="7427" max="7427" width="17.44140625" style="67" customWidth="1"/>
    <col min="7428" max="7673" width="8.88671875" style="67"/>
    <col min="7674" max="7674" width="39.109375" style="67" bestFit="1" customWidth="1"/>
    <col min="7675" max="7675" width="13.44140625" style="67" customWidth="1"/>
    <col min="7676" max="7676" width="15" style="67" customWidth="1"/>
    <col min="7677" max="7677" width="20.109375" style="67" bestFit="1" customWidth="1"/>
    <col min="7678" max="7678" width="25.33203125" style="67" customWidth="1"/>
    <col min="7679" max="7679" width="25.6640625" style="67" customWidth="1"/>
    <col min="7680" max="7680" width="30" style="67" bestFit="1" customWidth="1"/>
    <col min="7681" max="7681" width="25.33203125" style="67" bestFit="1" customWidth="1"/>
    <col min="7682" max="7682" width="16.5546875" style="67" customWidth="1"/>
    <col min="7683" max="7683" width="17.44140625" style="67" customWidth="1"/>
    <col min="7684" max="7929" width="8.88671875" style="67"/>
    <col min="7930" max="7930" width="39.109375" style="67" bestFit="1" customWidth="1"/>
    <col min="7931" max="7931" width="13.44140625" style="67" customWidth="1"/>
    <col min="7932" max="7932" width="15" style="67" customWidth="1"/>
    <col min="7933" max="7933" width="20.109375" style="67" bestFit="1" customWidth="1"/>
    <col min="7934" max="7934" width="25.33203125" style="67" customWidth="1"/>
    <col min="7935" max="7935" width="25.6640625" style="67" customWidth="1"/>
    <col min="7936" max="7936" width="30" style="67" bestFit="1" customWidth="1"/>
    <col min="7937" max="7937" width="25.33203125" style="67" bestFit="1" customWidth="1"/>
    <col min="7938" max="7938" width="16.5546875" style="67" customWidth="1"/>
    <col min="7939" max="7939" width="17.44140625" style="67" customWidth="1"/>
    <col min="7940" max="8185" width="8.88671875" style="67"/>
    <col min="8186" max="8186" width="39.109375" style="67" bestFit="1" customWidth="1"/>
    <col min="8187" max="8187" width="13.44140625" style="67" customWidth="1"/>
    <col min="8188" max="8188" width="15" style="67" customWidth="1"/>
    <col min="8189" max="8189" width="20.109375" style="67" bestFit="1" customWidth="1"/>
    <col min="8190" max="8190" width="25.33203125" style="67" customWidth="1"/>
    <col min="8191" max="8191" width="25.6640625" style="67" customWidth="1"/>
    <col min="8192" max="8192" width="30" style="67" bestFit="1" customWidth="1"/>
    <col min="8193" max="8193" width="25.33203125" style="67" bestFit="1" customWidth="1"/>
    <col min="8194" max="8194" width="16.5546875" style="67" customWidth="1"/>
    <col min="8195" max="8195" width="17.44140625" style="67" customWidth="1"/>
    <col min="8196" max="8441" width="8.88671875" style="67"/>
    <col min="8442" max="8442" width="39.109375" style="67" bestFit="1" customWidth="1"/>
    <col min="8443" max="8443" width="13.44140625" style="67" customWidth="1"/>
    <col min="8444" max="8444" width="15" style="67" customWidth="1"/>
    <col min="8445" max="8445" width="20.109375" style="67" bestFit="1" customWidth="1"/>
    <col min="8446" max="8446" width="25.33203125" style="67" customWidth="1"/>
    <col min="8447" max="8447" width="25.6640625" style="67" customWidth="1"/>
    <col min="8448" max="8448" width="30" style="67" bestFit="1" customWidth="1"/>
    <col min="8449" max="8449" width="25.33203125" style="67" bestFit="1" customWidth="1"/>
    <col min="8450" max="8450" width="16.5546875" style="67" customWidth="1"/>
    <col min="8451" max="8451" width="17.44140625" style="67" customWidth="1"/>
    <col min="8452" max="8697" width="8.88671875" style="67"/>
    <col min="8698" max="8698" width="39.109375" style="67" bestFit="1" customWidth="1"/>
    <col min="8699" max="8699" width="13.44140625" style="67" customWidth="1"/>
    <col min="8700" max="8700" width="15" style="67" customWidth="1"/>
    <col min="8701" max="8701" width="20.109375" style="67" bestFit="1" customWidth="1"/>
    <col min="8702" max="8702" width="25.33203125" style="67" customWidth="1"/>
    <col min="8703" max="8703" width="25.6640625" style="67" customWidth="1"/>
    <col min="8704" max="8704" width="30" style="67" bestFit="1" customWidth="1"/>
    <col min="8705" max="8705" width="25.33203125" style="67" bestFit="1" customWidth="1"/>
    <col min="8706" max="8706" width="16.5546875" style="67" customWidth="1"/>
    <col min="8707" max="8707" width="17.44140625" style="67" customWidth="1"/>
    <col min="8708" max="8953" width="8.88671875" style="67"/>
    <col min="8954" max="8954" width="39.109375" style="67" bestFit="1" customWidth="1"/>
    <col min="8955" max="8955" width="13.44140625" style="67" customWidth="1"/>
    <col min="8956" max="8956" width="15" style="67" customWidth="1"/>
    <col min="8957" max="8957" width="20.109375" style="67" bestFit="1" customWidth="1"/>
    <col min="8958" max="8958" width="25.33203125" style="67" customWidth="1"/>
    <col min="8959" max="8959" width="25.6640625" style="67" customWidth="1"/>
    <col min="8960" max="8960" width="30" style="67" bestFit="1" customWidth="1"/>
    <col min="8961" max="8961" width="25.33203125" style="67" bestFit="1" customWidth="1"/>
    <col min="8962" max="8962" width="16.5546875" style="67" customWidth="1"/>
    <col min="8963" max="8963" width="17.44140625" style="67" customWidth="1"/>
    <col min="8964" max="9209" width="8.88671875" style="67"/>
    <col min="9210" max="9210" width="39.109375" style="67" bestFit="1" customWidth="1"/>
    <col min="9211" max="9211" width="13.44140625" style="67" customWidth="1"/>
    <col min="9212" max="9212" width="15" style="67" customWidth="1"/>
    <col min="9213" max="9213" width="20.109375" style="67" bestFit="1" customWidth="1"/>
    <col min="9214" max="9214" width="25.33203125" style="67" customWidth="1"/>
    <col min="9215" max="9215" width="25.6640625" style="67" customWidth="1"/>
    <col min="9216" max="9216" width="30" style="67" bestFit="1" customWidth="1"/>
    <col min="9217" max="9217" width="25.33203125" style="67" bestFit="1" customWidth="1"/>
    <col min="9218" max="9218" width="16.5546875" style="67" customWidth="1"/>
    <col min="9219" max="9219" width="17.44140625" style="67" customWidth="1"/>
    <col min="9220" max="9465" width="8.88671875" style="67"/>
    <col min="9466" max="9466" width="39.109375" style="67" bestFit="1" customWidth="1"/>
    <col min="9467" max="9467" width="13.44140625" style="67" customWidth="1"/>
    <col min="9468" max="9468" width="15" style="67" customWidth="1"/>
    <col min="9469" max="9469" width="20.109375" style="67" bestFit="1" customWidth="1"/>
    <col min="9470" max="9470" width="25.33203125" style="67" customWidth="1"/>
    <col min="9471" max="9471" width="25.6640625" style="67" customWidth="1"/>
    <col min="9472" max="9472" width="30" style="67" bestFit="1" customWidth="1"/>
    <col min="9473" max="9473" width="25.33203125" style="67" bestFit="1" customWidth="1"/>
    <col min="9474" max="9474" width="16.5546875" style="67" customWidth="1"/>
    <col min="9475" max="9475" width="17.44140625" style="67" customWidth="1"/>
    <col min="9476" max="9721" width="8.88671875" style="67"/>
    <col min="9722" max="9722" width="39.109375" style="67" bestFit="1" customWidth="1"/>
    <col min="9723" max="9723" width="13.44140625" style="67" customWidth="1"/>
    <col min="9724" max="9724" width="15" style="67" customWidth="1"/>
    <col min="9725" max="9725" width="20.109375" style="67" bestFit="1" customWidth="1"/>
    <col min="9726" max="9726" width="25.33203125" style="67" customWidth="1"/>
    <col min="9727" max="9727" width="25.6640625" style="67" customWidth="1"/>
    <col min="9728" max="9728" width="30" style="67" bestFit="1" customWidth="1"/>
    <col min="9729" max="9729" width="25.33203125" style="67" bestFit="1" customWidth="1"/>
    <col min="9730" max="9730" width="16.5546875" style="67" customWidth="1"/>
    <col min="9731" max="9731" width="17.44140625" style="67" customWidth="1"/>
    <col min="9732" max="9977" width="8.88671875" style="67"/>
    <col min="9978" max="9978" width="39.109375" style="67" bestFit="1" customWidth="1"/>
    <col min="9979" max="9979" width="13.44140625" style="67" customWidth="1"/>
    <col min="9980" max="9980" width="15" style="67" customWidth="1"/>
    <col min="9981" max="9981" width="20.109375" style="67" bestFit="1" customWidth="1"/>
    <col min="9982" max="9982" width="25.33203125" style="67" customWidth="1"/>
    <col min="9983" max="9983" width="25.6640625" style="67" customWidth="1"/>
    <col min="9984" max="9984" width="30" style="67" bestFit="1" customWidth="1"/>
    <col min="9985" max="9985" width="25.33203125" style="67" bestFit="1" customWidth="1"/>
    <col min="9986" max="9986" width="16.5546875" style="67" customWidth="1"/>
    <col min="9987" max="9987" width="17.44140625" style="67" customWidth="1"/>
    <col min="9988" max="10233" width="8.88671875" style="67"/>
    <col min="10234" max="10234" width="39.109375" style="67" bestFit="1" customWidth="1"/>
    <col min="10235" max="10235" width="13.44140625" style="67" customWidth="1"/>
    <col min="10236" max="10236" width="15" style="67" customWidth="1"/>
    <col min="10237" max="10237" width="20.109375" style="67" bestFit="1" customWidth="1"/>
    <col min="10238" max="10238" width="25.33203125" style="67" customWidth="1"/>
    <col min="10239" max="10239" width="25.6640625" style="67" customWidth="1"/>
    <col min="10240" max="10240" width="30" style="67" bestFit="1" customWidth="1"/>
    <col min="10241" max="10241" width="25.33203125" style="67" bestFit="1" customWidth="1"/>
    <col min="10242" max="10242" width="16.5546875" style="67" customWidth="1"/>
    <col min="10243" max="10243" width="17.44140625" style="67" customWidth="1"/>
    <col min="10244" max="10489" width="8.88671875" style="67"/>
    <col min="10490" max="10490" width="39.109375" style="67" bestFit="1" customWidth="1"/>
    <col min="10491" max="10491" width="13.44140625" style="67" customWidth="1"/>
    <col min="10492" max="10492" width="15" style="67" customWidth="1"/>
    <col min="10493" max="10493" width="20.109375" style="67" bestFit="1" customWidth="1"/>
    <col min="10494" max="10494" width="25.33203125" style="67" customWidth="1"/>
    <col min="10495" max="10495" width="25.6640625" style="67" customWidth="1"/>
    <col min="10496" max="10496" width="30" style="67" bestFit="1" customWidth="1"/>
    <col min="10497" max="10497" width="25.33203125" style="67" bestFit="1" customWidth="1"/>
    <col min="10498" max="10498" width="16.5546875" style="67" customWidth="1"/>
    <col min="10499" max="10499" width="17.44140625" style="67" customWidth="1"/>
    <col min="10500" max="10745" width="8.88671875" style="67"/>
    <col min="10746" max="10746" width="39.109375" style="67" bestFit="1" customWidth="1"/>
    <col min="10747" max="10747" width="13.44140625" style="67" customWidth="1"/>
    <col min="10748" max="10748" width="15" style="67" customWidth="1"/>
    <col min="10749" max="10749" width="20.109375" style="67" bestFit="1" customWidth="1"/>
    <col min="10750" max="10750" width="25.33203125" style="67" customWidth="1"/>
    <col min="10751" max="10751" width="25.6640625" style="67" customWidth="1"/>
    <col min="10752" max="10752" width="30" style="67" bestFit="1" customWidth="1"/>
    <col min="10753" max="10753" width="25.33203125" style="67" bestFit="1" customWidth="1"/>
    <col min="10754" max="10754" width="16.5546875" style="67" customWidth="1"/>
    <col min="10755" max="10755" width="17.44140625" style="67" customWidth="1"/>
    <col min="10756" max="11001" width="8.88671875" style="67"/>
    <col min="11002" max="11002" width="39.109375" style="67" bestFit="1" customWidth="1"/>
    <col min="11003" max="11003" width="13.44140625" style="67" customWidth="1"/>
    <col min="11004" max="11004" width="15" style="67" customWidth="1"/>
    <col min="11005" max="11005" width="20.109375" style="67" bestFit="1" customWidth="1"/>
    <col min="11006" max="11006" width="25.33203125" style="67" customWidth="1"/>
    <col min="11007" max="11007" width="25.6640625" style="67" customWidth="1"/>
    <col min="11008" max="11008" width="30" style="67" bestFit="1" customWidth="1"/>
    <col min="11009" max="11009" width="25.33203125" style="67" bestFit="1" customWidth="1"/>
    <col min="11010" max="11010" width="16.5546875" style="67" customWidth="1"/>
    <col min="11011" max="11011" width="17.44140625" style="67" customWidth="1"/>
    <col min="11012" max="11257" width="8.88671875" style="67"/>
    <col min="11258" max="11258" width="39.109375" style="67" bestFit="1" customWidth="1"/>
    <col min="11259" max="11259" width="13.44140625" style="67" customWidth="1"/>
    <col min="11260" max="11260" width="15" style="67" customWidth="1"/>
    <col min="11261" max="11261" width="20.109375" style="67" bestFit="1" customWidth="1"/>
    <col min="11262" max="11262" width="25.33203125" style="67" customWidth="1"/>
    <col min="11263" max="11263" width="25.6640625" style="67" customWidth="1"/>
    <col min="11264" max="11264" width="30" style="67" bestFit="1" customWidth="1"/>
    <col min="11265" max="11265" width="25.33203125" style="67" bestFit="1" customWidth="1"/>
    <col min="11266" max="11266" width="16.5546875" style="67" customWidth="1"/>
    <col min="11267" max="11267" width="17.44140625" style="67" customWidth="1"/>
    <col min="11268" max="11513" width="8.88671875" style="67"/>
    <col min="11514" max="11514" width="39.109375" style="67" bestFit="1" customWidth="1"/>
    <col min="11515" max="11515" width="13.44140625" style="67" customWidth="1"/>
    <col min="11516" max="11516" width="15" style="67" customWidth="1"/>
    <col min="11517" max="11517" width="20.109375" style="67" bestFit="1" customWidth="1"/>
    <col min="11518" max="11518" width="25.33203125" style="67" customWidth="1"/>
    <col min="11519" max="11519" width="25.6640625" style="67" customWidth="1"/>
    <col min="11520" max="11520" width="30" style="67" bestFit="1" customWidth="1"/>
    <col min="11521" max="11521" width="25.33203125" style="67" bestFit="1" customWidth="1"/>
    <col min="11522" max="11522" width="16.5546875" style="67" customWidth="1"/>
    <col min="11523" max="11523" width="17.44140625" style="67" customWidth="1"/>
    <col min="11524" max="11769" width="8.88671875" style="67"/>
    <col min="11770" max="11770" width="39.109375" style="67" bestFit="1" customWidth="1"/>
    <col min="11771" max="11771" width="13.44140625" style="67" customWidth="1"/>
    <col min="11772" max="11772" width="15" style="67" customWidth="1"/>
    <col min="11773" max="11773" width="20.109375" style="67" bestFit="1" customWidth="1"/>
    <col min="11774" max="11774" width="25.33203125" style="67" customWidth="1"/>
    <col min="11775" max="11775" width="25.6640625" style="67" customWidth="1"/>
    <col min="11776" max="11776" width="30" style="67" bestFit="1" customWidth="1"/>
    <col min="11777" max="11777" width="25.33203125" style="67" bestFit="1" customWidth="1"/>
    <col min="11778" max="11778" width="16.5546875" style="67" customWidth="1"/>
    <col min="11779" max="11779" width="17.44140625" style="67" customWidth="1"/>
    <col min="11780" max="12025" width="8.88671875" style="67"/>
    <col min="12026" max="12026" width="39.109375" style="67" bestFit="1" customWidth="1"/>
    <col min="12027" max="12027" width="13.44140625" style="67" customWidth="1"/>
    <col min="12028" max="12028" width="15" style="67" customWidth="1"/>
    <col min="12029" max="12029" width="20.109375" style="67" bestFit="1" customWidth="1"/>
    <col min="12030" max="12030" width="25.33203125" style="67" customWidth="1"/>
    <col min="12031" max="12031" width="25.6640625" style="67" customWidth="1"/>
    <col min="12032" max="12032" width="30" style="67" bestFit="1" customWidth="1"/>
    <col min="12033" max="12033" width="25.33203125" style="67" bestFit="1" customWidth="1"/>
    <col min="12034" max="12034" width="16.5546875" style="67" customWidth="1"/>
    <col min="12035" max="12035" width="17.44140625" style="67" customWidth="1"/>
    <col min="12036" max="12281" width="8.88671875" style="67"/>
    <col min="12282" max="12282" width="39.109375" style="67" bestFit="1" customWidth="1"/>
    <col min="12283" max="12283" width="13.44140625" style="67" customWidth="1"/>
    <col min="12284" max="12284" width="15" style="67" customWidth="1"/>
    <col min="12285" max="12285" width="20.109375" style="67" bestFit="1" customWidth="1"/>
    <col min="12286" max="12286" width="25.33203125" style="67" customWidth="1"/>
    <col min="12287" max="12287" width="25.6640625" style="67" customWidth="1"/>
    <col min="12288" max="12288" width="30" style="67" bestFit="1" customWidth="1"/>
    <col min="12289" max="12289" width="25.33203125" style="67" bestFit="1" customWidth="1"/>
    <col min="12290" max="12290" width="16.5546875" style="67" customWidth="1"/>
    <col min="12291" max="12291" width="17.44140625" style="67" customWidth="1"/>
    <col min="12292" max="12537" width="8.88671875" style="67"/>
    <col min="12538" max="12538" width="39.109375" style="67" bestFit="1" customWidth="1"/>
    <col min="12539" max="12539" width="13.44140625" style="67" customWidth="1"/>
    <col min="12540" max="12540" width="15" style="67" customWidth="1"/>
    <col min="12541" max="12541" width="20.109375" style="67" bestFit="1" customWidth="1"/>
    <col min="12542" max="12542" width="25.33203125" style="67" customWidth="1"/>
    <col min="12543" max="12543" width="25.6640625" style="67" customWidth="1"/>
    <col min="12544" max="12544" width="30" style="67" bestFit="1" customWidth="1"/>
    <col min="12545" max="12545" width="25.33203125" style="67" bestFit="1" customWidth="1"/>
    <col min="12546" max="12546" width="16.5546875" style="67" customWidth="1"/>
    <col min="12547" max="12547" width="17.44140625" style="67" customWidth="1"/>
    <col min="12548" max="12793" width="8.88671875" style="67"/>
    <col min="12794" max="12794" width="39.109375" style="67" bestFit="1" customWidth="1"/>
    <col min="12795" max="12795" width="13.44140625" style="67" customWidth="1"/>
    <col min="12796" max="12796" width="15" style="67" customWidth="1"/>
    <col min="12797" max="12797" width="20.109375" style="67" bestFit="1" customWidth="1"/>
    <col min="12798" max="12798" width="25.33203125" style="67" customWidth="1"/>
    <col min="12799" max="12799" width="25.6640625" style="67" customWidth="1"/>
    <col min="12800" max="12800" width="30" style="67" bestFit="1" customWidth="1"/>
    <col min="12801" max="12801" width="25.33203125" style="67" bestFit="1" customWidth="1"/>
    <col min="12802" max="12802" width="16.5546875" style="67" customWidth="1"/>
    <col min="12803" max="12803" width="17.44140625" style="67" customWidth="1"/>
    <col min="12804" max="13049" width="8.88671875" style="67"/>
    <col min="13050" max="13050" width="39.109375" style="67" bestFit="1" customWidth="1"/>
    <col min="13051" max="13051" width="13.44140625" style="67" customWidth="1"/>
    <col min="13052" max="13052" width="15" style="67" customWidth="1"/>
    <col min="13053" max="13053" width="20.109375" style="67" bestFit="1" customWidth="1"/>
    <col min="13054" max="13054" width="25.33203125" style="67" customWidth="1"/>
    <col min="13055" max="13055" width="25.6640625" style="67" customWidth="1"/>
    <col min="13056" max="13056" width="30" style="67" bestFit="1" customWidth="1"/>
    <col min="13057" max="13057" width="25.33203125" style="67" bestFit="1" customWidth="1"/>
    <col min="13058" max="13058" width="16.5546875" style="67" customWidth="1"/>
    <col min="13059" max="13059" width="17.44140625" style="67" customWidth="1"/>
    <col min="13060" max="13305" width="8.88671875" style="67"/>
    <col min="13306" max="13306" width="39.109375" style="67" bestFit="1" customWidth="1"/>
    <col min="13307" max="13307" width="13.44140625" style="67" customWidth="1"/>
    <col min="13308" max="13308" width="15" style="67" customWidth="1"/>
    <col min="13309" max="13309" width="20.109375" style="67" bestFit="1" customWidth="1"/>
    <col min="13310" max="13310" width="25.33203125" style="67" customWidth="1"/>
    <col min="13311" max="13311" width="25.6640625" style="67" customWidth="1"/>
    <col min="13312" max="13312" width="30" style="67" bestFit="1" customWidth="1"/>
    <col min="13313" max="13313" width="25.33203125" style="67" bestFit="1" customWidth="1"/>
    <col min="13314" max="13314" width="16.5546875" style="67" customWidth="1"/>
    <col min="13315" max="13315" width="17.44140625" style="67" customWidth="1"/>
    <col min="13316" max="13561" width="8.88671875" style="67"/>
    <col min="13562" max="13562" width="39.109375" style="67" bestFit="1" customWidth="1"/>
    <col min="13563" max="13563" width="13.44140625" style="67" customWidth="1"/>
    <col min="13564" max="13564" width="15" style="67" customWidth="1"/>
    <col min="13565" max="13565" width="20.109375" style="67" bestFit="1" customWidth="1"/>
    <col min="13566" max="13566" width="25.33203125" style="67" customWidth="1"/>
    <col min="13567" max="13567" width="25.6640625" style="67" customWidth="1"/>
    <col min="13568" max="13568" width="30" style="67" bestFit="1" customWidth="1"/>
    <col min="13569" max="13569" width="25.33203125" style="67" bestFit="1" customWidth="1"/>
    <col min="13570" max="13570" width="16.5546875" style="67" customWidth="1"/>
    <col min="13571" max="13571" width="17.44140625" style="67" customWidth="1"/>
    <col min="13572" max="13817" width="8.88671875" style="67"/>
    <col min="13818" max="13818" width="39.109375" style="67" bestFit="1" customWidth="1"/>
    <col min="13819" max="13819" width="13.44140625" style="67" customWidth="1"/>
    <col min="13820" max="13820" width="15" style="67" customWidth="1"/>
    <col min="13821" max="13821" width="20.109375" style="67" bestFit="1" customWidth="1"/>
    <col min="13822" max="13822" width="25.33203125" style="67" customWidth="1"/>
    <col min="13823" max="13823" width="25.6640625" style="67" customWidth="1"/>
    <col min="13824" max="13824" width="30" style="67" bestFit="1" customWidth="1"/>
    <col min="13825" max="13825" width="25.33203125" style="67" bestFit="1" customWidth="1"/>
    <col min="13826" max="13826" width="16.5546875" style="67" customWidth="1"/>
    <col min="13827" max="13827" width="17.44140625" style="67" customWidth="1"/>
    <col min="13828" max="14073" width="8.88671875" style="67"/>
    <col min="14074" max="14074" width="39.109375" style="67" bestFit="1" customWidth="1"/>
    <col min="14075" max="14075" width="13.44140625" style="67" customWidth="1"/>
    <col min="14076" max="14076" width="15" style="67" customWidth="1"/>
    <col min="14077" max="14077" width="20.109375" style="67" bestFit="1" customWidth="1"/>
    <col min="14078" max="14078" width="25.33203125" style="67" customWidth="1"/>
    <col min="14079" max="14079" width="25.6640625" style="67" customWidth="1"/>
    <col min="14080" max="14080" width="30" style="67" bestFit="1" customWidth="1"/>
    <col min="14081" max="14081" width="25.33203125" style="67" bestFit="1" customWidth="1"/>
    <col min="14082" max="14082" width="16.5546875" style="67" customWidth="1"/>
    <col min="14083" max="14083" width="17.44140625" style="67" customWidth="1"/>
    <col min="14084" max="14329" width="8.88671875" style="67"/>
    <col min="14330" max="14330" width="39.109375" style="67" bestFit="1" customWidth="1"/>
    <col min="14331" max="14331" width="13.44140625" style="67" customWidth="1"/>
    <col min="14332" max="14332" width="15" style="67" customWidth="1"/>
    <col min="14333" max="14333" width="20.109375" style="67" bestFit="1" customWidth="1"/>
    <col min="14334" max="14334" width="25.33203125" style="67" customWidth="1"/>
    <col min="14335" max="14335" width="25.6640625" style="67" customWidth="1"/>
    <col min="14336" max="14336" width="30" style="67" bestFit="1" customWidth="1"/>
    <col min="14337" max="14337" width="25.33203125" style="67" bestFit="1" customWidth="1"/>
    <col min="14338" max="14338" width="16.5546875" style="67" customWidth="1"/>
    <col min="14339" max="14339" width="17.44140625" style="67" customWidth="1"/>
    <col min="14340" max="14585" width="8.88671875" style="67"/>
    <col min="14586" max="14586" width="39.109375" style="67" bestFit="1" customWidth="1"/>
    <col min="14587" max="14587" width="13.44140625" style="67" customWidth="1"/>
    <col min="14588" max="14588" width="15" style="67" customWidth="1"/>
    <col min="14589" max="14589" width="20.109375" style="67" bestFit="1" customWidth="1"/>
    <col min="14590" max="14590" width="25.33203125" style="67" customWidth="1"/>
    <col min="14591" max="14591" width="25.6640625" style="67" customWidth="1"/>
    <col min="14592" max="14592" width="30" style="67" bestFit="1" customWidth="1"/>
    <col min="14593" max="14593" width="25.33203125" style="67" bestFit="1" customWidth="1"/>
    <col min="14594" max="14594" width="16.5546875" style="67" customWidth="1"/>
    <col min="14595" max="14595" width="17.44140625" style="67" customWidth="1"/>
    <col min="14596" max="14841" width="8.88671875" style="67"/>
    <col min="14842" max="14842" width="39.109375" style="67" bestFit="1" customWidth="1"/>
    <col min="14843" max="14843" width="13.44140625" style="67" customWidth="1"/>
    <col min="14844" max="14844" width="15" style="67" customWidth="1"/>
    <col min="14845" max="14845" width="20.109375" style="67" bestFit="1" customWidth="1"/>
    <col min="14846" max="14846" width="25.33203125" style="67" customWidth="1"/>
    <col min="14847" max="14847" width="25.6640625" style="67" customWidth="1"/>
    <col min="14848" max="14848" width="30" style="67" bestFit="1" customWidth="1"/>
    <col min="14849" max="14849" width="25.33203125" style="67" bestFit="1" customWidth="1"/>
    <col min="14850" max="14850" width="16.5546875" style="67" customWidth="1"/>
    <col min="14851" max="14851" width="17.44140625" style="67" customWidth="1"/>
    <col min="14852" max="15097" width="8.88671875" style="67"/>
    <col min="15098" max="15098" width="39.109375" style="67" bestFit="1" customWidth="1"/>
    <col min="15099" max="15099" width="13.44140625" style="67" customWidth="1"/>
    <col min="15100" max="15100" width="15" style="67" customWidth="1"/>
    <col min="15101" max="15101" width="20.109375" style="67" bestFit="1" customWidth="1"/>
    <col min="15102" max="15102" width="25.33203125" style="67" customWidth="1"/>
    <col min="15103" max="15103" width="25.6640625" style="67" customWidth="1"/>
    <col min="15104" max="15104" width="30" style="67" bestFit="1" customWidth="1"/>
    <col min="15105" max="15105" width="25.33203125" style="67" bestFit="1" customWidth="1"/>
    <col min="15106" max="15106" width="16.5546875" style="67" customWidth="1"/>
    <col min="15107" max="15107" width="17.44140625" style="67" customWidth="1"/>
    <col min="15108" max="15353" width="8.88671875" style="67"/>
    <col min="15354" max="15354" width="39.109375" style="67" bestFit="1" customWidth="1"/>
    <col min="15355" max="15355" width="13.44140625" style="67" customWidth="1"/>
    <col min="15356" max="15356" width="15" style="67" customWidth="1"/>
    <col min="15357" max="15357" width="20.109375" style="67" bestFit="1" customWidth="1"/>
    <col min="15358" max="15358" width="25.33203125" style="67" customWidth="1"/>
    <col min="15359" max="15359" width="25.6640625" style="67" customWidth="1"/>
    <col min="15360" max="15360" width="30" style="67" bestFit="1" customWidth="1"/>
    <col min="15361" max="15361" width="25.33203125" style="67" bestFit="1" customWidth="1"/>
    <col min="15362" max="15362" width="16.5546875" style="67" customWidth="1"/>
    <col min="15363" max="15363" width="17.44140625" style="67" customWidth="1"/>
    <col min="15364" max="15609" width="8.88671875" style="67"/>
    <col min="15610" max="15610" width="39.109375" style="67" bestFit="1" customWidth="1"/>
    <col min="15611" max="15611" width="13.44140625" style="67" customWidth="1"/>
    <col min="15612" max="15612" width="15" style="67" customWidth="1"/>
    <col min="15613" max="15613" width="20.109375" style="67" bestFit="1" customWidth="1"/>
    <col min="15614" max="15614" width="25.33203125" style="67" customWidth="1"/>
    <col min="15615" max="15615" width="25.6640625" style="67" customWidth="1"/>
    <col min="15616" max="15616" width="30" style="67" bestFit="1" customWidth="1"/>
    <col min="15617" max="15617" width="25.33203125" style="67" bestFit="1" customWidth="1"/>
    <col min="15618" max="15618" width="16.5546875" style="67" customWidth="1"/>
    <col min="15619" max="15619" width="17.44140625" style="67" customWidth="1"/>
    <col min="15620" max="15865" width="8.88671875" style="67"/>
    <col min="15866" max="15866" width="39.109375" style="67" bestFit="1" customWidth="1"/>
    <col min="15867" max="15867" width="13.44140625" style="67" customWidth="1"/>
    <col min="15868" max="15868" width="15" style="67" customWidth="1"/>
    <col min="15869" max="15869" width="20.109375" style="67" bestFit="1" customWidth="1"/>
    <col min="15870" max="15870" width="25.33203125" style="67" customWidth="1"/>
    <col min="15871" max="15871" width="25.6640625" style="67" customWidth="1"/>
    <col min="15872" max="15872" width="30" style="67" bestFit="1" customWidth="1"/>
    <col min="15873" max="15873" width="25.33203125" style="67" bestFit="1" customWidth="1"/>
    <col min="15874" max="15874" width="16.5546875" style="67" customWidth="1"/>
    <col min="15875" max="15875" width="17.44140625" style="67" customWidth="1"/>
    <col min="15876" max="16121" width="8.88671875" style="67"/>
    <col min="16122" max="16122" width="39.109375" style="67" bestFit="1" customWidth="1"/>
    <col min="16123" max="16123" width="13.44140625" style="67" customWidth="1"/>
    <col min="16124" max="16124" width="15" style="67" customWidth="1"/>
    <col min="16125" max="16125" width="20.109375" style="67" bestFit="1" customWidth="1"/>
    <col min="16126" max="16126" width="25.33203125" style="67" customWidth="1"/>
    <col min="16127" max="16127" width="25.6640625" style="67" customWidth="1"/>
    <col min="16128" max="16128" width="30" style="67" bestFit="1" customWidth="1"/>
    <col min="16129" max="16129" width="25.33203125" style="67" bestFit="1" customWidth="1"/>
    <col min="16130" max="16130" width="16.5546875" style="67" customWidth="1"/>
    <col min="16131" max="16131" width="17.44140625" style="67" customWidth="1"/>
    <col min="16132" max="16383" width="8.88671875" style="67"/>
    <col min="16384" max="16384" width="9.109375" style="67" customWidth="1"/>
  </cols>
  <sheetData>
    <row r="1" spans="1:11" ht="38.4" customHeight="1" x14ac:dyDescent="0.2">
      <c r="A1" s="25">
        <v>43646</v>
      </c>
      <c r="B1" s="65"/>
      <c r="C1" s="65"/>
    </row>
    <row r="2" spans="1:11" ht="22.95" customHeight="1" x14ac:dyDescent="0.2">
      <c r="A2" s="82" t="s">
        <v>133</v>
      </c>
      <c r="B2" s="82" t="s">
        <v>134</v>
      </c>
      <c r="C2" s="82" t="s">
        <v>135</v>
      </c>
      <c r="D2" s="80" t="s">
        <v>136</v>
      </c>
      <c r="E2" s="84"/>
      <c r="F2" s="84"/>
      <c r="G2" s="81"/>
      <c r="H2" s="80" t="s">
        <v>137</v>
      </c>
      <c r="I2" s="81"/>
      <c r="J2" s="80" t="s">
        <v>138</v>
      </c>
      <c r="K2" s="81"/>
    </row>
    <row r="3" spans="1:11" ht="54" customHeight="1" x14ac:dyDescent="0.2">
      <c r="A3" s="83"/>
      <c r="B3" s="83"/>
      <c r="C3" s="83"/>
      <c r="D3" s="68" t="s">
        <v>139</v>
      </c>
      <c r="E3" s="68" t="s">
        <v>140</v>
      </c>
      <c r="F3" s="68" t="s">
        <v>141</v>
      </c>
      <c r="G3" s="68" t="s">
        <v>142</v>
      </c>
      <c r="H3" s="68" t="s">
        <v>143</v>
      </c>
      <c r="I3" s="68" t="s">
        <v>144</v>
      </c>
      <c r="J3" s="68" t="s">
        <v>145</v>
      </c>
      <c r="K3" s="68" t="s">
        <v>146</v>
      </c>
    </row>
    <row r="4" spans="1:11" ht="12.6" x14ac:dyDescent="0.2">
      <c r="A4" s="79" t="s">
        <v>147</v>
      </c>
      <c r="B4" s="79"/>
      <c r="C4" s="79"/>
      <c r="D4" s="79"/>
      <c r="E4" s="79"/>
      <c r="F4" s="79"/>
      <c r="G4" s="79"/>
      <c r="H4" s="79"/>
      <c r="I4" s="79"/>
      <c r="J4" s="79"/>
      <c r="K4" s="79"/>
    </row>
    <row r="5" spans="1:11" ht="12.6" x14ac:dyDescent="0.2">
      <c r="A5" s="33" t="s">
        <v>148</v>
      </c>
      <c r="B5" s="37">
        <v>14.920547945205479</v>
      </c>
      <c r="C5" s="37">
        <v>0</v>
      </c>
      <c r="D5" s="37">
        <v>0.99091659785301989</v>
      </c>
      <c r="E5" s="37">
        <v>0.31309898131854919</v>
      </c>
      <c r="F5" s="37">
        <v>1.799143059045627</v>
      </c>
      <c r="G5" s="37">
        <v>3.5829707787712106</v>
      </c>
      <c r="H5" s="37">
        <v>0.17448988997743609</v>
      </c>
      <c r="I5" s="37">
        <v>0.74387862829492502</v>
      </c>
      <c r="J5" s="37">
        <v>1.7044814473621062</v>
      </c>
      <c r="K5" s="37">
        <v>2.5468774941225214</v>
      </c>
    </row>
    <row r="6" spans="1:11" ht="12.6" x14ac:dyDescent="0.2">
      <c r="A6" s="33" t="s">
        <v>149</v>
      </c>
      <c r="B6" s="37">
        <v>14.923287671232877</v>
      </c>
      <c r="C6" s="37">
        <v>0</v>
      </c>
      <c r="D6" s="37">
        <v>0.74775672981057806</v>
      </c>
      <c r="E6" s="37">
        <v>0.50718787717605185</v>
      </c>
      <c r="F6" s="37">
        <v>1.677148514905813</v>
      </c>
      <c r="G6" s="37">
        <v>2.3117714151269064</v>
      </c>
      <c r="H6" s="37">
        <v>0.44923054710537258</v>
      </c>
      <c r="I6" s="37">
        <v>1.2505887166304408</v>
      </c>
      <c r="J6" s="37">
        <v>2.0858991449551261</v>
      </c>
      <c r="K6" s="37">
        <v>1.9674550336525063</v>
      </c>
    </row>
    <row r="7" spans="1:11" ht="12.6" x14ac:dyDescent="0.2">
      <c r="A7" s="33" t="s">
        <v>150</v>
      </c>
      <c r="B7" s="37">
        <v>14.830136986301369</v>
      </c>
      <c r="C7" s="37">
        <v>0</v>
      </c>
      <c r="D7" s="37">
        <v>0.30494956603330792</v>
      </c>
      <c r="E7" s="37">
        <v>-0.29102513713058498</v>
      </c>
      <c r="F7" s="37">
        <v>0.51234419977230772</v>
      </c>
      <c r="G7" s="37">
        <v>2.4679565913848345</v>
      </c>
      <c r="H7" s="37">
        <v>0.48454651349976174</v>
      </c>
      <c r="I7" s="37">
        <v>1.2829353640403829</v>
      </c>
      <c r="J7" s="37">
        <v>0.7746728432873804</v>
      </c>
      <c r="K7" s="37">
        <v>1.6047562114109806</v>
      </c>
    </row>
    <row r="8" spans="1:11" ht="12.6" x14ac:dyDescent="0.2">
      <c r="A8" s="33" t="s">
        <v>151</v>
      </c>
      <c r="B8" s="37">
        <v>14.638356164383561</v>
      </c>
      <c r="C8" s="37">
        <v>0</v>
      </c>
      <c r="D8" s="37">
        <v>0.16181229773462036</v>
      </c>
      <c r="E8" s="37">
        <v>-7.5030628149530543E-2</v>
      </c>
      <c r="F8" s="37">
        <v>1.0935269700821371</v>
      </c>
      <c r="G8" s="37">
        <v>3.6736103944005283</v>
      </c>
      <c r="H8" s="37">
        <v>0.28585037732267171</v>
      </c>
      <c r="I8" s="37">
        <v>0.98328251904948871</v>
      </c>
      <c r="J8" s="37">
        <v>1.4942674494303623</v>
      </c>
      <c r="K8" s="37">
        <v>2.1003435979625653</v>
      </c>
    </row>
    <row r="9" spans="1:11" ht="12.6" x14ac:dyDescent="0.2">
      <c r="A9" s="33" t="s">
        <v>152</v>
      </c>
      <c r="B9" s="37">
        <v>14.827397260273973</v>
      </c>
      <c r="C9" s="37">
        <v>0</v>
      </c>
      <c r="D9" s="37">
        <v>0.1831501831501825</v>
      </c>
      <c r="E9" s="37">
        <v>-0.54188333103256658</v>
      </c>
      <c r="F9" s="37">
        <v>0.28683050609630278</v>
      </c>
      <c r="G9" s="37">
        <v>1.8049945796329014</v>
      </c>
      <c r="H9" s="37">
        <v>0.59748448045600089</v>
      </c>
      <c r="I9" s="37">
        <v>1.4008953303662253</v>
      </c>
      <c r="J9" s="37">
        <v>0.73408427540798649</v>
      </c>
      <c r="K9" s="37">
        <v>1.7805053790323586</v>
      </c>
    </row>
    <row r="10" spans="1:11" ht="12.6" x14ac:dyDescent="0.2">
      <c r="A10" s="33" t="s">
        <v>153</v>
      </c>
      <c r="B10" s="37">
        <v>14.923287671232877</v>
      </c>
      <c r="C10" s="37">
        <v>0</v>
      </c>
      <c r="D10" s="37">
        <v>0.67076579094467181</v>
      </c>
      <c r="E10" s="37">
        <v>0.20745798445078734</v>
      </c>
      <c r="F10" s="37">
        <v>0.40226922550072874</v>
      </c>
      <c r="G10" s="37">
        <v>1.0720417479789024</v>
      </c>
      <c r="H10" s="37">
        <v>-0.24898307162113387</v>
      </c>
      <c r="I10" s="37">
        <v>-0.13808174476229729</v>
      </c>
      <c r="J10" s="37">
        <v>0.34841395962069666</v>
      </c>
      <c r="K10" s="37">
        <v>0.68809775990826438</v>
      </c>
    </row>
    <row r="11" spans="1:11" ht="12.6" x14ac:dyDescent="0.2">
      <c r="A11" s="79" t="s">
        <v>154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</row>
    <row r="12" spans="1:11" ht="12.6" x14ac:dyDescent="0.2">
      <c r="A12" s="33" t="s">
        <v>155</v>
      </c>
      <c r="B12" s="37">
        <v>14.920547945205479</v>
      </c>
      <c r="C12" s="37" t="s">
        <v>156</v>
      </c>
      <c r="D12" s="37">
        <v>3.1149097815764692</v>
      </c>
      <c r="E12" s="37">
        <v>1.3762789066385839</v>
      </c>
      <c r="F12" s="37">
        <v>2.630957448609017</v>
      </c>
      <c r="G12" s="37">
        <v>4.2247890164010649</v>
      </c>
      <c r="H12" s="37">
        <v>1.4969873025113545</v>
      </c>
      <c r="I12" s="37">
        <v>1.8654508901893907</v>
      </c>
      <c r="J12" s="37">
        <v>3.515562187567848</v>
      </c>
      <c r="K12" s="37">
        <v>3.843067311394313</v>
      </c>
    </row>
    <row r="13" spans="1:11" ht="12.6" x14ac:dyDescent="0.2">
      <c r="A13" s="33" t="s">
        <v>157</v>
      </c>
      <c r="B13" s="37">
        <v>14.830136986301369</v>
      </c>
      <c r="C13" s="37" t="s">
        <v>158</v>
      </c>
      <c r="D13" s="37">
        <v>3.5102209374354709</v>
      </c>
      <c r="E13" s="37">
        <v>1.5512044149924131</v>
      </c>
      <c r="F13" s="37">
        <v>2.3527130309067612</v>
      </c>
      <c r="G13" s="37">
        <v>4.2485558483426056</v>
      </c>
      <c r="H13" s="37">
        <v>2.5766454444821729</v>
      </c>
      <c r="I13" s="37">
        <v>2.9271268327708988</v>
      </c>
      <c r="J13" s="37">
        <v>2.834604410914443</v>
      </c>
      <c r="K13" s="37">
        <v>3.0902045343583779</v>
      </c>
    </row>
    <row r="14" spans="1:11" ht="12.6" x14ac:dyDescent="0.2">
      <c r="A14" s="33" t="s">
        <v>159</v>
      </c>
      <c r="B14" s="37">
        <v>14.638356164383561</v>
      </c>
      <c r="C14" s="37" t="s">
        <v>156</v>
      </c>
      <c r="D14" s="37">
        <v>2.6439645625692121</v>
      </c>
      <c r="E14" s="37">
        <v>2.6615782809187971</v>
      </c>
      <c r="F14" s="37">
        <v>3.6645682905432686</v>
      </c>
      <c r="G14" s="37">
        <v>6.4078750600174761</v>
      </c>
      <c r="H14" s="37">
        <v>3.6338963827470039</v>
      </c>
      <c r="I14" s="37">
        <v>4.7999801861688063</v>
      </c>
      <c r="J14" s="37">
        <v>3.8128481463170658</v>
      </c>
      <c r="K14" s="37">
        <v>4.9487058317985912</v>
      </c>
    </row>
    <row r="15" spans="1:11" ht="12.6" x14ac:dyDescent="0.2">
      <c r="A15" s="33" t="s">
        <v>160</v>
      </c>
      <c r="B15" s="37">
        <v>14.923287671232877</v>
      </c>
      <c r="C15" s="37" t="s">
        <v>156</v>
      </c>
      <c r="D15" s="37">
        <v>3.8209606986899569</v>
      </c>
      <c r="E15" s="37">
        <v>2.3613122456119795</v>
      </c>
      <c r="F15" s="37">
        <v>2.9479344781272232</v>
      </c>
      <c r="G15" s="37">
        <v>4.4490028734271769</v>
      </c>
      <c r="H15" s="37">
        <v>3.2184169485176328</v>
      </c>
      <c r="I15" s="37">
        <v>4.0400907004080944</v>
      </c>
      <c r="J15" s="37">
        <v>3.1394376822874297</v>
      </c>
      <c r="K15" s="37">
        <v>3.2892779308588818</v>
      </c>
    </row>
    <row r="16" spans="1:11" ht="12.6" x14ac:dyDescent="0.2">
      <c r="A16" s="79" t="s">
        <v>161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</row>
    <row r="17" spans="1:11" ht="12.6" x14ac:dyDescent="0.2">
      <c r="A17" s="33" t="s">
        <v>162</v>
      </c>
      <c r="B17" s="37">
        <v>13.273972602739725</v>
      </c>
      <c r="C17" s="37" t="s">
        <v>163</v>
      </c>
      <c r="D17" s="37">
        <v>4.7282992237120736</v>
      </c>
      <c r="E17" s="37">
        <v>2.031758164336317</v>
      </c>
      <c r="F17" s="37">
        <v>3.3437294036795961</v>
      </c>
      <c r="G17" s="37">
        <v>5.0048567754033879</v>
      </c>
      <c r="H17" s="37">
        <v>2.7884692860056237</v>
      </c>
      <c r="I17" s="37">
        <v>2.9338936347766742</v>
      </c>
      <c r="J17" s="37">
        <v>5.3316217249956894</v>
      </c>
      <c r="K17" s="37">
        <v>5.7892173679806707</v>
      </c>
    </row>
    <row r="18" spans="1:11" ht="12.6" x14ac:dyDescent="0.2">
      <c r="A18" s="33" t="s">
        <v>164</v>
      </c>
      <c r="B18" s="37">
        <v>14.830136986301369</v>
      </c>
      <c r="C18" s="37" t="s">
        <v>165</v>
      </c>
      <c r="D18" s="37">
        <v>6.4449455092070673</v>
      </c>
      <c r="E18" s="37">
        <v>3.419501652826562</v>
      </c>
      <c r="F18" s="37">
        <v>3.9001313630923518</v>
      </c>
      <c r="G18" s="37">
        <v>5.8315931577295199</v>
      </c>
      <c r="H18" s="37">
        <v>4.6644660937888771</v>
      </c>
      <c r="I18" s="37">
        <v>4.5340439583580805</v>
      </c>
      <c r="J18" s="37">
        <v>4.9561848861537108</v>
      </c>
      <c r="K18" s="37">
        <v>5.1213281964328887</v>
      </c>
    </row>
    <row r="19" spans="1:11" ht="12.6" x14ac:dyDescent="0.2">
      <c r="A19" s="33" t="s">
        <v>166</v>
      </c>
      <c r="B19" s="37">
        <v>11.219178082191782</v>
      </c>
      <c r="C19" s="37" t="s">
        <v>167</v>
      </c>
      <c r="D19" s="37">
        <v>3.9721764598205977</v>
      </c>
      <c r="E19" s="37">
        <v>4.5140235369771187</v>
      </c>
      <c r="F19" s="37">
        <v>5.5956832170175108</v>
      </c>
      <c r="G19" s="37">
        <v>6.3955347583978917</v>
      </c>
      <c r="H19" s="37">
        <v>4.9044573164914285</v>
      </c>
      <c r="I19" s="37">
        <v>6.1600760778959263</v>
      </c>
      <c r="J19" s="37">
        <v>6.3315647584027372</v>
      </c>
      <c r="K19" s="37">
        <v>6.2921202565919945</v>
      </c>
    </row>
    <row r="20" spans="1:11" ht="12.6" x14ac:dyDescent="0.2">
      <c r="A20" s="33" t="s">
        <v>168</v>
      </c>
      <c r="B20" s="37">
        <v>14.827397260273973</v>
      </c>
      <c r="C20" s="37" t="s">
        <v>169</v>
      </c>
      <c r="D20" s="37">
        <v>8.5611654360407297</v>
      </c>
      <c r="E20" s="37">
        <v>4.083369236658152</v>
      </c>
      <c r="F20" s="37">
        <v>3.5629727416012891</v>
      </c>
      <c r="G20" s="37">
        <v>5.6447425151470831</v>
      </c>
      <c r="H20" s="37">
        <v>5.7702569720568198</v>
      </c>
      <c r="I20" s="37">
        <v>4.6000182157981406</v>
      </c>
      <c r="J20" s="37">
        <v>6.4188459736964116</v>
      </c>
      <c r="K20" s="37">
        <v>6.2322936031122245</v>
      </c>
    </row>
    <row r="21" spans="1:11" ht="12.6" x14ac:dyDescent="0.2">
      <c r="A21" s="33" t="s">
        <v>170</v>
      </c>
      <c r="B21" s="37">
        <v>14.923287671232877</v>
      </c>
      <c r="C21" s="37" t="s">
        <v>165</v>
      </c>
      <c r="D21" s="37">
        <v>5.8473736372646412</v>
      </c>
      <c r="E21" s="37">
        <v>3.8481092489860202</v>
      </c>
      <c r="F21" s="37">
        <v>4.1541526534350171</v>
      </c>
      <c r="G21" s="37">
        <v>5.5529727713013566</v>
      </c>
      <c r="H21" s="37">
        <v>4.8666832001662774</v>
      </c>
      <c r="I21" s="37">
        <v>5.2407484556546757</v>
      </c>
      <c r="J21" s="37">
        <v>5.0943386560028854</v>
      </c>
      <c r="K21" s="37">
        <v>4.9955449456977394</v>
      </c>
    </row>
    <row r="22" spans="1:11" ht="12.6" x14ac:dyDescent="0.2">
      <c r="A22" s="33" t="s">
        <v>171</v>
      </c>
      <c r="B22" s="37">
        <v>13.41095890410959</v>
      </c>
      <c r="C22" s="37" t="s">
        <v>167</v>
      </c>
      <c r="D22" s="37">
        <v>8.0773042616451907</v>
      </c>
      <c r="E22" s="37">
        <v>5.189998042122923</v>
      </c>
      <c r="F22" s="37">
        <v>5.0905078133408388</v>
      </c>
      <c r="G22" s="37">
        <v>6.649717481111006</v>
      </c>
      <c r="H22" s="37">
        <v>6.4927252181671724</v>
      </c>
      <c r="I22" s="37">
        <v>6.3421444350520106</v>
      </c>
      <c r="J22" s="37">
        <v>6.9859557904153906</v>
      </c>
      <c r="K22" s="37">
        <v>7.3574759871434301</v>
      </c>
    </row>
    <row r="23" spans="1:11" ht="12.6" x14ac:dyDescent="0.2">
      <c r="A23" s="79" t="s">
        <v>172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</row>
    <row r="24" spans="1:11" ht="12.6" x14ac:dyDescent="0.2">
      <c r="A24" s="33" t="s">
        <v>173</v>
      </c>
      <c r="B24" s="37">
        <v>1.8493150684931507</v>
      </c>
      <c r="C24" s="37" t="s">
        <v>174</v>
      </c>
      <c r="D24" s="37">
        <v>15.266701191092702</v>
      </c>
      <c r="E24" s="37" t="s">
        <v>175</v>
      </c>
      <c r="F24" s="37" t="s">
        <v>175</v>
      </c>
      <c r="G24" s="37" t="s">
        <v>175</v>
      </c>
      <c r="H24" s="37" t="s">
        <v>175</v>
      </c>
      <c r="I24" s="37" t="s">
        <v>175</v>
      </c>
      <c r="J24" s="37" t="s">
        <v>175</v>
      </c>
      <c r="K24" s="37" t="s">
        <v>175</v>
      </c>
    </row>
    <row r="25" spans="1:11" ht="12.6" x14ac:dyDescent="0.2">
      <c r="A25" s="33" t="s">
        <v>176</v>
      </c>
      <c r="B25" s="37">
        <v>11.263013698630138</v>
      </c>
      <c r="C25" s="37" t="s">
        <v>174</v>
      </c>
      <c r="D25" s="37">
        <v>7.0710455764075197</v>
      </c>
      <c r="E25" s="37">
        <v>8.0411605069709005</v>
      </c>
      <c r="F25" s="37">
        <v>8.0885916361207233</v>
      </c>
      <c r="G25" s="37">
        <v>7.6504056297604484</v>
      </c>
      <c r="H25" s="37">
        <v>7.7136528087552003</v>
      </c>
      <c r="I25" s="37">
        <v>8.033995405000983</v>
      </c>
      <c r="J25" s="37">
        <v>11.055116771393504</v>
      </c>
      <c r="K25" s="37">
        <v>9.7187567419093046</v>
      </c>
    </row>
    <row r="26" spans="1:11" ht="12.6" x14ac:dyDescent="0.2">
      <c r="A26" s="33" t="s">
        <v>177</v>
      </c>
      <c r="B26" s="37">
        <v>13.046575342465754</v>
      </c>
      <c r="C26" s="37" t="s">
        <v>178</v>
      </c>
      <c r="D26" s="37">
        <v>14.698428788646734</v>
      </c>
      <c r="E26" s="37">
        <v>8.0104023661867085</v>
      </c>
      <c r="F26" s="37">
        <v>6.3707862066325838</v>
      </c>
      <c r="G26" s="37">
        <v>8.0289760064959701</v>
      </c>
      <c r="H26" s="37">
        <v>9.7284721479393923</v>
      </c>
      <c r="I26" s="37">
        <v>7.270940578288787</v>
      </c>
      <c r="J26" s="37">
        <v>10.270703222039055</v>
      </c>
      <c r="K26" s="37">
        <v>10.210868155915422</v>
      </c>
    </row>
    <row r="27" spans="1:11" ht="12.6" x14ac:dyDescent="0.2">
      <c r="A27" s="69" t="s">
        <v>179</v>
      </c>
      <c r="B27" s="37">
        <v>8.0328767123287665</v>
      </c>
      <c r="C27" s="37" t="s">
        <v>174</v>
      </c>
      <c r="D27" s="37">
        <v>11.405197305101055</v>
      </c>
      <c r="E27" s="37">
        <v>7.3042505670021463</v>
      </c>
      <c r="F27" s="37">
        <v>6.5133505128226687</v>
      </c>
      <c r="G27" s="37" t="s">
        <v>175</v>
      </c>
      <c r="H27" s="37">
        <v>8.8879817586213772</v>
      </c>
      <c r="I27" s="37">
        <v>7.8799431078971693</v>
      </c>
      <c r="J27" s="37">
        <v>10.048604046632116</v>
      </c>
      <c r="K27" s="37" t="s">
        <v>175</v>
      </c>
    </row>
    <row r="28" spans="1:11" ht="12.6" x14ac:dyDescent="0.2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</row>
    <row r="29" spans="1:11" ht="12.6" x14ac:dyDescent="0.2">
      <c r="A29" s="70" t="s">
        <v>180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</row>
    <row r="30" spans="1:11" ht="12.6" x14ac:dyDescent="0.2">
      <c r="A30" s="51" t="s">
        <v>181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spans="1:11" ht="12.6" x14ac:dyDescent="0.2">
      <c r="A31" s="57" t="s">
        <v>182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</row>
    <row r="32" spans="1:11" ht="12.6" x14ac:dyDescent="0.2">
      <c r="A32" s="57" t="s">
        <v>183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</row>
    <row r="33" spans="1:11" ht="12.6" x14ac:dyDescent="0.2">
      <c r="A33" s="57" t="s">
        <v>184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</row>
    <row r="34" spans="1:11" ht="12.6" x14ac:dyDescent="0.2">
      <c r="A34" s="71" t="s">
        <v>185</v>
      </c>
      <c r="B34" s="71"/>
      <c r="C34" s="71"/>
      <c r="D34" s="72"/>
      <c r="E34" s="72"/>
      <c r="F34" s="72"/>
      <c r="G34" s="72"/>
      <c r="H34" s="72"/>
      <c r="I34" s="72"/>
      <c r="J34" s="72"/>
      <c r="K34" s="72"/>
    </row>
    <row r="35" spans="1:11" ht="12.6" x14ac:dyDescent="0.2">
      <c r="A35" s="71" t="s">
        <v>186</v>
      </c>
      <c r="B35" s="71"/>
      <c r="C35" s="71"/>
      <c r="D35" s="72"/>
      <c r="E35" s="72"/>
      <c r="F35" s="72"/>
      <c r="G35" s="72"/>
      <c r="H35" s="72"/>
      <c r="I35" s="72"/>
      <c r="J35" s="72"/>
      <c r="K35" s="72"/>
    </row>
    <row r="36" spans="1:11" ht="12.6" x14ac:dyDescent="0.2">
      <c r="A36" s="71" t="s">
        <v>187</v>
      </c>
      <c r="B36" s="71"/>
      <c r="C36" s="71"/>
      <c r="D36" s="72"/>
      <c r="E36" s="72"/>
      <c r="F36" s="72"/>
      <c r="G36" s="72"/>
      <c r="H36" s="72"/>
      <c r="I36" s="72"/>
      <c r="J36" s="72"/>
      <c r="K36" s="72"/>
    </row>
    <row r="37" spans="1:11" ht="12.6" x14ac:dyDescent="0.2">
      <c r="A37" s="71" t="s">
        <v>188</v>
      </c>
      <c r="B37" s="71"/>
      <c r="C37" s="71"/>
      <c r="D37" s="72"/>
      <c r="E37" s="72"/>
      <c r="F37" s="72"/>
      <c r="G37" s="72"/>
      <c r="H37" s="72"/>
      <c r="I37" s="72"/>
      <c r="J37" s="72"/>
      <c r="K37" s="72"/>
    </row>
    <row r="38" spans="1:11" ht="12.6" x14ac:dyDescent="0.2">
      <c r="A38" s="71" t="s">
        <v>189</v>
      </c>
      <c r="B38" s="71"/>
      <c r="C38" s="71"/>
      <c r="D38" s="72"/>
      <c r="E38" s="72"/>
      <c r="F38" s="72"/>
      <c r="G38" s="72"/>
      <c r="H38" s="72"/>
      <c r="I38" s="72"/>
      <c r="J38" s="72"/>
      <c r="K38" s="72"/>
    </row>
    <row r="57" spans="6:9" s="67" customFormat="1" x14ac:dyDescent="0.2">
      <c r="F57" s="73"/>
      <c r="G57" s="66"/>
      <c r="H57" s="73"/>
      <c r="I57" s="73"/>
    </row>
    <row r="61" spans="6:9" s="67" customFormat="1" x14ac:dyDescent="0.2">
      <c r="F61" s="73"/>
      <c r="G61" s="73"/>
      <c r="H61" s="73"/>
      <c r="I61" s="73"/>
    </row>
    <row r="63" spans="6:9" s="67" customFormat="1" x14ac:dyDescent="0.2">
      <c r="F63" s="66"/>
      <c r="G63" s="73"/>
      <c r="H63" s="66"/>
      <c r="I63" s="66"/>
    </row>
  </sheetData>
  <mergeCells count="11">
    <mergeCell ref="J2:K2"/>
    <mergeCell ref="A2:A3"/>
    <mergeCell ref="B2:B3"/>
    <mergeCell ref="C2:C3"/>
    <mergeCell ref="D2:G2"/>
    <mergeCell ref="H2:I2"/>
    <mergeCell ref="A4:K4"/>
    <mergeCell ref="A11:K11"/>
    <mergeCell ref="A16:K16"/>
    <mergeCell ref="A23:K23"/>
    <mergeCell ref="A28:K28"/>
  </mergeCells>
  <conditionalFormatting sqref="D5:I10">
    <cfRule type="cellIs" dxfId="47" priority="15" operator="greaterThanOrEqual">
      <formula>0</formula>
    </cfRule>
    <cfRule type="cellIs" dxfId="46" priority="16" operator="lessThan">
      <formula>0</formula>
    </cfRule>
  </conditionalFormatting>
  <conditionalFormatting sqref="D12:I15">
    <cfRule type="cellIs" dxfId="45" priority="13" operator="greaterThanOrEqual">
      <formula>0</formula>
    </cfRule>
    <cfRule type="cellIs" dxfId="44" priority="14" operator="lessThan">
      <formula>0</formula>
    </cfRule>
  </conditionalFormatting>
  <conditionalFormatting sqref="D17:I22">
    <cfRule type="cellIs" dxfId="43" priority="11" operator="greaterThanOrEqual">
      <formula>0</formula>
    </cfRule>
    <cfRule type="cellIs" dxfId="42" priority="12" operator="lessThan">
      <formula>0</formula>
    </cfRule>
  </conditionalFormatting>
  <conditionalFormatting sqref="D24:I27">
    <cfRule type="cellIs" dxfId="41" priority="9" operator="greaterThanOrEqual">
      <formula>0</formula>
    </cfRule>
    <cfRule type="cellIs" dxfId="40" priority="10" operator="lessThan">
      <formula>0</formula>
    </cfRule>
  </conditionalFormatting>
  <conditionalFormatting sqref="J5:K10">
    <cfRule type="cellIs" dxfId="39" priority="7" operator="greaterThanOrEqual">
      <formula>0</formula>
    </cfRule>
    <cfRule type="cellIs" dxfId="38" priority="8" operator="lessThan">
      <formula>0</formula>
    </cfRule>
  </conditionalFormatting>
  <conditionalFormatting sqref="J12:K15">
    <cfRule type="cellIs" dxfId="37" priority="5" operator="greaterThanOrEqual">
      <formula>0</formula>
    </cfRule>
    <cfRule type="cellIs" dxfId="36" priority="6" operator="lessThan">
      <formula>0</formula>
    </cfRule>
  </conditionalFormatting>
  <conditionalFormatting sqref="J17:K22">
    <cfRule type="cellIs" dxfId="35" priority="3" operator="greaterThanOrEqual">
      <formula>0</formula>
    </cfRule>
    <cfRule type="cellIs" dxfId="34" priority="4" operator="lessThan">
      <formula>0</formula>
    </cfRule>
  </conditionalFormatting>
  <conditionalFormatting sqref="J24:K27">
    <cfRule type="cellIs" dxfId="33" priority="1" operator="greaterThanOrEqual">
      <formula>0</formula>
    </cfRule>
    <cfRule type="cellIs" dxfId="32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45.6640625" style="15" customWidth="1"/>
    <col min="2" max="2" width="14.88671875" style="15" bestFit="1" customWidth="1"/>
    <col min="3" max="3" width="78.109375" style="15" customWidth="1"/>
    <col min="4" max="4" width="17.44140625" style="15" customWidth="1"/>
    <col min="5" max="5" width="16.109375" style="15" bestFit="1" customWidth="1"/>
    <col min="6" max="6" width="19.33203125" style="15" customWidth="1"/>
    <col min="7" max="7" width="13.6640625" style="15" customWidth="1"/>
    <col min="8" max="8" width="3.88671875" style="15" customWidth="1"/>
    <col min="9" max="9" width="17.77734375" style="15" customWidth="1"/>
    <col min="10" max="10" width="17.44140625" style="15" customWidth="1"/>
    <col min="11" max="11" width="3.88671875" style="15" customWidth="1"/>
    <col min="12" max="12" width="18.88671875" style="15" customWidth="1"/>
    <col min="13" max="13" width="22.109375" style="15" customWidth="1"/>
    <col min="14" max="16384" width="8.88671875" style="15"/>
  </cols>
  <sheetData>
    <row r="1" spans="1:16" ht="22.2" customHeight="1" x14ac:dyDescent="0.3">
      <c r="A1" s="25">
        <f>+GCF_2019_I_pusm!A1</f>
        <v>43646</v>
      </c>
      <c r="B1" s="26"/>
      <c r="C1" s="62" t="s">
        <v>94</v>
      </c>
      <c r="D1" s="75" t="str">
        <f>+GCF_2019_I_pusm!D1</f>
        <v>Veiklos 
laikotarpis, 
metais</v>
      </c>
      <c r="E1" s="28" t="str">
        <f>+GCF_2019_I_pusm!E1</f>
        <v xml:space="preserve">Strategija </v>
      </c>
      <c r="F1" s="75" t="str">
        <f>+GCF_2019_I_pusm!F1</f>
        <v>Grynųjų aktyvų****** vertė, mln. Eur</v>
      </c>
      <c r="G1" s="75" t="str">
        <f>+GCF_2019_I_pusm!G1</f>
        <v>Dalyvių skaičius</v>
      </c>
      <c r="H1" s="29"/>
      <c r="I1" s="77" t="str">
        <f>+GCF_2019_I_pusm!I1</f>
        <v>Grąža</v>
      </c>
      <c r="J1" s="78">
        <f>+GCF_2019_I_pusm!J1</f>
        <v>0</v>
      </c>
      <c r="K1" s="30"/>
      <c r="L1" s="77" t="str">
        <f>+GCF_2019_I_pusm!L1</f>
        <v>Rizika ***</v>
      </c>
      <c r="M1" s="78">
        <f>+GCF_2019_I_pusm!M1</f>
        <v>0</v>
      </c>
    </row>
    <row r="2" spans="1:16" ht="92.4" customHeight="1" x14ac:dyDescent="0.3">
      <c r="A2" s="24" t="str">
        <f>+GCF_2019_I_pusm!A2</f>
        <v xml:space="preserve">Pensijų kaupimo bendrovės pavadinimas
</v>
      </c>
      <c r="B2" s="24" t="str">
        <f>+GCF_2019_I_pusm!B2</f>
        <v xml:space="preserve">Fondo kodas
</v>
      </c>
      <c r="C2" s="24" t="str">
        <f>+GCF_2019_I_pusm!C2</f>
        <v xml:space="preserve">Pensijų fondo pavadinimas
</v>
      </c>
      <c r="D2" s="76">
        <f>+GCF_2019_I_pusm!D2</f>
        <v>0</v>
      </c>
      <c r="E2" s="24" t="str">
        <f>+GCF_2019_I_pusm!E2</f>
        <v>rizikingų aktyvų dalis fonde, proc. *****</v>
      </c>
      <c r="F2" s="76">
        <f>+GCF_2019_I_pusm!F2</f>
        <v>0</v>
      </c>
      <c r="G2" s="76">
        <f>+GCF_2019_I_pusm!G2</f>
        <v>0</v>
      </c>
      <c r="H2" s="29"/>
      <c r="I2" s="24" t="str">
        <f>+GCF_2019_I_pusm!I2</f>
        <v>vieneto vertės pokytis nuo metų pradžios, proc.*</v>
      </c>
      <c r="J2" s="24" t="str">
        <f>+GCF_2019_I_pusm!J2</f>
        <v>lyginamojo indekso vertės pokytis nuo metų pradžios, proc.**</v>
      </c>
      <c r="K2" s="55"/>
      <c r="L2" s="24" t="str">
        <f>+GCF_2019_I_pusm!L2</f>
        <v xml:space="preserve">vieneto vertės standartinis nuokrypis, nuo metų pradžios, proc. </v>
      </c>
      <c r="M2" s="24" t="str">
        <f>+GCF_2019_I_pusm!M2</f>
        <v>lyginamojo indekso standartinis nuokrypis, nuo metų pradžios, proc.</v>
      </c>
    </row>
    <row r="3" spans="1:16" ht="28.95" customHeight="1" x14ac:dyDescent="0.3">
      <c r="A3" s="74" t="str">
        <f>+GCF_2019_I_pusm!A3</f>
        <v>Tikslinės pensijų fondų dalyvių grupės pensijų fondai, 1996-2002</v>
      </c>
      <c r="B3" s="74"/>
      <c r="C3" s="74"/>
      <c r="D3" s="45"/>
      <c r="E3" s="45"/>
      <c r="F3" s="46"/>
      <c r="G3" s="56" t="str">
        <f>+GCF_2019_I_pusm!G3</f>
        <v>Svertinis vidurkis****:</v>
      </c>
      <c r="H3" s="45"/>
      <c r="I3" s="48">
        <f>+GCF_2019_I_pusm!I3</f>
        <v>12.416707517785641</v>
      </c>
      <c r="J3" s="48">
        <f>+GCF_2019_I_pusm!J3</f>
        <v>14.402366515401933</v>
      </c>
      <c r="K3" s="45"/>
      <c r="L3" s="45"/>
      <c r="M3" s="45"/>
    </row>
    <row r="4" spans="1:16" x14ac:dyDescent="0.3">
      <c r="A4" s="33" t="str">
        <f>+GCF_2019_I_pusm!A4</f>
        <v xml:space="preserve">Luminor investicijų valdymas UAB </v>
      </c>
      <c r="B4" s="33" t="str">
        <f>+GCF_2019_I_pusm!B4</f>
        <v>LMN-96/02</v>
      </c>
      <c r="C4" s="33" t="str">
        <f>+GCF_2019_I_pusm!C4</f>
        <v>Luminor 1996–2002 tikslinės grupės pensijų fondas</v>
      </c>
      <c r="D4" s="34">
        <f>+GCF_2019_I_pusm!D4</f>
        <v>0.49589041095890413</v>
      </c>
      <c r="E4" s="35">
        <f>+GCF_2019_I_pusm!E4</f>
        <v>90</v>
      </c>
      <c r="F4" s="34">
        <f>+GCF_2019_I_pusm!F4</f>
        <v>1.3573504828</v>
      </c>
      <c r="G4" s="36">
        <f>+GCF_2019_I_pusm!G4</f>
        <v>2689</v>
      </c>
      <c r="H4" s="22"/>
      <c r="I4" s="37">
        <f>+GCF_2019_I_pusm!I4</f>
        <v>12.78999999999999</v>
      </c>
      <c r="J4" s="37">
        <f>+GCF_2019_I_pusm!J4</f>
        <v>14.349000000000011</v>
      </c>
      <c r="K4" s="23"/>
      <c r="L4" s="37">
        <f>+GCF_2019_I_pusm!L4</f>
        <v>8.6030399463350342</v>
      </c>
      <c r="M4" s="37">
        <f>+GCF_2019_I_pusm!M4</f>
        <v>13.629772233887374</v>
      </c>
    </row>
    <row r="5" spans="1:16" x14ac:dyDescent="0.3">
      <c r="A5" s="33" t="str">
        <f>+GCF_2019_I_pusm!A5</f>
        <v>UAB „INVL Asset Management“</v>
      </c>
      <c r="B5" s="33" t="str">
        <f>+GCF_2019_I_pusm!B5</f>
        <v>INV-96/02</v>
      </c>
      <c r="C5" s="33" t="str">
        <f>+GCF_2019_I_pusm!C5</f>
        <v>INVL pensija 1996–2002</v>
      </c>
      <c r="D5" s="34">
        <f>+GCF_2019_I_pusm!D5</f>
        <v>0.49589041095890413</v>
      </c>
      <c r="E5" s="35">
        <f>+GCF_2019_I_pusm!E5</f>
        <v>97</v>
      </c>
      <c r="F5" s="34">
        <f>+GCF_2019_I_pusm!F5</f>
        <v>3.5362719261</v>
      </c>
      <c r="G5" s="36">
        <f>+GCF_2019_I_pusm!G5</f>
        <v>5316</v>
      </c>
      <c r="H5" s="22"/>
      <c r="I5" s="37">
        <f>+GCF_2019_I_pusm!I5</f>
        <v>11.660000000000004</v>
      </c>
      <c r="J5" s="37">
        <f>+GCF_2019_I_pusm!J5</f>
        <v>14.058700000000002</v>
      </c>
      <c r="K5" s="23"/>
      <c r="L5" s="37">
        <f>+GCF_2019_I_pusm!L5</f>
        <v>11.588044289182836</v>
      </c>
      <c r="M5" s="37">
        <f>+GCF_2019_I_pusm!M5</f>
        <v>13.913715027847912</v>
      </c>
    </row>
    <row r="6" spans="1:16" x14ac:dyDescent="0.3">
      <c r="A6" s="33" t="str">
        <f>+GCF_2019_I_pusm!A6</f>
        <v>UAB „SEB investicijų valdymas“</v>
      </c>
      <c r="B6" s="33" t="str">
        <f>+GCF_2019_I_pusm!B6</f>
        <v>SBN-96/02</v>
      </c>
      <c r="C6" s="33" t="str">
        <f>+GCF_2019_I_pusm!C6</f>
        <v>SEB 1996–2002 metų tikslinės grupės pensijų kaupimo fondas</v>
      </c>
      <c r="D6" s="34">
        <f>+GCF_2019_I_pusm!D6</f>
        <v>0.49589041095890413</v>
      </c>
      <c r="E6" s="35">
        <f>+GCF_2019_I_pusm!E6</f>
        <v>98</v>
      </c>
      <c r="F6" s="34">
        <f>+GCF_2019_I_pusm!F6</f>
        <v>4.7351962599999995</v>
      </c>
      <c r="G6" s="36">
        <f>+GCF_2019_I_pusm!G6</f>
        <v>8548</v>
      </c>
      <c r="H6" s="22"/>
      <c r="I6" s="37">
        <f>+GCF_2019_I_pusm!I6</f>
        <v>14.290000000000003</v>
      </c>
      <c r="J6" s="37">
        <f>+GCF_2019_I_pusm!J6</f>
        <v>14.513299999999996</v>
      </c>
      <c r="K6" s="23"/>
      <c r="L6" s="37">
        <f>+GCF_2019_I_pusm!L6</f>
        <v>12.889462678482728</v>
      </c>
      <c r="M6" s="37">
        <f>+GCF_2019_I_pusm!M6</f>
        <v>13.53647576750843</v>
      </c>
    </row>
    <row r="7" spans="1:16" x14ac:dyDescent="0.3">
      <c r="A7" s="33" t="str">
        <f>+GCF_2019_I_pusm!A7</f>
        <v>UAB „Swedbank investicijų valdymas“</v>
      </c>
      <c r="B7" s="33" t="str">
        <f>+GCF_2019_I_pusm!B7</f>
        <v>SWD-96/02</v>
      </c>
      <c r="C7" s="33" t="str">
        <f>+GCF_2019_I_pusm!C7</f>
        <v xml:space="preserve">Swedbank pensija 1996–2002******* </v>
      </c>
      <c r="D7" s="34">
        <f>+GCF_2019_I_pusm!D7</f>
        <v>0.49589041095890413</v>
      </c>
      <c r="E7" s="35">
        <f>+GCF_2019_I_pusm!E7</f>
        <v>90</v>
      </c>
      <c r="F7" s="34">
        <f>+GCF_2019_I_pusm!F7</f>
        <v>10.60289506</v>
      </c>
      <c r="G7" s="36">
        <f>+GCF_2019_I_pusm!G7</f>
        <v>23519</v>
      </c>
      <c r="H7" s="22"/>
      <c r="I7" s="37">
        <f>+GCF_2019_I_pusm!I7</f>
        <v>12.802945086409645</v>
      </c>
      <c r="J7" s="37">
        <f>+GCF_2019_I_pusm!J7</f>
        <v>14.274787345814421</v>
      </c>
      <c r="K7" s="23"/>
      <c r="L7" s="37">
        <f>+GCF_2019_I_pusm!L7</f>
        <v>12.576962887458865</v>
      </c>
      <c r="M7" s="37">
        <f>+GCF_2019_I_pusm!M7</f>
        <v>13.20244451367051</v>
      </c>
    </row>
    <row r="8" spans="1:16" x14ac:dyDescent="0.3">
      <c r="A8" s="33" t="str">
        <f>+GCF_2019_I_pusm!A8</f>
        <v>UAGDPB „Aviva Lietuva“</v>
      </c>
      <c r="B8" s="33" t="str">
        <f>+GCF_2019_I_pusm!B8</f>
        <v>AVI-96/02</v>
      </c>
      <c r="C8" s="33" t="str">
        <f>+GCF_2019_I_pusm!C8</f>
        <v>Aviva Y3 1996–2002 tikslinės grupės pensijų fondas</v>
      </c>
      <c r="D8" s="34">
        <f>+GCF_2019_I_pusm!D8</f>
        <v>0.49589041095890413</v>
      </c>
      <c r="E8" s="35">
        <f>+GCF_2019_I_pusm!E8</f>
        <v>90</v>
      </c>
      <c r="F8" s="34">
        <f>+GCF_2019_I_pusm!F8</f>
        <v>3.61481969</v>
      </c>
      <c r="G8" s="36">
        <f>+GCF_2019_I_pusm!G8</f>
        <v>8656</v>
      </c>
      <c r="H8" s="22"/>
      <c r="I8" s="37">
        <f>+GCF_2019_I_pusm!I8</f>
        <v>9.430000000000005</v>
      </c>
      <c r="J8" s="37">
        <f>+GCF_2019_I_pusm!J8</f>
        <v>14.987499999999997</v>
      </c>
      <c r="K8" s="23"/>
      <c r="L8" s="37">
        <f>+GCF_2019_I_pusm!L8</f>
        <v>12.262372416580822</v>
      </c>
      <c r="M8" s="37">
        <f>+GCF_2019_I_pusm!M8</f>
        <v>14.461534010296178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7" t="str">
        <f>+GCF_2019_I_pusm!A54</f>
        <v>Pastaba: praeities rezultatai negarantuoja, kad tokie patys ar panašūs rezultatai bus ir ateityje. Įtakos 2019 m. pirmojo pusmečio pensijų fondų rezultatams galėjo turėti skirtingu laiku vykdytas turto perkėlimas į tikslinės grupės ir turto išsaugojimo pensijų fondus bei skirtingas fondų dydis nagrinėjamu laikotarpiu.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tr">
        <f>+GCF_2019_I_pusm!A55</f>
        <v>* Apskaitos vieneto vertės pokytis. Juo atsižvelgiama į atskaitymus nuo turto.</v>
      </c>
      <c r="B11" s="57"/>
      <c r="C11" s="57"/>
    </row>
    <row r="12" spans="1:16" s="59" customFormat="1" ht="13.8" x14ac:dyDescent="0.3">
      <c r="A12" s="57" t="str">
        <f>+GCF_2019_I_pusm!A56</f>
        <v xml:space="preserve">** Lyginamasis indeksas apibrėžiamas kaip pensijų kaupimo bendrovės pasirinktas orientacinis investicijų portfelis, atitinkantis fondo investavimo strategiją, su kurio vertės pokyčio reikšme lyginama fondo investicijų portfelio investicijų grąža. </v>
      </c>
      <c r="B12" s="57"/>
      <c r="C12" s="57"/>
    </row>
    <row r="13" spans="1:16" s="59" customFormat="1" ht="13.8" x14ac:dyDescent="0.3">
      <c r="A13" s="57" t="str">
        <f>+GCF_2019_I_pusm!A57</f>
        <v xml:space="preserve">*** Rodikliui apskaičiuoti naudoti mėnesiniai apskaitos vieneto (lyginamojo indekso) verčių pokyčiai, rezultatas perskaičiuotas į metinį.  Standartinis nuokrypis parodo, kaip intensyviai per laikotarpį svyruoja fondo investicinio vieneto vertė (lyginamojo indekso vertė). Kuo šis rodiklis didesnis, tuo didesnė rizika. </v>
      </c>
      <c r="B13" s="57"/>
      <c r="C13" s="57"/>
    </row>
    <row r="14" spans="1:16" s="59" customFormat="1" ht="13.8" x14ac:dyDescent="0.3">
      <c r="A14" s="57" t="str">
        <f>+GCF_2019_I_pusm!A58</f>
        <v>**** Svertiniam vidurkiui apskaičiuoti naudotas 2019-06-30 dienos fondų grynųjų aktyvų dydis.</v>
      </c>
      <c r="B14" s="58"/>
      <c r="C14" s="58"/>
    </row>
    <row r="15" spans="1:16" s="59" customFormat="1" ht="13.8" x14ac:dyDescent="0.3">
      <c r="A15" s="60" t="str">
        <f>+GCF_2019_I_pusm!A59</f>
        <v>***** Investicijų į akcijas dalis. Rizikingų turto klasių dalis gali būti padidinta arba sumažinta iki 10 procentinių punktų.</v>
      </c>
      <c r="B15" s="58"/>
      <c r="C15" s="58"/>
    </row>
    <row r="16" spans="1:16" s="59" customFormat="1" ht="13.8" x14ac:dyDescent="0.3">
      <c r="A16" s="60" t="str">
        <f>+GCF_2019_I_pusm!A60</f>
        <v>****** Grynieji aktyvai – pensijų fondą sudarančio turto ir įsipareigojimų verčių skirtumas.</v>
      </c>
    </row>
    <row r="17" spans="1:5" s="59" customFormat="1" ht="13.8" x14ac:dyDescent="0.3">
      <c r="A17" s="60" t="str">
        <f>+GCF_2019_I_pusm!A61</f>
        <v>******* Šie UAB „Swedbank investicijų valdymas“ valdomi pensijų fondai pradėjo veiklą 2018-03-01, tačiau dėl 2019 m. sausio mėnesį įsigaliojusios pensijų pertvarkos pagal galiojančius teisės aktus buvo įsteigti iš naujo, todėl jų rezultatai skaičiuojami nuo 2019 m. sausio 1 d. (kaip ir visų II pakopos pensijų fondų).</v>
      </c>
    </row>
    <row r="18" spans="1:5" ht="16.2" x14ac:dyDescent="0.3">
      <c r="A18" s="17"/>
    </row>
    <row r="19" spans="1:5" x14ac:dyDescent="0.3">
      <c r="A19" s="38" t="s">
        <v>96</v>
      </c>
      <c r="B19" s="38"/>
      <c r="C19" s="38"/>
      <c r="D19" s="38"/>
      <c r="E19" s="38"/>
    </row>
    <row r="20" spans="1:5" s="59" customFormat="1" ht="13.8" x14ac:dyDescent="0.3">
      <c r="A20" s="57" t="s">
        <v>122</v>
      </c>
      <c r="B20" s="58"/>
      <c r="C20" s="58"/>
    </row>
    <row r="21" spans="1:5" s="59" customFormat="1" ht="13.8" x14ac:dyDescent="0.3">
      <c r="A21" s="57" t="s">
        <v>123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tr">
        <f>+B4</f>
        <v>LMN-96/02</v>
      </c>
      <c r="B30" s="34">
        <f>+L4</f>
        <v>8.6030399463350342</v>
      </c>
      <c r="C30" s="34">
        <f>+I4</f>
        <v>12.78999999999999</v>
      </c>
    </row>
    <row r="31" spans="1:5" x14ac:dyDescent="0.3">
      <c r="A31" s="33" t="str">
        <f>+B5</f>
        <v>INV-96/02</v>
      </c>
      <c r="B31" s="34">
        <f>+L5</f>
        <v>11.588044289182836</v>
      </c>
      <c r="C31" s="34">
        <f>+I5</f>
        <v>11.660000000000004</v>
      </c>
    </row>
    <row r="32" spans="1:5" x14ac:dyDescent="0.3">
      <c r="A32" s="33" t="str">
        <f>+B6</f>
        <v>SBN-96/02</v>
      </c>
      <c r="B32" s="34">
        <f>+L6</f>
        <v>12.889462678482728</v>
      </c>
      <c r="C32" s="34">
        <f>+I6</f>
        <v>14.290000000000003</v>
      </c>
    </row>
    <row r="33" spans="1:3" x14ac:dyDescent="0.3">
      <c r="A33" s="33" t="str">
        <f>+B7</f>
        <v>SWD-96/02</v>
      </c>
      <c r="B33" s="34">
        <f>+L7</f>
        <v>12.576962887458865</v>
      </c>
      <c r="C33" s="34">
        <f>+I7</f>
        <v>12.802945086409645</v>
      </c>
    </row>
    <row r="34" spans="1:3" x14ac:dyDescent="0.3">
      <c r="A34" s="33" t="str">
        <f>+B8</f>
        <v>AVI-96/02</v>
      </c>
      <c r="B34" s="34">
        <f>+L8</f>
        <v>12.262372416580822</v>
      </c>
      <c r="C34" s="34">
        <f>+I8</f>
        <v>9.430000000000005</v>
      </c>
    </row>
    <row r="51" spans="1:5" x14ac:dyDescent="0.3">
      <c r="A51" s="38" t="s">
        <v>124</v>
      </c>
      <c r="B51" s="38"/>
      <c r="C51" s="38"/>
      <c r="D51" s="38"/>
      <c r="E51" s="38"/>
    </row>
    <row r="52" spans="1:5" s="59" customFormat="1" ht="13.8" x14ac:dyDescent="0.3">
      <c r="A52" s="57" t="s">
        <v>125</v>
      </c>
      <c r="B52" s="58"/>
      <c r="C52" s="58"/>
    </row>
    <row r="53" spans="1:5" s="59" customFormat="1" ht="13.8" x14ac:dyDescent="0.3">
      <c r="A53" s="57" t="s">
        <v>126</v>
      </c>
      <c r="B53" s="58"/>
      <c r="C53" s="58"/>
    </row>
    <row r="54" spans="1:5" s="59" customFormat="1" ht="13.8" x14ac:dyDescent="0.3">
      <c r="A54" s="57" t="s">
        <v>127</v>
      </c>
      <c r="B54" s="58"/>
      <c r="C54" s="58"/>
    </row>
    <row r="59" spans="1:5" x14ac:dyDescent="0.3">
      <c r="A59" s="38" t="s">
        <v>0</v>
      </c>
      <c r="B59" s="38" t="s">
        <v>97</v>
      </c>
      <c r="C59" s="38" t="s">
        <v>98</v>
      </c>
      <c r="D59" s="38" t="s">
        <v>99</v>
      </c>
    </row>
    <row r="60" spans="1:5" x14ac:dyDescent="0.3">
      <c r="A60" s="33" t="str">
        <f>+B4</f>
        <v>LMN-96/02</v>
      </c>
      <c r="B60" s="34">
        <f>+G4/1000</f>
        <v>2.6890000000000001</v>
      </c>
      <c r="C60" s="34">
        <f>+I4</f>
        <v>12.78999999999999</v>
      </c>
      <c r="D60" s="34">
        <f>+F4</f>
        <v>1.3573504828</v>
      </c>
    </row>
    <row r="61" spans="1:5" x14ac:dyDescent="0.3">
      <c r="A61" s="33" t="str">
        <f>+B5</f>
        <v>INV-96/02</v>
      </c>
      <c r="B61" s="34">
        <f>+G5/1000</f>
        <v>5.3159999999999998</v>
      </c>
      <c r="C61" s="34">
        <f>+I5</f>
        <v>11.660000000000004</v>
      </c>
      <c r="D61" s="34">
        <f>+F5</f>
        <v>3.5362719261</v>
      </c>
    </row>
    <row r="62" spans="1:5" x14ac:dyDescent="0.3">
      <c r="A62" s="33" t="str">
        <f>+B6</f>
        <v>SBN-96/02</v>
      </c>
      <c r="B62" s="34">
        <f>+G6/1000</f>
        <v>8.548</v>
      </c>
      <c r="C62" s="34">
        <f>+I6</f>
        <v>14.290000000000003</v>
      </c>
      <c r="D62" s="34">
        <f>+F6</f>
        <v>4.7351962599999995</v>
      </c>
    </row>
    <row r="63" spans="1:5" x14ac:dyDescent="0.3">
      <c r="A63" s="33" t="str">
        <f>+B7</f>
        <v>SWD-96/02</v>
      </c>
      <c r="B63" s="34">
        <f>+G7/1000</f>
        <v>23.518999999999998</v>
      </c>
      <c r="C63" s="34">
        <f>+I7</f>
        <v>12.802945086409645</v>
      </c>
      <c r="D63" s="34">
        <f>+F7</f>
        <v>10.60289506</v>
      </c>
    </row>
    <row r="64" spans="1:5" x14ac:dyDescent="0.3">
      <c r="A64" s="33" t="str">
        <f>+B8</f>
        <v>AVI-96/02</v>
      </c>
      <c r="B64" s="34">
        <f>+G8/1000</f>
        <v>8.6560000000000006</v>
      </c>
      <c r="C64" s="34">
        <f>+I8</f>
        <v>9.430000000000005</v>
      </c>
      <c r="D64" s="34">
        <f>+F8</f>
        <v>3.61481969</v>
      </c>
    </row>
  </sheetData>
  <mergeCells count="6">
    <mergeCell ref="A3:C3"/>
    <mergeCell ref="I1:J1"/>
    <mergeCell ref="L1:M1"/>
    <mergeCell ref="D1:D2"/>
    <mergeCell ref="F1:F2"/>
    <mergeCell ref="G1:G2"/>
  </mergeCells>
  <conditionalFormatting sqref="I4:J8">
    <cfRule type="cellIs" dxfId="31" priority="3" operator="greaterThanOrEqual">
      <formula>0</formula>
    </cfRule>
    <cfRule type="cellIs" dxfId="30" priority="4" operator="lessThan">
      <formula>0</formula>
    </cfRule>
  </conditionalFormatting>
  <conditionalFormatting sqref="L4:M8">
    <cfRule type="cellIs" dxfId="29" priority="1" operator="greaterThanOrEqual">
      <formula>0</formula>
    </cfRule>
    <cfRule type="cellIs" dxfId="28" priority="2" operator="lessThan">
      <formula>0</formula>
    </cfRule>
  </conditionalFormatting>
  <hyperlinks>
    <hyperlink ref="C1" location="GCF_2019_I_pusm!A1" display="Grįžti į pagrindinį puslapį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45.6640625" style="15" customWidth="1"/>
    <col min="2" max="2" width="14.88671875" style="15" bestFit="1" customWidth="1"/>
    <col min="3" max="3" width="78.109375" style="15" customWidth="1"/>
    <col min="4" max="4" width="13.109375" style="15" customWidth="1"/>
    <col min="5" max="5" width="16.109375" style="15" bestFit="1" customWidth="1"/>
    <col min="6" max="6" width="19.33203125" style="15" customWidth="1"/>
    <col min="7" max="7" width="13.6640625" style="15" customWidth="1"/>
    <col min="8" max="8" width="3.88671875" style="15" customWidth="1"/>
    <col min="9" max="9" width="16.88671875" style="15" customWidth="1"/>
    <col min="10" max="10" width="15.6640625" style="15" customWidth="1"/>
    <col min="11" max="11" width="3.88671875" style="15" customWidth="1"/>
    <col min="12" max="12" width="15.77734375" style="15" customWidth="1"/>
    <col min="13" max="13" width="17.33203125" style="15" customWidth="1"/>
    <col min="14" max="16384" width="8.88671875" style="15"/>
  </cols>
  <sheetData>
    <row r="1" spans="1:16" ht="22.2" customHeight="1" x14ac:dyDescent="0.3">
      <c r="A1" s="25">
        <f>+GCF_2019_I_pusm!A1</f>
        <v>43646</v>
      </c>
      <c r="B1" s="26"/>
      <c r="C1" s="62" t="s">
        <v>94</v>
      </c>
      <c r="D1" s="75" t="str">
        <f>+GCF_2019_I_pusm!D1</f>
        <v>Veiklos 
laikotarpis, 
metais</v>
      </c>
      <c r="E1" s="28" t="str">
        <f>+GCF_2019_I_pusm!E1</f>
        <v xml:space="preserve">Strategija </v>
      </c>
      <c r="F1" s="75" t="str">
        <f>+GCF_2019_I_pusm!F1</f>
        <v>Grynųjų aktyvų****** vertė, mln. Eur</v>
      </c>
      <c r="G1" s="75" t="str">
        <f>+GCF_2019_I_pusm!G1</f>
        <v>Dalyvių skaičius</v>
      </c>
      <c r="H1" s="29"/>
      <c r="I1" s="77" t="str">
        <f>+GCF_2019_I_pusm!I1</f>
        <v>Grąža</v>
      </c>
      <c r="J1" s="78">
        <f>+GCF_2019_I_pusm!J1</f>
        <v>0</v>
      </c>
      <c r="K1" s="30"/>
      <c r="L1" s="77" t="str">
        <f>+GCF_2019_I_pusm!L1</f>
        <v>Rizika ***</v>
      </c>
      <c r="M1" s="78">
        <f>+GCF_2019_I_pusm!M1</f>
        <v>0</v>
      </c>
    </row>
    <row r="2" spans="1:16" ht="92.4" customHeight="1" x14ac:dyDescent="0.3">
      <c r="A2" s="24" t="str">
        <f>+GCF_2019_I_pusm!A2</f>
        <v xml:space="preserve">Pensijų kaupimo bendrovės pavadinimas
</v>
      </c>
      <c r="B2" s="24" t="str">
        <f>+GCF_2019_I_pusm!B2</f>
        <v xml:space="preserve">Fondo kodas
</v>
      </c>
      <c r="C2" s="24" t="str">
        <f>+GCF_2019_I_pusm!C2</f>
        <v xml:space="preserve">Pensijų fondo pavadinimas
</v>
      </c>
      <c r="D2" s="76">
        <f>+GCF_2019_I_pusm!D2</f>
        <v>0</v>
      </c>
      <c r="E2" s="24" t="str">
        <f>+GCF_2019_I_pusm!E2</f>
        <v>rizikingų aktyvų dalis fonde, proc. *****</v>
      </c>
      <c r="F2" s="76">
        <f>+GCF_2019_I_pusm!F2</f>
        <v>0</v>
      </c>
      <c r="G2" s="76">
        <f>+GCF_2019_I_pusm!G2</f>
        <v>0</v>
      </c>
      <c r="H2" s="29"/>
      <c r="I2" s="24" t="str">
        <f>+GCF_2019_I_pusm!I2</f>
        <v>vieneto vertės pokytis nuo metų pradžios, proc.*</v>
      </c>
      <c r="J2" s="24" t="str">
        <f>+GCF_2019_I_pusm!J2</f>
        <v>lyginamojo indekso vertės pokytis nuo metų pradžios, proc.**</v>
      </c>
      <c r="K2" s="55"/>
      <c r="L2" s="24" t="str">
        <f>+GCF_2019_I_pusm!L2</f>
        <v xml:space="preserve">vieneto vertės standartinis nuokrypis, nuo metų pradžios, proc. </v>
      </c>
      <c r="M2" s="24" t="str">
        <f>+GCF_2019_I_pusm!M2</f>
        <v>lyginamojo indekso standartinis nuokrypis, nuo metų pradžios, proc.</v>
      </c>
    </row>
    <row r="3" spans="1:16" ht="28.95" customHeight="1" x14ac:dyDescent="0.3">
      <c r="A3" s="74" t="str">
        <f>+GCF_2019_I_pusm!A9</f>
        <v>Tikslinės pensijų fondų dalyvių grupės pensijų fondai, 1989-1995</v>
      </c>
      <c r="B3" s="74"/>
      <c r="C3" s="74"/>
      <c r="D3" s="45"/>
      <c r="E3" s="45"/>
      <c r="F3" s="46"/>
      <c r="G3" s="56" t="str">
        <f>+GCF_2019_I_pusm!G9</f>
        <v>Svertinis vidurkis****:</v>
      </c>
      <c r="H3" s="45"/>
      <c r="I3" s="48">
        <f>+GCF_2019_I_pusm!I9</f>
        <v>12.278497475628249</v>
      </c>
      <c r="J3" s="48">
        <f>+GCF_2019_I_pusm!J9</f>
        <v>14.389355085567541</v>
      </c>
      <c r="K3" s="45"/>
      <c r="L3" s="45"/>
      <c r="M3" s="45"/>
    </row>
    <row r="4" spans="1:16" x14ac:dyDescent="0.3">
      <c r="A4" s="33" t="str">
        <f>+GCF_2019_I_pusm!A10</f>
        <v xml:space="preserve">Luminor investicijų valdymas UAB </v>
      </c>
      <c r="B4" s="33" t="str">
        <f>+GCF_2019_I_pusm!B10</f>
        <v>LMN-89/95</v>
      </c>
      <c r="C4" s="33" t="str">
        <f>+GCF_2019_I_pusm!C10</f>
        <v>Luminor 1989–1995 tikslinės grupės pensijų fondas</v>
      </c>
      <c r="D4" s="34">
        <f>+GCF_2019_I_pusm!D10</f>
        <v>0.49589041095890413</v>
      </c>
      <c r="E4" s="35">
        <f>+GCF_2019_I_pusm!E10</f>
        <v>90</v>
      </c>
      <c r="F4" s="34">
        <f>+GCF_2019_I_pusm!F10</f>
        <v>17.913148798999998</v>
      </c>
      <c r="G4" s="36">
        <f>+GCF_2019_I_pusm!G10</f>
        <v>14053</v>
      </c>
      <c r="H4" s="22"/>
      <c r="I4" s="37">
        <f>+GCF_2019_I_pusm!I10</f>
        <v>12.850000000000005</v>
      </c>
      <c r="J4" s="37">
        <f>+GCF_2019_I_pusm!J10</f>
        <v>14.349000000000011</v>
      </c>
      <c r="K4" s="23"/>
      <c r="L4" s="37">
        <f>+GCF_2019_I_pusm!L10</f>
        <v>8.7581059577848581</v>
      </c>
      <c r="M4" s="37">
        <f>+GCF_2019_I_pusm!M10</f>
        <v>13.629772233887374</v>
      </c>
    </row>
    <row r="5" spans="1:16" x14ac:dyDescent="0.3">
      <c r="A5" s="33" t="str">
        <f>+GCF_2019_I_pusm!A11</f>
        <v>UAB „INVL Asset Management“</v>
      </c>
      <c r="B5" s="33" t="str">
        <f>+GCF_2019_I_pusm!B11</f>
        <v>INV-89/95</v>
      </c>
      <c r="C5" s="33" t="str">
        <f>+GCF_2019_I_pusm!C11</f>
        <v>INVL pensija 1989–1995</v>
      </c>
      <c r="D5" s="34">
        <f>+GCF_2019_I_pusm!D11</f>
        <v>0.49589041095890413</v>
      </c>
      <c r="E5" s="35">
        <f>+GCF_2019_I_pusm!E11</f>
        <v>97</v>
      </c>
      <c r="F5" s="34">
        <f>+GCF_2019_I_pusm!F11</f>
        <v>36.573120238399994</v>
      </c>
      <c r="G5" s="36">
        <f>+GCF_2019_I_pusm!G11</f>
        <v>25922</v>
      </c>
      <c r="H5" s="22"/>
      <c r="I5" s="37">
        <f>+GCF_2019_I_pusm!I11</f>
        <v>11.850000000000005</v>
      </c>
      <c r="J5" s="37">
        <f>+GCF_2019_I_pusm!J11</f>
        <v>14.058700000000002</v>
      </c>
      <c r="K5" s="23"/>
      <c r="L5" s="37">
        <f>+GCF_2019_I_pusm!L11</f>
        <v>11.781969395224579</v>
      </c>
      <c r="M5" s="37">
        <f>+GCF_2019_I_pusm!M11</f>
        <v>13.913715027847912</v>
      </c>
    </row>
    <row r="6" spans="1:16" x14ac:dyDescent="0.3">
      <c r="A6" s="33" t="str">
        <f>+GCF_2019_I_pusm!A12</f>
        <v>UAB „SEB investicijų valdymas“</v>
      </c>
      <c r="B6" s="33" t="str">
        <f>+GCF_2019_I_pusm!B12</f>
        <v>SBN-89/95</v>
      </c>
      <c r="C6" s="33" t="str">
        <f>+GCF_2019_I_pusm!C12</f>
        <v>SEB 1989–1995 metų tikslinės grupės pensijų kaupimo fondas</v>
      </c>
      <c r="D6" s="34">
        <f>+GCF_2019_I_pusm!D12</f>
        <v>0.49589041095890413</v>
      </c>
      <c r="E6" s="35">
        <f>+GCF_2019_I_pusm!E12</f>
        <v>98</v>
      </c>
      <c r="F6" s="34">
        <f>+GCF_2019_I_pusm!F12</f>
        <v>43.291193219999997</v>
      </c>
      <c r="G6" s="36">
        <f>+GCF_2019_I_pusm!G12</f>
        <v>33709</v>
      </c>
      <c r="H6" s="22"/>
      <c r="I6" s="37">
        <f>+GCF_2019_I_pusm!I12</f>
        <v>13.62000000000001</v>
      </c>
      <c r="J6" s="37">
        <f>+GCF_2019_I_pusm!J12</f>
        <v>14.513299999999996</v>
      </c>
      <c r="K6" s="23"/>
      <c r="L6" s="37">
        <f>+GCF_2019_I_pusm!L12</f>
        <v>12.543168790752288</v>
      </c>
      <c r="M6" s="37">
        <f>+GCF_2019_I_pusm!M12</f>
        <v>13.53647576750843</v>
      </c>
    </row>
    <row r="7" spans="1:16" x14ac:dyDescent="0.3">
      <c r="A7" s="33" t="str">
        <f>+GCF_2019_I_pusm!A13</f>
        <v>UAB „Swedbank investicijų valdymas“</v>
      </c>
      <c r="B7" s="33" t="str">
        <f>+GCF_2019_I_pusm!B13</f>
        <v>SWD-89/95</v>
      </c>
      <c r="C7" s="33" t="str">
        <f>+GCF_2019_I_pusm!C13</f>
        <v xml:space="preserve">Swedbank pensija 1989–1995******* </v>
      </c>
      <c r="D7" s="34">
        <f>+GCF_2019_I_pusm!D13</f>
        <v>0.49589041095890413</v>
      </c>
      <c r="E7" s="35">
        <f>+GCF_2019_I_pusm!E13</f>
        <v>90</v>
      </c>
      <c r="F7" s="34">
        <f>+GCF_2019_I_pusm!F13</f>
        <v>98.302401189999998</v>
      </c>
      <c r="G7" s="36">
        <f>+GCF_2019_I_pusm!G13</f>
        <v>80282</v>
      </c>
      <c r="H7" s="22"/>
      <c r="I7" s="37">
        <f>+GCF_2019_I_pusm!I13</f>
        <v>13.158708879034741</v>
      </c>
      <c r="J7" s="37">
        <f>+GCF_2019_I_pusm!J13</f>
        <v>14.274787345814421</v>
      </c>
      <c r="K7" s="23"/>
      <c r="L7" s="37">
        <f>+GCF_2019_I_pusm!L13</f>
        <v>12.546812382983319</v>
      </c>
      <c r="M7" s="37">
        <f>+GCF_2019_I_pusm!M13</f>
        <v>13.20244451367051</v>
      </c>
    </row>
    <row r="8" spans="1:16" x14ac:dyDescent="0.3">
      <c r="A8" s="33" t="str">
        <f>+GCF_2019_I_pusm!A14</f>
        <v>UAGDPB „Aviva Lietuva“</v>
      </c>
      <c r="B8" s="33" t="str">
        <f>+GCF_2019_I_pusm!B14</f>
        <v>AVI-89/95</v>
      </c>
      <c r="C8" s="33" t="str">
        <f>+GCF_2019_I_pusm!C14</f>
        <v>Aviva Y2 1989–1995 tikslinės grupės pensijų fondas</v>
      </c>
      <c r="D8" s="34">
        <f>+GCF_2019_I_pusm!D14</f>
        <v>0.49589041095890413</v>
      </c>
      <c r="E8" s="35">
        <f>+GCF_2019_I_pusm!E14</f>
        <v>90</v>
      </c>
      <c r="F8" s="34">
        <f>+GCF_2019_I_pusm!F14</f>
        <v>31.284284260000003</v>
      </c>
      <c r="G8" s="36">
        <f>+GCF_2019_I_pusm!G14</f>
        <v>27117</v>
      </c>
      <c r="H8" s="22"/>
      <c r="I8" s="37">
        <f>+GCF_2019_I_pusm!I14</f>
        <v>7.8300000000000036</v>
      </c>
      <c r="J8" s="37">
        <f>+GCF_2019_I_pusm!J14</f>
        <v>14.987499999999997</v>
      </c>
      <c r="K8" s="23"/>
      <c r="L8" s="37">
        <f>+GCF_2019_I_pusm!L14</f>
        <v>11.924714202169685</v>
      </c>
      <c r="M8" s="37">
        <f>+GCF_2019_I_pusm!M14</f>
        <v>14.461534010296178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7" t="str">
        <f>+GCF_2019_I_pusm!A54</f>
        <v>Pastaba: praeities rezultatai negarantuoja, kad tokie patys ar panašūs rezultatai bus ir ateityje. Įtakos 2019 m. pirmojo pusmečio pensijų fondų rezultatams galėjo turėti skirtingu laiku vykdytas turto perkėlimas į tikslinės grupės ir turto išsaugojimo pensijų fondus bei skirtingas fondų dydis nagrinėjamu laikotarpiu.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tr">
        <f>+GCF_2019_I_pusm!A55</f>
        <v>* Apskaitos vieneto vertės pokytis. Juo atsižvelgiama į atskaitymus nuo turto.</v>
      </c>
      <c r="B11" s="57"/>
      <c r="C11" s="57"/>
    </row>
    <row r="12" spans="1:16" s="59" customFormat="1" ht="13.8" x14ac:dyDescent="0.3">
      <c r="A12" s="57" t="str">
        <f>+GCF_2019_I_pusm!A56</f>
        <v xml:space="preserve">** Lyginamasis indeksas apibrėžiamas kaip pensijų kaupimo bendrovės pasirinktas orientacinis investicijų portfelis, atitinkantis fondo investavimo strategiją, su kurio vertės pokyčio reikšme lyginama fondo investicijų portfelio investicijų grąža. </v>
      </c>
      <c r="B12" s="57"/>
      <c r="C12" s="57"/>
    </row>
    <row r="13" spans="1:16" s="59" customFormat="1" ht="13.8" x14ac:dyDescent="0.3">
      <c r="A13" s="57" t="str">
        <f>+GCF_2019_I_pusm!A57</f>
        <v xml:space="preserve">*** Rodikliui apskaičiuoti naudoti mėnesiniai apskaitos vieneto (lyginamojo indekso) verčių pokyčiai, rezultatas perskaičiuotas į metinį.  Standartinis nuokrypis parodo, kaip intensyviai per laikotarpį svyruoja fondo investicinio vieneto vertė (lyginamojo indekso vertė). Kuo šis rodiklis didesnis, tuo didesnė rizika. </v>
      </c>
      <c r="B13" s="57"/>
      <c r="C13" s="57"/>
    </row>
    <row r="14" spans="1:16" s="59" customFormat="1" ht="13.8" x14ac:dyDescent="0.3">
      <c r="A14" s="57" t="str">
        <f>+GCF_2019_I_pusm!A58</f>
        <v>**** Svertiniam vidurkiui apskaičiuoti naudotas 2019-06-30 dienos fondų grynųjų aktyvų dydis.</v>
      </c>
      <c r="B14" s="58"/>
      <c r="C14" s="58"/>
    </row>
    <row r="15" spans="1:16" s="59" customFormat="1" ht="13.8" x14ac:dyDescent="0.3">
      <c r="A15" s="60" t="str">
        <f>+GCF_2019_I_pusm!A59</f>
        <v>***** Investicijų į akcijas dalis. Rizikingų turto klasių dalis gali būti padidinta arba sumažinta iki 10 procentinių punktų.</v>
      </c>
      <c r="B15" s="58"/>
      <c r="C15" s="58"/>
    </row>
    <row r="16" spans="1:16" s="59" customFormat="1" ht="13.8" x14ac:dyDescent="0.3">
      <c r="A16" s="60" t="str">
        <f>+GCF_2019_I_pusm!A60</f>
        <v>****** Grynieji aktyvai – pensijų fondą sudarančio turto ir įsipareigojimų verčių skirtumas.</v>
      </c>
    </row>
    <row r="17" spans="1:5" s="59" customFormat="1" ht="13.8" x14ac:dyDescent="0.3">
      <c r="A17" s="60" t="str">
        <f>+GCF_2019_I_pusm!A61</f>
        <v>******* Šie UAB „Swedbank investicijų valdymas“ valdomi pensijų fondai pradėjo veiklą 2018-03-01, tačiau dėl 2019 m. sausio mėnesį įsigaliojusios pensijų pertvarkos pagal galiojančius teisės aktus buvo įsteigti iš naujo, todėl jų rezultatai skaičiuojami nuo 2019 m. sausio 1 d. (kaip ir visų II pakopos pensijų fondų).</v>
      </c>
    </row>
    <row r="18" spans="1:5" ht="16.2" x14ac:dyDescent="0.3">
      <c r="A18" s="17"/>
    </row>
    <row r="19" spans="1:5" x14ac:dyDescent="0.3">
      <c r="A19" s="38" t="str">
        <f>+'1996-2002'!A19</f>
        <v>Rizikos ir grąžos palyginimas</v>
      </c>
      <c r="B19" s="38"/>
      <c r="C19" s="38"/>
      <c r="D19" s="38"/>
      <c r="E19" s="38"/>
    </row>
    <row r="20" spans="1:5" s="59" customFormat="1" ht="13.8" x14ac:dyDescent="0.3">
      <c r="A20" s="57" t="str">
        <f>+'1996-2002'!A20</f>
        <v>Kuo pensijų fondas paveiksle vaizduojamas aukščiau, tuo jo uždirbama grąža yra didesnė. Kuo žemiau – tuo grąža mažesnė.</v>
      </c>
      <c r="B20" s="58"/>
      <c r="C20" s="58"/>
    </row>
    <row r="21" spans="1:5" s="59" customFormat="1" ht="13.8" x14ac:dyDescent="0.3">
      <c r="A21" s="57" t="str">
        <f>+'1996-2002'!A21</f>
        <v>Dešiniau pavaizduoti pensijų fondai prisiima didesnę riziką (jų vieneto vertės svyruoja daugiau). Kairiau – mažesnę (jų vieneto vertės svyruoja mažiau).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tr">
        <f>+B4</f>
        <v>LMN-89/95</v>
      </c>
      <c r="B30" s="34">
        <f>+L4</f>
        <v>8.7581059577848581</v>
      </c>
      <c r="C30" s="34">
        <f>+I4</f>
        <v>12.850000000000005</v>
      </c>
    </row>
    <row r="31" spans="1:5" x14ac:dyDescent="0.3">
      <c r="A31" s="33" t="str">
        <f>+B5</f>
        <v>INV-89/95</v>
      </c>
      <c r="B31" s="34">
        <f>+L5</f>
        <v>11.781969395224579</v>
      </c>
      <c r="C31" s="34">
        <f>+I5</f>
        <v>11.850000000000005</v>
      </c>
    </row>
    <row r="32" spans="1:5" x14ac:dyDescent="0.3">
      <c r="A32" s="33" t="str">
        <f>+B6</f>
        <v>SBN-89/95</v>
      </c>
      <c r="B32" s="34">
        <f>+L6</f>
        <v>12.543168790752288</v>
      </c>
      <c r="C32" s="34">
        <f>+I6</f>
        <v>13.62000000000001</v>
      </c>
    </row>
    <row r="33" spans="1:3" x14ac:dyDescent="0.3">
      <c r="A33" s="33" t="str">
        <f>+B7</f>
        <v>SWD-89/95</v>
      </c>
      <c r="B33" s="34">
        <f>+L7</f>
        <v>12.546812382983319</v>
      </c>
      <c r="C33" s="34">
        <f>+I7</f>
        <v>13.158708879034741</v>
      </c>
    </row>
    <row r="34" spans="1:3" x14ac:dyDescent="0.3">
      <c r="A34" s="33" t="str">
        <f>+B8</f>
        <v>AVI-89/95</v>
      </c>
      <c r="B34" s="34">
        <f>+L8</f>
        <v>11.924714202169685</v>
      </c>
      <c r="C34" s="34">
        <f>+I8</f>
        <v>7.8300000000000036</v>
      </c>
    </row>
    <row r="51" spans="1:5" x14ac:dyDescent="0.3">
      <c r="A51" s="38" t="str">
        <f>+'1996-2002'!A51</f>
        <v>Dalyvių skaičiaus, grąžos ir fondo turto palyginimas</v>
      </c>
      <c r="B51" s="38"/>
      <c r="C51" s="38"/>
      <c r="D51" s="38"/>
      <c r="E51" s="38"/>
    </row>
    <row r="52" spans="1:5" s="59" customFormat="1" ht="13.8" x14ac:dyDescent="0.3">
      <c r="A52" s="57" t="str">
        <f>+'1996-2002'!A52</f>
        <v>Kuo pensijų fondas paveiksle pavaizduotas aukščiau, tuo jo uždirbama grąža yra didesnė. Kuo žemiau – tuo grąža mažesnė.</v>
      </c>
      <c r="B52" s="58"/>
      <c r="C52" s="58"/>
    </row>
    <row r="53" spans="1:5" s="59" customFormat="1" ht="13.8" x14ac:dyDescent="0.3">
      <c r="A53" s="57" t="str">
        <f>+'1996-2002'!A53</f>
        <v>Dešiniau pavaizduoti pensijų fondai turi daugiau dalyvių. Kairiau – mažiau.</v>
      </c>
      <c r="B53" s="58"/>
      <c r="C53" s="58"/>
    </row>
    <row r="54" spans="1:5" s="59" customFormat="1" ht="13.8" x14ac:dyDescent="0.3">
      <c r="A54" s="57" t="str">
        <f>+'1996-2002'!A54</f>
        <v>Kuo didesnis fondą vaizduojančio skritulio dydis – tuo fondas turi daugiau turto. Kuo mažesnis – mažiau.</v>
      </c>
      <c r="B54" s="58"/>
      <c r="C54" s="58"/>
    </row>
    <row r="59" spans="1:5" x14ac:dyDescent="0.3">
      <c r="A59" s="38" t="s">
        <v>0</v>
      </c>
      <c r="B59" s="38" t="s">
        <v>97</v>
      </c>
      <c r="C59" s="38" t="s">
        <v>98</v>
      </c>
      <c r="D59" s="38" t="s">
        <v>99</v>
      </c>
    </row>
    <row r="60" spans="1:5" x14ac:dyDescent="0.3">
      <c r="A60" s="33" t="str">
        <f>+B4</f>
        <v>LMN-89/95</v>
      </c>
      <c r="B60" s="34">
        <f>+G4/1000</f>
        <v>14.053000000000001</v>
      </c>
      <c r="C60" s="34">
        <f>+I4</f>
        <v>12.850000000000005</v>
      </c>
      <c r="D60" s="34">
        <f>+F4</f>
        <v>17.913148798999998</v>
      </c>
    </row>
    <row r="61" spans="1:5" x14ac:dyDescent="0.3">
      <c r="A61" s="33" t="str">
        <f>+B5</f>
        <v>INV-89/95</v>
      </c>
      <c r="B61" s="34">
        <f>+G5/1000</f>
        <v>25.922000000000001</v>
      </c>
      <c r="C61" s="34">
        <f>+I5</f>
        <v>11.850000000000005</v>
      </c>
      <c r="D61" s="34">
        <f>+F5</f>
        <v>36.573120238399994</v>
      </c>
    </row>
    <row r="62" spans="1:5" x14ac:dyDescent="0.3">
      <c r="A62" s="33" t="str">
        <f>+B6</f>
        <v>SBN-89/95</v>
      </c>
      <c r="B62" s="34">
        <f>+G6/1000</f>
        <v>33.709000000000003</v>
      </c>
      <c r="C62" s="34">
        <f>+I6</f>
        <v>13.62000000000001</v>
      </c>
      <c r="D62" s="34">
        <f>+F6</f>
        <v>43.291193219999997</v>
      </c>
    </row>
    <row r="63" spans="1:5" x14ac:dyDescent="0.3">
      <c r="A63" s="33" t="str">
        <f>+B7</f>
        <v>SWD-89/95</v>
      </c>
      <c r="B63" s="34">
        <f>+G7/1000</f>
        <v>80.281999999999996</v>
      </c>
      <c r="C63" s="34">
        <f>+I7</f>
        <v>13.158708879034741</v>
      </c>
      <c r="D63" s="34">
        <f>+F7</f>
        <v>98.302401189999998</v>
      </c>
    </row>
    <row r="64" spans="1:5" x14ac:dyDescent="0.3">
      <c r="A64" s="33" t="str">
        <f>+B8</f>
        <v>AVI-89/95</v>
      </c>
      <c r="B64" s="34">
        <f>+G8/1000</f>
        <v>27.117000000000001</v>
      </c>
      <c r="C64" s="34">
        <f>+I8</f>
        <v>7.8300000000000036</v>
      </c>
      <c r="D64" s="34">
        <f>+F8</f>
        <v>31.284284260000003</v>
      </c>
    </row>
  </sheetData>
  <mergeCells count="6">
    <mergeCell ref="A3:C3"/>
    <mergeCell ref="I1:J1"/>
    <mergeCell ref="L1:M1"/>
    <mergeCell ref="D1:D2"/>
    <mergeCell ref="F1:F2"/>
    <mergeCell ref="G1:G2"/>
  </mergeCells>
  <conditionalFormatting sqref="I4:J8">
    <cfRule type="cellIs" dxfId="27" priority="3" operator="greaterThanOrEqual">
      <formula>0</formula>
    </cfRule>
    <cfRule type="cellIs" dxfId="26" priority="4" operator="lessThan">
      <formula>0</formula>
    </cfRule>
  </conditionalFormatting>
  <conditionalFormatting sqref="L4:M8">
    <cfRule type="cellIs" dxfId="25" priority="1" operator="greaterThanOrEqual">
      <formula>0</formula>
    </cfRule>
    <cfRule type="cellIs" dxfId="24" priority="2" operator="lessThan">
      <formula>0</formula>
    </cfRule>
  </conditionalFormatting>
  <hyperlinks>
    <hyperlink ref="C1" location="GCF_2019_I_pusm!A1" display="Grįžti į pagrindinį puslapį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39.33203125" style="15" customWidth="1"/>
    <col min="2" max="2" width="14.88671875" style="15" bestFit="1" customWidth="1"/>
    <col min="3" max="3" width="64.109375" style="15" customWidth="1"/>
    <col min="4" max="4" width="13.77734375" style="15" customWidth="1"/>
    <col min="5" max="5" width="16.109375" style="15" bestFit="1" customWidth="1"/>
    <col min="6" max="6" width="19.33203125" style="15" customWidth="1"/>
    <col min="7" max="7" width="13.6640625" style="15" customWidth="1"/>
    <col min="8" max="8" width="3.88671875" style="15" customWidth="1"/>
    <col min="9" max="9" width="22.109375" style="15" customWidth="1"/>
    <col min="10" max="10" width="20.6640625" style="15" customWidth="1"/>
    <col min="11" max="11" width="3.88671875" style="15" customWidth="1"/>
    <col min="12" max="12" width="16.88671875" style="15" customWidth="1"/>
    <col min="13" max="13" width="20.88671875" style="15" customWidth="1"/>
    <col min="14" max="16384" width="8.88671875" style="15"/>
  </cols>
  <sheetData>
    <row r="1" spans="1:16" ht="22.2" customHeight="1" x14ac:dyDescent="0.3">
      <c r="A1" s="25">
        <f>+GCF_2019_I_pusm!A1</f>
        <v>43646</v>
      </c>
      <c r="B1" s="26"/>
      <c r="C1" s="62" t="s">
        <v>94</v>
      </c>
      <c r="D1" s="75" t="str">
        <f>+GCF_2019_I_pusm!D1</f>
        <v>Veiklos 
laikotarpis, 
metais</v>
      </c>
      <c r="E1" s="28" t="str">
        <f>+GCF_2019_I_pusm!E1</f>
        <v xml:space="preserve">Strategija </v>
      </c>
      <c r="F1" s="75" t="str">
        <f>+GCF_2019_I_pusm!F1</f>
        <v>Grynųjų aktyvų****** vertė, mln. Eur</v>
      </c>
      <c r="G1" s="75" t="str">
        <f>+GCF_2019_I_pusm!G1</f>
        <v>Dalyvių skaičius</v>
      </c>
      <c r="H1" s="29"/>
      <c r="I1" s="77" t="str">
        <f>+GCF_2019_I_pusm!I1</f>
        <v>Grąža</v>
      </c>
      <c r="J1" s="78">
        <f>+GCF_2019_I_pusm!J1</f>
        <v>0</v>
      </c>
      <c r="K1" s="30"/>
      <c r="L1" s="77" t="str">
        <f>+GCF_2019_I_pusm!L1</f>
        <v>Rizika ***</v>
      </c>
      <c r="M1" s="78">
        <f>+GCF_2019_I_pusm!M1</f>
        <v>0</v>
      </c>
    </row>
    <row r="2" spans="1:16" ht="92.4" customHeight="1" x14ac:dyDescent="0.3">
      <c r="A2" s="24" t="str">
        <f>+GCF_2019_I_pusm!A2</f>
        <v xml:space="preserve">Pensijų kaupimo bendrovės pavadinimas
</v>
      </c>
      <c r="B2" s="24" t="str">
        <f>+GCF_2019_I_pusm!B2</f>
        <v xml:space="preserve">Fondo kodas
</v>
      </c>
      <c r="C2" s="24" t="str">
        <f>+GCF_2019_I_pusm!C2</f>
        <v xml:space="preserve">Pensijų fondo pavadinimas
</v>
      </c>
      <c r="D2" s="76">
        <f>+GCF_2019_I_pusm!D2</f>
        <v>0</v>
      </c>
      <c r="E2" s="24" t="str">
        <f>+GCF_2019_I_pusm!E2</f>
        <v>rizikingų aktyvų dalis fonde, proc. *****</v>
      </c>
      <c r="F2" s="76">
        <f>+GCF_2019_I_pusm!F2</f>
        <v>0</v>
      </c>
      <c r="G2" s="76">
        <f>+GCF_2019_I_pusm!G2</f>
        <v>0</v>
      </c>
      <c r="H2" s="29"/>
      <c r="I2" s="24" t="str">
        <f>+GCF_2019_I_pusm!I2</f>
        <v>vieneto vertės pokytis nuo metų pradžios, proc.*</v>
      </c>
      <c r="J2" s="24" t="str">
        <f>+GCF_2019_I_pusm!J2</f>
        <v>lyginamojo indekso vertės pokytis nuo metų pradžios, proc.**</v>
      </c>
      <c r="K2" s="55"/>
      <c r="L2" s="24" t="str">
        <f>+GCF_2019_I_pusm!L2</f>
        <v xml:space="preserve">vieneto vertės standartinis nuokrypis, nuo metų pradžios, proc. </v>
      </c>
      <c r="M2" s="24" t="str">
        <f>+GCF_2019_I_pusm!M2</f>
        <v>lyginamojo indekso standartinis nuokrypis, nuo metų pradžios, proc.</v>
      </c>
    </row>
    <row r="3" spans="1:16" ht="28.95" customHeight="1" x14ac:dyDescent="0.3">
      <c r="A3" s="74" t="str">
        <f>+GCF_2019_I_pusm!A15</f>
        <v>Tikslinės pensijų fondų dalyvių grupės pensijų fondai, 1982-1988</v>
      </c>
      <c r="B3" s="74"/>
      <c r="C3" s="74"/>
      <c r="D3" s="45"/>
      <c r="E3" s="45"/>
      <c r="F3" s="46"/>
      <c r="G3" s="56" t="str">
        <f>+GCF_2019_I_pusm!G15</f>
        <v>Svertinis vidurkis****:</v>
      </c>
      <c r="H3" s="45"/>
      <c r="I3" s="48">
        <f>+GCF_2019_I_pusm!I15</f>
        <v>12.301918921896922</v>
      </c>
      <c r="J3" s="48">
        <f>+GCF_2019_I_pusm!J15</f>
        <v>14.400263350636449</v>
      </c>
      <c r="K3" s="45"/>
      <c r="L3" s="45"/>
      <c r="M3" s="45"/>
    </row>
    <row r="4" spans="1:16" x14ac:dyDescent="0.3">
      <c r="A4" s="33" t="str">
        <f>+GCF_2019_I_pusm!A16</f>
        <v xml:space="preserve">Luminor investicijų valdymas UAB </v>
      </c>
      <c r="B4" s="33" t="str">
        <f>+GCF_2019_I_pusm!B16</f>
        <v>LMN-82/88</v>
      </c>
      <c r="C4" s="33" t="str">
        <f>+GCF_2019_I_pusm!C16</f>
        <v>Luminor 1982–1988 tikslinės grupės pensijų fondas</v>
      </c>
      <c r="D4" s="34">
        <f>+GCF_2019_I_pusm!D16</f>
        <v>0.49589041095890413</v>
      </c>
      <c r="E4" s="35">
        <f>+GCF_2019_I_pusm!E16</f>
        <v>90</v>
      </c>
      <c r="F4" s="34">
        <f>+GCF_2019_I_pusm!F16</f>
        <v>49.946327167999996</v>
      </c>
      <c r="G4" s="36">
        <f>+GCF_2019_I_pusm!G16</f>
        <v>24695</v>
      </c>
      <c r="H4" s="22"/>
      <c r="I4" s="37">
        <f>+GCF_2019_I_pusm!I16</f>
        <v>12.559999999999993</v>
      </c>
      <c r="J4" s="37">
        <f>+GCF_2019_I_pusm!J16</f>
        <v>14.349000000000011</v>
      </c>
      <c r="K4" s="23"/>
      <c r="L4" s="37">
        <f>+GCF_2019_I_pusm!L16</f>
        <v>8.7168219249197918</v>
      </c>
      <c r="M4" s="37">
        <f>+GCF_2019_I_pusm!M16</f>
        <v>13.629772233887374</v>
      </c>
    </row>
    <row r="5" spans="1:16" x14ac:dyDescent="0.3">
      <c r="A5" s="33" t="str">
        <f>+GCF_2019_I_pusm!A17</f>
        <v>UAB „INVL Asset Management“</v>
      </c>
      <c r="B5" s="33" t="str">
        <f>+GCF_2019_I_pusm!B17</f>
        <v>INV-82/88</v>
      </c>
      <c r="C5" s="33" t="str">
        <f>+GCF_2019_I_pusm!C17</f>
        <v>INVL pensija 1982–1988</v>
      </c>
      <c r="D5" s="34">
        <f>+GCF_2019_I_pusm!D17</f>
        <v>0.49589041095890413</v>
      </c>
      <c r="E5" s="35">
        <f>+GCF_2019_I_pusm!E17</f>
        <v>97</v>
      </c>
      <c r="F5" s="34">
        <f>+GCF_2019_I_pusm!F17</f>
        <v>91.930357044900006</v>
      </c>
      <c r="G5" s="36">
        <f>+GCF_2019_I_pusm!G17</f>
        <v>37324</v>
      </c>
      <c r="H5" s="22"/>
      <c r="I5" s="37">
        <f>+GCF_2019_I_pusm!I17</f>
        <v>11.519999999999996</v>
      </c>
      <c r="J5" s="37">
        <f>+GCF_2019_I_pusm!J17</f>
        <v>14.058700000000002</v>
      </c>
      <c r="K5" s="23"/>
      <c r="L5" s="37">
        <f>+GCF_2019_I_pusm!L17</f>
        <v>11.539278532626748</v>
      </c>
      <c r="M5" s="37">
        <f>+GCF_2019_I_pusm!M17</f>
        <v>13.913715027847912</v>
      </c>
    </row>
    <row r="6" spans="1:16" x14ac:dyDescent="0.3">
      <c r="A6" s="33" t="str">
        <f>+GCF_2019_I_pusm!A18</f>
        <v>UAB „SEB investicijų valdymas“</v>
      </c>
      <c r="B6" s="33" t="str">
        <f>+GCF_2019_I_pusm!B18</f>
        <v>SBN-82/88</v>
      </c>
      <c r="C6" s="33" t="str">
        <f>+GCF_2019_I_pusm!C18</f>
        <v>SEB 1982–1988 metų tikslinės grupės pensijų kaupimo fondas</v>
      </c>
      <c r="D6" s="34">
        <f>+GCF_2019_I_pusm!D18</f>
        <v>0.49589041095890413</v>
      </c>
      <c r="E6" s="35">
        <f>+GCF_2019_I_pusm!E18</f>
        <v>98</v>
      </c>
      <c r="F6" s="34">
        <f>+GCF_2019_I_pusm!F18</f>
        <v>142.59912858999999</v>
      </c>
      <c r="G6" s="36">
        <f>+GCF_2019_I_pusm!G18</f>
        <v>66332</v>
      </c>
      <c r="H6" s="22"/>
      <c r="I6" s="37">
        <f>+GCF_2019_I_pusm!I18</f>
        <v>13.549999999999995</v>
      </c>
      <c r="J6" s="37">
        <f>+GCF_2019_I_pusm!J18</f>
        <v>14.513299999999996</v>
      </c>
      <c r="K6" s="23"/>
      <c r="L6" s="37">
        <f>+GCF_2019_I_pusm!L18</f>
        <v>12.469693619356777</v>
      </c>
      <c r="M6" s="37">
        <f>+GCF_2019_I_pusm!M18</f>
        <v>13.53647576750843</v>
      </c>
    </row>
    <row r="7" spans="1:16" x14ac:dyDescent="0.3">
      <c r="A7" s="33" t="str">
        <f>+GCF_2019_I_pusm!A19</f>
        <v>UAB „Swedbank investicijų valdymas“</v>
      </c>
      <c r="B7" s="33" t="str">
        <f>+GCF_2019_I_pusm!B19</f>
        <v>SWD-82/88</v>
      </c>
      <c r="C7" s="33" t="str">
        <f>+GCF_2019_I_pusm!C19</f>
        <v xml:space="preserve">Swedbank pensija 1982–1988******* </v>
      </c>
      <c r="D7" s="34">
        <f>+GCF_2019_I_pusm!D19</f>
        <v>0.49589041095890413</v>
      </c>
      <c r="E7" s="35">
        <f>+GCF_2019_I_pusm!E19</f>
        <v>90</v>
      </c>
      <c r="F7" s="34">
        <f>+GCF_2019_I_pusm!F19</f>
        <v>186.41143721</v>
      </c>
      <c r="G7" s="36">
        <f>+GCF_2019_I_pusm!G19</f>
        <v>100798</v>
      </c>
      <c r="H7" s="22"/>
      <c r="I7" s="37">
        <f>+GCF_2019_I_pusm!I19</f>
        <v>13.25761486835313</v>
      </c>
      <c r="J7" s="37">
        <f>+GCF_2019_I_pusm!J19</f>
        <v>14.274787345814421</v>
      </c>
      <c r="K7" s="23"/>
      <c r="L7" s="37">
        <f>+GCF_2019_I_pusm!L19</f>
        <v>12.562915829754795</v>
      </c>
      <c r="M7" s="37">
        <f>+GCF_2019_I_pusm!M19</f>
        <v>13.20244451367051</v>
      </c>
    </row>
    <row r="8" spans="1:16" x14ac:dyDescent="0.3">
      <c r="A8" s="33" t="str">
        <f>+GCF_2019_I_pusm!A20</f>
        <v>UAGDPB „Aviva Lietuva“</v>
      </c>
      <c r="B8" s="33" t="str">
        <f>+GCF_2019_I_pusm!B20</f>
        <v>AVI-82/88</v>
      </c>
      <c r="C8" s="33" t="str">
        <f>+GCF_2019_I_pusm!C20</f>
        <v>Aviva Y1 1982–1988 tikslinės grupės pensijų fondas</v>
      </c>
      <c r="D8" s="34">
        <f>+GCF_2019_I_pusm!D20</f>
        <v>0.49589041095890413</v>
      </c>
      <c r="E8" s="35">
        <f>+GCF_2019_I_pusm!E20</f>
        <v>90</v>
      </c>
      <c r="F8" s="34">
        <f>+GCF_2019_I_pusm!F20</f>
        <v>70.213076110000003</v>
      </c>
      <c r="G8" s="36">
        <f>+GCF_2019_I_pusm!G20</f>
        <v>41303</v>
      </c>
      <c r="H8" s="22"/>
      <c r="I8" s="37">
        <f>+GCF_2019_I_pusm!I20</f>
        <v>8.07</v>
      </c>
      <c r="J8" s="37">
        <f>+GCF_2019_I_pusm!J20</f>
        <v>14.987499999999997</v>
      </c>
      <c r="K8" s="23"/>
      <c r="L8" s="37">
        <f>+GCF_2019_I_pusm!L20</f>
        <v>12.010846013277153</v>
      </c>
      <c r="M8" s="37">
        <f>+GCF_2019_I_pusm!M20</f>
        <v>14.461534010296178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7" t="str">
        <f>+GCF_2019_I_pusm!A54</f>
        <v>Pastaba: praeities rezultatai negarantuoja, kad tokie patys ar panašūs rezultatai bus ir ateityje. Įtakos 2019 m. pirmojo pusmečio pensijų fondų rezultatams galėjo turėti skirtingu laiku vykdytas turto perkėlimas į tikslinės grupės ir turto išsaugojimo pensijų fondus bei skirtingas fondų dydis nagrinėjamu laikotarpiu.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tr">
        <f>+GCF_2019_I_pusm!A55</f>
        <v>* Apskaitos vieneto vertės pokytis. Juo atsižvelgiama į atskaitymus nuo turto.</v>
      </c>
      <c r="B11" s="57"/>
      <c r="C11" s="57"/>
    </row>
    <row r="12" spans="1:16" s="59" customFormat="1" ht="13.8" x14ac:dyDescent="0.3">
      <c r="A12" s="57" t="str">
        <f>+GCF_2019_I_pusm!A56</f>
        <v xml:space="preserve">** Lyginamasis indeksas apibrėžiamas kaip pensijų kaupimo bendrovės pasirinktas orientacinis investicijų portfelis, atitinkantis fondo investavimo strategiją, su kurio vertės pokyčio reikšme lyginama fondo investicijų portfelio investicijų grąža. </v>
      </c>
      <c r="B12" s="57"/>
      <c r="C12" s="57"/>
    </row>
    <row r="13" spans="1:16" s="59" customFormat="1" ht="13.8" x14ac:dyDescent="0.3">
      <c r="A13" s="57" t="str">
        <f>+GCF_2019_I_pusm!A57</f>
        <v xml:space="preserve">*** Rodikliui apskaičiuoti naudoti mėnesiniai apskaitos vieneto (lyginamojo indekso) verčių pokyčiai, rezultatas perskaičiuotas į metinį.  Standartinis nuokrypis parodo, kaip intensyviai per laikotarpį svyruoja fondo investicinio vieneto vertė (lyginamojo indekso vertė). Kuo šis rodiklis didesnis, tuo didesnė rizika. </v>
      </c>
      <c r="B13" s="57"/>
      <c r="C13" s="57"/>
    </row>
    <row r="14" spans="1:16" s="59" customFormat="1" ht="13.8" x14ac:dyDescent="0.3">
      <c r="A14" s="57" t="str">
        <f>+GCF_2019_I_pusm!A58</f>
        <v>**** Svertiniam vidurkiui apskaičiuoti naudotas 2019-06-30 dienos fondų grynųjų aktyvų dydis.</v>
      </c>
      <c r="B14" s="58"/>
      <c r="C14" s="58"/>
    </row>
    <row r="15" spans="1:16" s="59" customFormat="1" ht="13.8" x14ac:dyDescent="0.3">
      <c r="A15" s="60" t="str">
        <f>+GCF_2019_I_pusm!A59</f>
        <v>***** Investicijų į akcijas dalis. Rizikingų turto klasių dalis gali būti padidinta arba sumažinta iki 10 procentinių punktų.</v>
      </c>
      <c r="B15" s="58"/>
      <c r="C15" s="58"/>
    </row>
    <row r="16" spans="1:16" s="59" customFormat="1" ht="13.8" x14ac:dyDescent="0.3">
      <c r="A16" s="60" t="str">
        <f>+GCF_2019_I_pusm!A60</f>
        <v>****** Grynieji aktyvai – pensijų fondą sudarančio turto ir įsipareigojimų verčių skirtumas.</v>
      </c>
    </row>
    <row r="17" spans="1:5" s="59" customFormat="1" ht="13.8" x14ac:dyDescent="0.3">
      <c r="A17" s="60" t="str">
        <f>+GCF_2019_I_pusm!A61</f>
        <v>******* Šie UAB „Swedbank investicijų valdymas“ valdomi pensijų fondai pradėjo veiklą 2018-03-01, tačiau dėl 2019 m. sausio mėnesį įsigaliojusios pensijų pertvarkos pagal galiojančius teisės aktus buvo įsteigti iš naujo, todėl jų rezultatai skaičiuojami nuo 2019 m. sausio 1 d. (kaip ir visų II pakopos pensijų fondų).</v>
      </c>
    </row>
    <row r="18" spans="1:5" ht="16.2" x14ac:dyDescent="0.3">
      <c r="A18" s="17"/>
    </row>
    <row r="19" spans="1:5" x14ac:dyDescent="0.3">
      <c r="A19" s="38" t="str">
        <f>+'1996-2002'!A19</f>
        <v>Rizikos ir grąžos palyginimas</v>
      </c>
      <c r="B19" s="38"/>
      <c r="C19" s="38"/>
      <c r="D19" s="38"/>
      <c r="E19" s="38"/>
    </row>
    <row r="20" spans="1:5" s="59" customFormat="1" ht="13.8" x14ac:dyDescent="0.3">
      <c r="A20" s="57" t="str">
        <f>+'1996-2002'!A20</f>
        <v>Kuo pensijų fondas paveiksle vaizduojamas aukščiau, tuo jo uždirbama grąža yra didesnė. Kuo žemiau – tuo grąža mažesnė.</v>
      </c>
      <c r="B20" s="58"/>
      <c r="C20" s="58"/>
    </row>
    <row r="21" spans="1:5" s="59" customFormat="1" ht="13.8" x14ac:dyDescent="0.3">
      <c r="A21" s="57" t="str">
        <f>+'1996-2002'!A21</f>
        <v>Dešiniau pavaizduoti pensijų fondai prisiima didesnę riziką (jų vieneto vertės svyruoja daugiau). Kairiau – mažesnę (jų vieneto vertės svyruoja mažiau).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tr">
        <f>+B4</f>
        <v>LMN-82/88</v>
      </c>
      <c r="B30" s="34">
        <f>+L4</f>
        <v>8.7168219249197918</v>
      </c>
      <c r="C30" s="34">
        <f>+I4</f>
        <v>12.559999999999993</v>
      </c>
    </row>
    <row r="31" spans="1:5" x14ac:dyDescent="0.3">
      <c r="A31" s="33" t="str">
        <f>+B5</f>
        <v>INV-82/88</v>
      </c>
      <c r="B31" s="34">
        <f>+L5</f>
        <v>11.539278532626748</v>
      </c>
      <c r="C31" s="34">
        <f>+I5</f>
        <v>11.519999999999996</v>
      </c>
    </row>
    <row r="32" spans="1:5" x14ac:dyDescent="0.3">
      <c r="A32" s="33" t="str">
        <f>+B6</f>
        <v>SBN-82/88</v>
      </c>
      <c r="B32" s="34">
        <f>+L6</f>
        <v>12.469693619356777</v>
      </c>
      <c r="C32" s="34">
        <f>+I6</f>
        <v>13.549999999999995</v>
      </c>
    </row>
    <row r="33" spans="1:3" x14ac:dyDescent="0.3">
      <c r="A33" s="33" t="str">
        <f>+B7</f>
        <v>SWD-82/88</v>
      </c>
      <c r="B33" s="34">
        <f>+L7</f>
        <v>12.562915829754795</v>
      </c>
      <c r="C33" s="34">
        <f>+I7</f>
        <v>13.25761486835313</v>
      </c>
    </row>
    <row r="34" spans="1:3" x14ac:dyDescent="0.3">
      <c r="A34" s="33" t="str">
        <f>+B8</f>
        <v>AVI-82/88</v>
      </c>
      <c r="B34" s="34">
        <f>+L8</f>
        <v>12.010846013277153</v>
      </c>
      <c r="C34" s="34">
        <f>+I8</f>
        <v>8.07</v>
      </c>
    </row>
    <row r="51" spans="1:5" x14ac:dyDescent="0.3">
      <c r="A51" s="38" t="str">
        <f>+'1996-2002'!A51</f>
        <v>Dalyvių skaičiaus, grąžos ir fondo turto palyginimas</v>
      </c>
      <c r="B51" s="38"/>
      <c r="C51" s="38"/>
      <c r="D51" s="38"/>
      <c r="E51" s="38"/>
    </row>
    <row r="52" spans="1:5" s="59" customFormat="1" ht="13.8" x14ac:dyDescent="0.3">
      <c r="A52" s="57" t="str">
        <f>+'1996-2002'!A52</f>
        <v>Kuo pensijų fondas paveiksle pavaizduotas aukščiau, tuo jo uždirbama grąža yra didesnė. Kuo žemiau – tuo grąža mažesnė.</v>
      </c>
      <c r="B52" s="58"/>
      <c r="C52" s="58"/>
    </row>
    <row r="53" spans="1:5" s="59" customFormat="1" ht="13.8" x14ac:dyDescent="0.3">
      <c r="A53" s="57" t="str">
        <f>+'1996-2002'!A53</f>
        <v>Dešiniau pavaizduoti pensijų fondai turi daugiau dalyvių. Kairiau – mažiau.</v>
      </c>
      <c r="B53" s="58"/>
      <c r="C53" s="58"/>
    </row>
    <row r="54" spans="1:5" s="59" customFormat="1" ht="13.8" x14ac:dyDescent="0.3">
      <c r="A54" s="57" t="str">
        <f>+'1996-2002'!A54</f>
        <v>Kuo didesnis fondą vaizduojančio skritulio dydis – tuo fondas turi daugiau turto. Kuo mažesnis – mažiau.</v>
      </c>
      <c r="B54" s="58"/>
      <c r="C54" s="58"/>
    </row>
    <row r="59" spans="1:5" x14ac:dyDescent="0.3">
      <c r="A59" s="38" t="s">
        <v>0</v>
      </c>
      <c r="B59" s="38" t="s">
        <v>97</v>
      </c>
      <c r="C59" s="38" t="s">
        <v>98</v>
      </c>
      <c r="D59" s="38" t="s">
        <v>99</v>
      </c>
    </row>
    <row r="60" spans="1:5" x14ac:dyDescent="0.3">
      <c r="A60" s="33" t="str">
        <f>+B4</f>
        <v>LMN-82/88</v>
      </c>
      <c r="B60" s="34">
        <f>+G4/1000</f>
        <v>24.695</v>
      </c>
      <c r="C60" s="34">
        <f>+I4</f>
        <v>12.559999999999993</v>
      </c>
      <c r="D60" s="34">
        <f>+F4</f>
        <v>49.946327167999996</v>
      </c>
    </row>
    <row r="61" spans="1:5" x14ac:dyDescent="0.3">
      <c r="A61" s="33" t="str">
        <f>+B5</f>
        <v>INV-82/88</v>
      </c>
      <c r="B61" s="34">
        <f>+G5/1000</f>
        <v>37.323999999999998</v>
      </c>
      <c r="C61" s="34">
        <f>+I5</f>
        <v>11.519999999999996</v>
      </c>
      <c r="D61" s="34">
        <f>+F5</f>
        <v>91.930357044900006</v>
      </c>
    </row>
    <row r="62" spans="1:5" x14ac:dyDescent="0.3">
      <c r="A62" s="33" t="str">
        <f>+B6</f>
        <v>SBN-82/88</v>
      </c>
      <c r="B62" s="34">
        <f>+G6/1000</f>
        <v>66.331999999999994</v>
      </c>
      <c r="C62" s="34">
        <f>+I6</f>
        <v>13.549999999999995</v>
      </c>
      <c r="D62" s="34">
        <f>+F6</f>
        <v>142.59912858999999</v>
      </c>
    </row>
    <row r="63" spans="1:5" x14ac:dyDescent="0.3">
      <c r="A63" s="33" t="str">
        <f>+B7</f>
        <v>SWD-82/88</v>
      </c>
      <c r="B63" s="34">
        <f>+G7/1000</f>
        <v>100.798</v>
      </c>
      <c r="C63" s="34">
        <f>+I7</f>
        <v>13.25761486835313</v>
      </c>
      <c r="D63" s="34">
        <f>+F7</f>
        <v>186.41143721</v>
      </c>
    </row>
    <row r="64" spans="1:5" x14ac:dyDescent="0.3">
      <c r="A64" s="33" t="str">
        <f>+B8</f>
        <v>AVI-82/88</v>
      </c>
      <c r="B64" s="34">
        <f>+G8/1000</f>
        <v>41.302999999999997</v>
      </c>
      <c r="C64" s="34">
        <f>+I8</f>
        <v>8.07</v>
      </c>
      <c r="D64" s="34">
        <f>+F8</f>
        <v>70.213076110000003</v>
      </c>
    </row>
  </sheetData>
  <mergeCells count="6">
    <mergeCell ref="L1:M1"/>
    <mergeCell ref="A3:C3"/>
    <mergeCell ref="D1:D2"/>
    <mergeCell ref="F1:F2"/>
    <mergeCell ref="G1:G2"/>
    <mergeCell ref="I1:J1"/>
  </mergeCells>
  <conditionalFormatting sqref="I4:J8">
    <cfRule type="cellIs" dxfId="23" priority="3" operator="greaterThanOrEqual">
      <formula>0</formula>
    </cfRule>
    <cfRule type="cellIs" dxfId="22" priority="4" operator="lessThan">
      <formula>0</formula>
    </cfRule>
  </conditionalFormatting>
  <conditionalFormatting sqref="L4:M8">
    <cfRule type="cellIs" dxfId="21" priority="1" operator="greaterThanOrEqual">
      <formula>0</formula>
    </cfRule>
    <cfRule type="cellIs" dxfId="20" priority="2" operator="lessThan">
      <formula>0</formula>
    </cfRule>
  </conditionalFormatting>
  <hyperlinks>
    <hyperlink ref="C1" location="GCF_2019_I_pusm!A1" display="Grįžti į pagrindinį puslapį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39.21875" style="15" customWidth="1"/>
    <col min="2" max="2" width="14.88671875" style="15" bestFit="1" customWidth="1"/>
    <col min="3" max="3" width="64.33203125" style="15" customWidth="1"/>
    <col min="4" max="4" width="13.44140625" style="15" customWidth="1"/>
    <col min="5" max="5" width="15.109375" style="15" customWidth="1"/>
    <col min="6" max="6" width="13" style="15" customWidth="1"/>
    <col min="7" max="7" width="11.88671875" style="15" customWidth="1"/>
    <col min="8" max="8" width="3.88671875" style="15" customWidth="1"/>
    <col min="9" max="9" width="18.44140625" style="15" customWidth="1"/>
    <col min="10" max="10" width="17.44140625" style="15" customWidth="1"/>
    <col min="11" max="11" width="3.88671875" style="15" customWidth="1"/>
    <col min="12" max="12" width="17.33203125" style="15" customWidth="1"/>
    <col min="13" max="13" width="23.6640625" style="15" customWidth="1"/>
    <col min="14" max="16384" width="8.88671875" style="15"/>
  </cols>
  <sheetData>
    <row r="1" spans="1:16" ht="22.2" customHeight="1" x14ac:dyDescent="0.3">
      <c r="A1" s="25">
        <f>+GCF_2019_I_pusm!A1</f>
        <v>43646</v>
      </c>
      <c r="B1" s="26"/>
      <c r="C1" s="62" t="s">
        <v>94</v>
      </c>
      <c r="D1" s="75" t="str">
        <f>+GCF_2019_I_pusm!D1</f>
        <v>Veiklos 
laikotarpis, 
metais</v>
      </c>
      <c r="E1" s="28" t="str">
        <f>+GCF_2019_I_pusm!E1</f>
        <v xml:space="preserve">Strategija </v>
      </c>
      <c r="F1" s="75" t="str">
        <f>+GCF_2019_I_pusm!F1</f>
        <v>Grynųjų aktyvų****** vertė, mln. Eur</v>
      </c>
      <c r="G1" s="75" t="str">
        <f>+GCF_2019_I_pusm!G1</f>
        <v>Dalyvių skaičius</v>
      </c>
      <c r="H1" s="29"/>
      <c r="I1" s="77" t="str">
        <f>+GCF_2019_I_pusm!I1</f>
        <v>Grąža</v>
      </c>
      <c r="J1" s="78">
        <f>+GCF_2019_I_pusm!J1</f>
        <v>0</v>
      </c>
      <c r="K1" s="30"/>
      <c r="L1" s="77" t="str">
        <f>+GCF_2019_I_pusm!L1</f>
        <v>Rizika ***</v>
      </c>
      <c r="M1" s="78">
        <f>+GCF_2019_I_pusm!M1</f>
        <v>0</v>
      </c>
    </row>
    <row r="2" spans="1:16" ht="92.4" customHeight="1" x14ac:dyDescent="0.3">
      <c r="A2" s="24" t="str">
        <f>+GCF_2019_I_pusm!A2</f>
        <v xml:space="preserve">Pensijų kaupimo bendrovės pavadinimas
</v>
      </c>
      <c r="B2" s="24" t="str">
        <f>+GCF_2019_I_pusm!B2</f>
        <v xml:space="preserve">Fondo kodas
</v>
      </c>
      <c r="C2" s="24" t="str">
        <f>+GCF_2019_I_pusm!C2</f>
        <v xml:space="preserve">Pensijų fondo pavadinimas
</v>
      </c>
      <c r="D2" s="76">
        <f>+GCF_2019_I_pusm!D2</f>
        <v>0</v>
      </c>
      <c r="E2" s="24" t="str">
        <f>+GCF_2019_I_pusm!E2</f>
        <v>rizikingų aktyvų dalis fonde, proc. *****</v>
      </c>
      <c r="F2" s="76">
        <f>+GCF_2019_I_pusm!F2</f>
        <v>0</v>
      </c>
      <c r="G2" s="76">
        <f>+GCF_2019_I_pusm!G2</f>
        <v>0</v>
      </c>
      <c r="H2" s="29"/>
      <c r="I2" s="24" t="str">
        <f>+GCF_2019_I_pusm!I2</f>
        <v>vieneto vertės pokytis nuo metų pradžios, proc.*</v>
      </c>
      <c r="J2" s="24" t="str">
        <f>+GCF_2019_I_pusm!J2</f>
        <v>lyginamojo indekso vertės pokytis nuo metų pradžios, proc.**</v>
      </c>
      <c r="K2" s="55"/>
      <c r="L2" s="24" t="str">
        <f>+GCF_2019_I_pusm!L2</f>
        <v xml:space="preserve">vieneto vertės standartinis nuokrypis, nuo metų pradžios, proc. </v>
      </c>
      <c r="M2" s="24" t="str">
        <f>+GCF_2019_I_pusm!M2</f>
        <v>lyginamojo indekso standartinis nuokrypis, nuo metų pradžios, proc.</v>
      </c>
    </row>
    <row r="3" spans="1:16" ht="28.95" customHeight="1" x14ac:dyDescent="0.3">
      <c r="A3" s="74" t="str">
        <f>+GCF_2019_I_pusm!A21</f>
        <v>Tikslinės pensijų fondų dalyvių grupės pensijų fondai, 1975-1981</v>
      </c>
      <c r="B3" s="74"/>
      <c r="C3" s="74"/>
      <c r="D3" s="45"/>
      <c r="E3" s="45"/>
      <c r="F3" s="46"/>
      <c r="G3" s="56" t="str">
        <f>+GCF_2019_I_pusm!G21</f>
        <v>Svertinis vidurkis****:</v>
      </c>
      <c r="H3" s="45"/>
      <c r="I3" s="48">
        <f>+GCF_2019_I_pusm!I21</f>
        <v>13.035929043943442</v>
      </c>
      <c r="J3" s="48">
        <f>+GCF_2019_I_pusm!J21</f>
        <v>15.298514974909025</v>
      </c>
      <c r="K3" s="45"/>
      <c r="L3" s="45"/>
      <c r="M3" s="45"/>
    </row>
    <row r="4" spans="1:16" x14ac:dyDescent="0.3">
      <c r="A4" s="33" t="str">
        <f>+GCF_2019_I_pusm!A22</f>
        <v xml:space="preserve">Luminor investicijų valdymas UAB </v>
      </c>
      <c r="B4" s="33" t="str">
        <f>+GCF_2019_I_pusm!B22</f>
        <v>LMN-75/81</v>
      </c>
      <c r="C4" s="33" t="str">
        <f>+GCF_2019_I_pusm!C22</f>
        <v>Luminor 1975–1981 tikslinės grupės pensijų fondas</v>
      </c>
      <c r="D4" s="34">
        <f>+GCF_2019_I_pusm!D22</f>
        <v>0.49589041095890413</v>
      </c>
      <c r="E4" s="35">
        <f>+GCF_2019_I_pusm!E22</f>
        <v>90</v>
      </c>
      <c r="F4" s="34">
        <f>+GCF_2019_I_pusm!F22</f>
        <v>70.330409844800002</v>
      </c>
      <c r="G4" s="36">
        <f>+GCF_2019_I_pusm!G22</f>
        <v>22441</v>
      </c>
      <c r="H4" s="22"/>
      <c r="I4" s="37">
        <f>+GCF_2019_I_pusm!I22</f>
        <v>12.179999999999991</v>
      </c>
      <c r="J4" s="37">
        <f>+GCF_2019_I_pusm!J22</f>
        <v>14.349000000000011</v>
      </c>
      <c r="K4" s="23"/>
      <c r="L4" s="37">
        <f>+GCF_2019_I_pusm!L22</f>
        <v>8.1280418168830089</v>
      </c>
      <c r="M4" s="37">
        <f>+GCF_2019_I_pusm!M22</f>
        <v>13.629772233887374</v>
      </c>
    </row>
    <row r="5" spans="1:16" x14ac:dyDescent="0.3">
      <c r="A5" s="33" t="str">
        <f>+GCF_2019_I_pusm!A23</f>
        <v>UAB „INVL Asset Management“</v>
      </c>
      <c r="B5" s="33" t="str">
        <f>+GCF_2019_I_pusm!B23</f>
        <v>INV-75/81</v>
      </c>
      <c r="C5" s="33" t="str">
        <f>+GCF_2019_I_pusm!C23</f>
        <v>INVL pensija 1975–1981</v>
      </c>
      <c r="D5" s="34">
        <f>+GCF_2019_I_pusm!D23</f>
        <v>0.49589041095890413</v>
      </c>
      <c r="E5" s="35">
        <f>+GCF_2019_I_pusm!E23</f>
        <v>97</v>
      </c>
      <c r="F5" s="34">
        <f>+GCF_2019_I_pusm!F23</f>
        <v>109.9691062981</v>
      </c>
      <c r="G5" s="36">
        <f>+GCF_2019_I_pusm!G23</f>
        <v>24964</v>
      </c>
      <c r="H5" s="22"/>
      <c r="I5" s="37">
        <f>+GCF_2019_I_pusm!I23</f>
        <v>12.080000000000002</v>
      </c>
      <c r="J5" s="37">
        <f>+GCF_2019_I_pusm!J23</f>
        <v>14.058700000000002</v>
      </c>
      <c r="K5" s="23"/>
      <c r="L5" s="37">
        <f>+GCF_2019_I_pusm!L23</f>
        <v>11.917257458023094</v>
      </c>
      <c r="M5" s="37">
        <f>+GCF_2019_I_pusm!M23</f>
        <v>13.913715027847912</v>
      </c>
    </row>
    <row r="6" spans="1:16" x14ac:dyDescent="0.3">
      <c r="A6" s="33" t="str">
        <f>+GCF_2019_I_pusm!A24</f>
        <v>UAB „SEB investicijų valdymas“</v>
      </c>
      <c r="B6" s="33" t="str">
        <f>+GCF_2019_I_pusm!B24</f>
        <v>SBN-75/81</v>
      </c>
      <c r="C6" s="33" t="str">
        <f>+GCF_2019_I_pusm!C24</f>
        <v>SEB 1975–1981 metų tikslinės grupės pensijų kaupimo fondas</v>
      </c>
      <c r="D6" s="34">
        <f>+GCF_2019_I_pusm!D24</f>
        <v>0.49589041095890413</v>
      </c>
      <c r="E6" s="35">
        <f>+GCF_2019_I_pusm!E24</f>
        <v>98</v>
      </c>
      <c r="F6" s="34">
        <f>+GCF_2019_I_pusm!F24</f>
        <v>213.10217907000001</v>
      </c>
      <c r="G6" s="36">
        <f>+GCF_2019_I_pusm!G24</f>
        <v>60091</v>
      </c>
      <c r="H6" s="22"/>
      <c r="I6" s="37">
        <f>+GCF_2019_I_pusm!I24</f>
        <v>15.969999999999995</v>
      </c>
      <c r="J6" s="37">
        <f>+GCF_2019_I_pusm!J24</f>
        <v>17.731800000000007</v>
      </c>
      <c r="K6" s="23"/>
      <c r="L6" s="37">
        <f>+GCF_2019_I_pusm!L24</f>
        <v>14.233434459318875</v>
      </c>
      <c r="M6" s="37">
        <f>+GCF_2019_I_pusm!M24</f>
        <v>15.810853680142156</v>
      </c>
    </row>
    <row r="7" spans="1:16" x14ac:dyDescent="0.3">
      <c r="A7" s="33" t="str">
        <f>+GCF_2019_I_pusm!A25</f>
        <v>UAB „Swedbank investicijų valdymas“</v>
      </c>
      <c r="B7" s="33" t="str">
        <f>+GCF_2019_I_pusm!B25</f>
        <v>SWD-75/81</v>
      </c>
      <c r="C7" s="33" t="str">
        <f>+GCF_2019_I_pusm!C25</f>
        <v xml:space="preserve">Swedbank pensija 1975–1981******* </v>
      </c>
      <c r="D7" s="34">
        <f>+GCF_2019_I_pusm!D25</f>
        <v>0.49589041095890413</v>
      </c>
      <c r="E7" s="35">
        <f>+GCF_2019_I_pusm!E25</f>
        <v>90</v>
      </c>
      <c r="F7" s="34">
        <f>+GCF_2019_I_pusm!F25</f>
        <v>277.3584133</v>
      </c>
      <c r="G7" s="36">
        <f>+GCF_2019_I_pusm!G25</f>
        <v>95386</v>
      </c>
      <c r="H7" s="22"/>
      <c r="I7" s="37">
        <f>+GCF_2019_I_pusm!I25</f>
        <v>13.291925465838528</v>
      </c>
      <c r="J7" s="37">
        <f>+GCF_2019_I_pusm!J25</f>
        <v>14.274787345814421</v>
      </c>
      <c r="K7" s="23"/>
      <c r="L7" s="37">
        <f>+GCF_2019_I_pusm!L25</f>
        <v>12.607081099840551</v>
      </c>
      <c r="M7" s="37">
        <f>+GCF_2019_I_pusm!M25</f>
        <v>13.20244451367051</v>
      </c>
    </row>
    <row r="8" spans="1:16" x14ac:dyDescent="0.3">
      <c r="A8" s="33" t="str">
        <f>+GCF_2019_I_pusm!A26</f>
        <v>UAGDPB „Aviva Lietuva“</v>
      </c>
      <c r="B8" s="33" t="str">
        <f>+GCF_2019_I_pusm!B26</f>
        <v>AVI-75/81</v>
      </c>
      <c r="C8" s="33" t="str">
        <f>+GCF_2019_I_pusm!C26</f>
        <v>Aviva X3 1975–1981 tikslinės grupės pensijų fondas</v>
      </c>
      <c r="D8" s="34">
        <f>+GCF_2019_I_pusm!D26</f>
        <v>0.49589041095890413</v>
      </c>
      <c r="E8" s="35">
        <f>+GCF_2019_I_pusm!E26</f>
        <v>90</v>
      </c>
      <c r="F8" s="34">
        <f>+GCF_2019_I_pusm!F26</f>
        <v>101.20975104999999</v>
      </c>
      <c r="G8" s="36">
        <f>+GCF_2019_I_pusm!G26</f>
        <v>39048</v>
      </c>
      <c r="H8" s="22"/>
      <c r="I8" s="37">
        <f>+GCF_2019_I_pusm!I26</f>
        <v>7.790000000000008</v>
      </c>
      <c r="J8" s="37">
        <f>+GCF_2019_I_pusm!J26</f>
        <v>14.987499999999997</v>
      </c>
      <c r="K8" s="23"/>
      <c r="L8" s="37">
        <f>+GCF_2019_I_pusm!L26</f>
        <v>12.008808129561732</v>
      </c>
      <c r="M8" s="37">
        <f>+GCF_2019_I_pusm!M26</f>
        <v>14.461534010296178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7" t="str">
        <f>+GCF_2019_I_pusm!A54</f>
        <v>Pastaba: praeities rezultatai negarantuoja, kad tokie patys ar panašūs rezultatai bus ir ateityje. Įtakos 2019 m. pirmojo pusmečio pensijų fondų rezultatams galėjo turėti skirtingu laiku vykdytas turto perkėlimas į tikslinės grupės ir turto išsaugojimo pensijų fondus bei skirtingas fondų dydis nagrinėjamu laikotarpiu.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tr">
        <f>+GCF_2019_I_pusm!A55</f>
        <v>* Apskaitos vieneto vertės pokytis. Juo atsižvelgiama į atskaitymus nuo turto.</v>
      </c>
      <c r="B11" s="57"/>
      <c r="C11" s="57"/>
    </row>
    <row r="12" spans="1:16" s="59" customFormat="1" ht="13.8" x14ac:dyDescent="0.3">
      <c r="A12" s="57" t="str">
        <f>+GCF_2019_I_pusm!A56</f>
        <v xml:space="preserve">** Lyginamasis indeksas apibrėžiamas kaip pensijų kaupimo bendrovės pasirinktas orientacinis investicijų portfelis, atitinkantis fondo investavimo strategiją, su kurio vertės pokyčio reikšme lyginama fondo investicijų portfelio investicijų grąža. </v>
      </c>
      <c r="B12" s="57"/>
      <c r="C12" s="57"/>
    </row>
    <row r="13" spans="1:16" s="59" customFormat="1" ht="13.8" x14ac:dyDescent="0.3">
      <c r="A13" s="57" t="str">
        <f>+GCF_2019_I_pusm!A57</f>
        <v xml:space="preserve">*** Rodikliui apskaičiuoti naudoti mėnesiniai apskaitos vieneto (lyginamojo indekso) verčių pokyčiai, rezultatas perskaičiuotas į metinį.  Standartinis nuokrypis parodo, kaip intensyviai per laikotarpį svyruoja fondo investicinio vieneto vertė (lyginamojo indekso vertė). Kuo šis rodiklis didesnis, tuo didesnė rizika. </v>
      </c>
      <c r="B13" s="57"/>
      <c r="C13" s="57"/>
    </row>
    <row r="14" spans="1:16" s="59" customFormat="1" ht="13.8" x14ac:dyDescent="0.3">
      <c r="A14" s="57" t="str">
        <f>+GCF_2019_I_pusm!A58</f>
        <v>**** Svertiniam vidurkiui apskaičiuoti naudotas 2019-06-30 dienos fondų grynųjų aktyvų dydis.</v>
      </c>
      <c r="B14" s="58"/>
      <c r="C14" s="58"/>
    </row>
    <row r="15" spans="1:16" s="59" customFormat="1" ht="13.8" x14ac:dyDescent="0.3">
      <c r="A15" s="60" t="str">
        <f>+GCF_2019_I_pusm!A59</f>
        <v>***** Investicijų į akcijas dalis. Rizikingų turto klasių dalis gali būti padidinta arba sumažinta iki 10 procentinių punktų.</v>
      </c>
      <c r="B15" s="58"/>
      <c r="C15" s="58"/>
    </row>
    <row r="16" spans="1:16" s="59" customFormat="1" ht="13.8" x14ac:dyDescent="0.3">
      <c r="A16" s="60" t="str">
        <f>+GCF_2019_I_pusm!A60</f>
        <v>****** Grynieji aktyvai – pensijų fondą sudarančio turto ir įsipareigojimų verčių skirtumas.</v>
      </c>
    </row>
    <row r="17" spans="1:5" s="59" customFormat="1" ht="13.8" x14ac:dyDescent="0.3">
      <c r="A17" s="60" t="str">
        <f>+GCF_2019_I_pusm!A61</f>
        <v>******* Šie UAB „Swedbank investicijų valdymas“ valdomi pensijų fondai pradėjo veiklą 2018-03-01, tačiau dėl 2019 m. sausio mėnesį įsigaliojusios pensijų pertvarkos pagal galiojančius teisės aktus buvo įsteigti iš naujo, todėl jų rezultatai skaičiuojami nuo 2019 m. sausio 1 d. (kaip ir visų II pakopos pensijų fondų).</v>
      </c>
    </row>
    <row r="18" spans="1:5" ht="16.2" x14ac:dyDescent="0.3">
      <c r="A18" s="17"/>
    </row>
    <row r="19" spans="1:5" x14ac:dyDescent="0.3">
      <c r="A19" s="38" t="str">
        <f>+'1996-2002'!A19</f>
        <v>Rizikos ir grąžos palyginimas</v>
      </c>
      <c r="B19" s="38"/>
      <c r="C19" s="38"/>
      <c r="D19" s="38"/>
      <c r="E19" s="38"/>
    </row>
    <row r="20" spans="1:5" s="59" customFormat="1" ht="13.8" x14ac:dyDescent="0.3">
      <c r="A20" s="57" t="str">
        <f>+'1996-2002'!A20</f>
        <v>Kuo pensijų fondas paveiksle vaizduojamas aukščiau, tuo jo uždirbama grąža yra didesnė. Kuo žemiau – tuo grąža mažesnė.</v>
      </c>
      <c r="B20" s="58"/>
      <c r="C20" s="58"/>
    </row>
    <row r="21" spans="1:5" s="59" customFormat="1" ht="13.8" x14ac:dyDescent="0.3">
      <c r="A21" s="57" t="str">
        <f>+'1996-2002'!A21</f>
        <v>Dešiniau pavaizduoti pensijų fondai prisiima didesnę riziką (jų vieneto vertės svyruoja daugiau). Kairiau – mažesnę (jų vieneto vertės svyruoja mažiau).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tr">
        <f>+B4</f>
        <v>LMN-75/81</v>
      </c>
      <c r="B30" s="34">
        <f>+L4</f>
        <v>8.1280418168830089</v>
      </c>
      <c r="C30" s="34">
        <f>+I4</f>
        <v>12.179999999999991</v>
      </c>
    </row>
    <row r="31" spans="1:5" x14ac:dyDescent="0.3">
      <c r="A31" s="33" t="str">
        <f>+B5</f>
        <v>INV-75/81</v>
      </c>
      <c r="B31" s="34">
        <f>+L5</f>
        <v>11.917257458023094</v>
      </c>
      <c r="C31" s="34">
        <f>+I5</f>
        <v>12.080000000000002</v>
      </c>
    </row>
    <row r="32" spans="1:5" x14ac:dyDescent="0.3">
      <c r="A32" s="33" t="str">
        <f>+B6</f>
        <v>SBN-75/81</v>
      </c>
      <c r="B32" s="34">
        <f>+L6</f>
        <v>14.233434459318875</v>
      </c>
      <c r="C32" s="34">
        <f>+I6</f>
        <v>15.969999999999995</v>
      </c>
    </row>
    <row r="33" spans="1:3" x14ac:dyDescent="0.3">
      <c r="A33" s="33" t="str">
        <f>+B7</f>
        <v>SWD-75/81</v>
      </c>
      <c r="B33" s="34">
        <f>+L7</f>
        <v>12.607081099840551</v>
      </c>
      <c r="C33" s="34">
        <f>+I7</f>
        <v>13.291925465838528</v>
      </c>
    </row>
    <row r="34" spans="1:3" x14ac:dyDescent="0.3">
      <c r="A34" s="33" t="str">
        <f>+B8</f>
        <v>AVI-75/81</v>
      </c>
      <c r="B34" s="34">
        <f>+L8</f>
        <v>12.008808129561732</v>
      </c>
      <c r="C34" s="34">
        <f>+I8</f>
        <v>7.790000000000008</v>
      </c>
    </row>
    <row r="51" spans="1:5" x14ac:dyDescent="0.3">
      <c r="A51" s="38" t="str">
        <f>+'1996-2002'!A51</f>
        <v>Dalyvių skaičiaus, grąžos ir fondo turto palyginimas</v>
      </c>
      <c r="B51" s="38"/>
      <c r="C51" s="38"/>
      <c r="D51" s="38"/>
      <c r="E51" s="38"/>
    </row>
    <row r="52" spans="1:5" s="59" customFormat="1" ht="13.8" x14ac:dyDescent="0.3">
      <c r="A52" s="57" t="str">
        <f>+'1996-2002'!A52</f>
        <v>Kuo pensijų fondas paveiksle pavaizduotas aukščiau, tuo jo uždirbama grąža yra didesnė. Kuo žemiau – tuo grąža mažesnė.</v>
      </c>
      <c r="B52" s="58"/>
      <c r="C52" s="58"/>
    </row>
    <row r="53" spans="1:5" s="59" customFormat="1" ht="13.8" x14ac:dyDescent="0.3">
      <c r="A53" s="57" t="str">
        <f>+'1996-2002'!A53</f>
        <v>Dešiniau pavaizduoti pensijų fondai turi daugiau dalyvių. Kairiau – mažiau.</v>
      </c>
      <c r="B53" s="58"/>
      <c r="C53" s="58"/>
    </row>
    <row r="54" spans="1:5" s="59" customFormat="1" ht="13.8" x14ac:dyDescent="0.3">
      <c r="A54" s="57" t="str">
        <f>+'1996-2002'!A54</f>
        <v>Kuo didesnis fondą vaizduojančio skritulio dydis – tuo fondas turi daugiau turto. Kuo mažesnis – mažiau.</v>
      </c>
      <c r="B54" s="58"/>
      <c r="C54" s="58"/>
    </row>
    <row r="59" spans="1:5" x14ac:dyDescent="0.3">
      <c r="A59" s="38" t="s">
        <v>0</v>
      </c>
      <c r="B59" s="38" t="s">
        <v>97</v>
      </c>
      <c r="C59" s="38" t="s">
        <v>98</v>
      </c>
      <c r="D59" s="38" t="s">
        <v>99</v>
      </c>
    </row>
    <row r="60" spans="1:5" x14ac:dyDescent="0.3">
      <c r="A60" s="33" t="str">
        <f>+B5</f>
        <v>INV-75/81</v>
      </c>
      <c r="B60" s="34">
        <f>+G5/1000</f>
        <v>24.963999999999999</v>
      </c>
      <c r="C60" s="34">
        <f>+I5</f>
        <v>12.080000000000002</v>
      </c>
      <c r="D60" s="34">
        <f>+F5</f>
        <v>109.9691062981</v>
      </c>
    </row>
    <row r="61" spans="1:5" x14ac:dyDescent="0.3">
      <c r="A61" s="33" t="str">
        <f>+B4</f>
        <v>LMN-75/81</v>
      </c>
      <c r="B61" s="34">
        <f>+G4/1000</f>
        <v>22.440999999999999</v>
      </c>
      <c r="C61" s="34">
        <f>+I4</f>
        <v>12.179999999999991</v>
      </c>
      <c r="D61" s="34">
        <f>+F4</f>
        <v>70.330409844800002</v>
      </c>
    </row>
    <row r="62" spans="1:5" x14ac:dyDescent="0.3">
      <c r="A62" s="33" t="str">
        <f>+B6</f>
        <v>SBN-75/81</v>
      </c>
      <c r="B62" s="34">
        <f>+G6/1000</f>
        <v>60.091000000000001</v>
      </c>
      <c r="C62" s="34">
        <f>+I6</f>
        <v>15.969999999999995</v>
      </c>
      <c r="D62" s="34">
        <f>+F6</f>
        <v>213.10217907000001</v>
      </c>
    </row>
    <row r="63" spans="1:5" x14ac:dyDescent="0.3">
      <c r="A63" s="33" t="str">
        <f>+B7</f>
        <v>SWD-75/81</v>
      </c>
      <c r="B63" s="34">
        <f>+G7/1000</f>
        <v>95.385999999999996</v>
      </c>
      <c r="C63" s="34">
        <f>+I7</f>
        <v>13.291925465838528</v>
      </c>
      <c r="D63" s="34">
        <f>+F7</f>
        <v>277.3584133</v>
      </c>
    </row>
    <row r="64" spans="1:5" x14ac:dyDescent="0.3">
      <c r="A64" s="33" t="str">
        <f>+B8</f>
        <v>AVI-75/81</v>
      </c>
      <c r="B64" s="34">
        <f>+G8/1000</f>
        <v>39.048000000000002</v>
      </c>
      <c r="C64" s="34">
        <f>+I8</f>
        <v>7.790000000000008</v>
      </c>
      <c r="D64" s="34">
        <f>+F8</f>
        <v>101.20975104999999</v>
      </c>
    </row>
  </sheetData>
  <mergeCells count="6">
    <mergeCell ref="L1:M1"/>
    <mergeCell ref="A3:C3"/>
    <mergeCell ref="D1:D2"/>
    <mergeCell ref="F1:F2"/>
    <mergeCell ref="G1:G2"/>
    <mergeCell ref="I1:J1"/>
  </mergeCells>
  <conditionalFormatting sqref="I4:J8">
    <cfRule type="cellIs" dxfId="19" priority="3" operator="greaterThanOrEqual">
      <formula>0</formula>
    </cfRule>
    <cfRule type="cellIs" dxfId="18" priority="4" operator="lessThan">
      <formula>0</formula>
    </cfRule>
  </conditionalFormatting>
  <conditionalFormatting sqref="L4:M8">
    <cfRule type="cellIs" dxfId="17" priority="1" operator="greaterThanOrEqual">
      <formula>0</formula>
    </cfRule>
    <cfRule type="cellIs" dxfId="16" priority="2" operator="lessThan">
      <formula>0</formula>
    </cfRule>
  </conditionalFormatting>
  <hyperlinks>
    <hyperlink ref="C1" location="GCF_2019_I_pusm!A1" display="Grįžti į pagrindinį puslapį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39" style="15" customWidth="1"/>
    <col min="2" max="2" width="14.88671875" style="15" bestFit="1" customWidth="1"/>
    <col min="3" max="3" width="64.88671875" style="15" customWidth="1"/>
    <col min="4" max="4" width="13.44140625" style="15" customWidth="1"/>
    <col min="5" max="5" width="19.6640625" style="15" bestFit="1" customWidth="1"/>
    <col min="6" max="6" width="17" style="15" customWidth="1"/>
    <col min="7" max="7" width="28.21875" style="15" bestFit="1" customWidth="1"/>
    <col min="8" max="8" width="3.88671875" style="15" customWidth="1"/>
    <col min="9" max="9" width="18.33203125" style="15" customWidth="1"/>
    <col min="10" max="10" width="18.88671875" style="15" customWidth="1"/>
    <col min="11" max="11" width="3.88671875" style="15" customWidth="1"/>
    <col min="12" max="12" width="19.44140625" style="15" customWidth="1"/>
    <col min="13" max="13" width="21.77734375" style="15" customWidth="1"/>
    <col min="14" max="16384" width="8.88671875" style="15"/>
  </cols>
  <sheetData>
    <row r="1" spans="1:16" ht="22.2" customHeight="1" x14ac:dyDescent="0.3">
      <c r="A1" s="25">
        <f>+GCF_2019_I_pusm!A1</f>
        <v>43646</v>
      </c>
      <c r="B1" s="26"/>
      <c r="C1" s="62" t="s">
        <v>94</v>
      </c>
      <c r="D1" s="75" t="str">
        <f>+GCF_2019_I_pusm!D1</f>
        <v>Veiklos 
laikotarpis, 
metais</v>
      </c>
      <c r="E1" s="28" t="str">
        <f>+GCF_2019_I_pusm!E1</f>
        <v xml:space="preserve">Strategija </v>
      </c>
      <c r="F1" s="75" t="str">
        <f>+GCF_2019_I_pusm!F1</f>
        <v>Grynųjų aktyvų****** vertė, mln. Eur</v>
      </c>
      <c r="G1" s="75" t="str">
        <f>+GCF_2019_I_pusm!G1</f>
        <v>Dalyvių skaičius</v>
      </c>
      <c r="H1" s="29"/>
      <c r="I1" s="77" t="str">
        <f>+GCF_2019_I_pusm!I1</f>
        <v>Grąža</v>
      </c>
      <c r="J1" s="78">
        <f>+GCF_2019_I_pusm!J1</f>
        <v>0</v>
      </c>
      <c r="K1" s="30"/>
      <c r="L1" s="77" t="str">
        <f>+GCF_2019_I_pusm!L1</f>
        <v>Rizika ***</v>
      </c>
      <c r="M1" s="78">
        <f>+GCF_2019_I_pusm!M1</f>
        <v>0</v>
      </c>
    </row>
    <row r="2" spans="1:16" ht="92.4" customHeight="1" x14ac:dyDescent="0.3">
      <c r="A2" s="24" t="str">
        <f>+GCF_2019_I_pusm!A2</f>
        <v xml:space="preserve">Pensijų kaupimo bendrovės pavadinimas
</v>
      </c>
      <c r="B2" s="24" t="str">
        <f>+GCF_2019_I_pusm!B2</f>
        <v xml:space="preserve">Fondo kodas
</v>
      </c>
      <c r="C2" s="24" t="str">
        <f>+GCF_2019_I_pusm!C2</f>
        <v xml:space="preserve">Pensijų fondo pavadinimas
</v>
      </c>
      <c r="D2" s="76">
        <f>+GCF_2019_I_pusm!D2</f>
        <v>0</v>
      </c>
      <c r="E2" s="24" t="str">
        <f>+GCF_2019_I_pusm!E2</f>
        <v>rizikingų aktyvų dalis fonde, proc. *****</v>
      </c>
      <c r="F2" s="76">
        <f>+GCF_2019_I_pusm!F2</f>
        <v>0</v>
      </c>
      <c r="G2" s="76">
        <f>+GCF_2019_I_pusm!G2</f>
        <v>0</v>
      </c>
      <c r="H2" s="29"/>
      <c r="I2" s="24" t="str">
        <f>+GCF_2019_I_pusm!I2</f>
        <v>vieneto vertės pokytis nuo metų pradžios, proc.*</v>
      </c>
      <c r="J2" s="24" t="str">
        <f>+GCF_2019_I_pusm!J2</f>
        <v>lyginamojo indekso vertės pokytis nuo metų pradžios, proc.**</v>
      </c>
      <c r="K2" s="55"/>
      <c r="L2" s="24" t="str">
        <f>+GCF_2019_I_pusm!L2</f>
        <v xml:space="preserve">vieneto vertės standartinis nuokrypis, nuo metų pradžios, proc. </v>
      </c>
      <c r="M2" s="24" t="str">
        <f>+GCF_2019_I_pusm!M2</f>
        <v>lyginamojo indekso standartinis nuokrypis, nuo metų pradžios, proc.</v>
      </c>
    </row>
    <row r="3" spans="1:16" ht="28.95" customHeight="1" x14ac:dyDescent="0.3">
      <c r="A3" s="74" t="str">
        <f>+GCF_2019_I_pusm!A27</f>
        <v>Tikslinės pensijų fondų dalyvių grupės pensijų fondai, 1968-1974</v>
      </c>
      <c r="B3" s="74"/>
      <c r="C3" s="74"/>
      <c r="D3" s="45"/>
      <c r="E3" s="45"/>
      <c r="F3" s="46"/>
      <c r="G3" s="56" t="str">
        <f>+GCF_2019_I_pusm!G27</f>
        <v>Svertinis vidurkis****:</v>
      </c>
      <c r="H3" s="45"/>
      <c r="I3" s="48">
        <f>+GCF_2019_I_pusm!I27</f>
        <v>12.090327463466506</v>
      </c>
      <c r="J3" s="48">
        <f>+GCF_2019_I_pusm!J27</f>
        <v>14.139455616970897</v>
      </c>
      <c r="K3" s="45"/>
      <c r="L3" s="45"/>
      <c r="M3" s="45"/>
    </row>
    <row r="4" spans="1:16" x14ac:dyDescent="0.3">
      <c r="A4" s="33" t="str">
        <f>+GCF_2019_I_pusm!A28</f>
        <v xml:space="preserve">Luminor investicijų valdymas UAB </v>
      </c>
      <c r="B4" s="33" t="str">
        <f>+GCF_2019_I_pusm!B28</f>
        <v>LMN-68/74</v>
      </c>
      <c r="C4" s="33" t="str">
        <f>+GCF_2019_I_pusm!C28</f>
        <v>Luminor 1968–1974 tikslinės grupės pensijų fondas</v>
      </c>
      <c r="D4" s="34">
        <f>+GCF_2019_I_pusm!D28</f>
        <v>0.49589041095890413</v>
      </c>
      <c r="E4" s="35">
        <f>+GCF_2019_I_pusm!E28</f>
        <v>90</v>
      </c>
      <c r="F4" s="34">
        <f>+GCF_2019_I_pusm!F28</f>
        <v>74.372098654400006</v>
      </c>
      <c r="G4" s="36">
        <f>+GCF_2019_I_pusm!G28</f>
        <v>22406</v>
      </c>
      <c r="H4" s="22"/>
      <c r="I4" s="37">
        <f>+GCF_2019_I_pusm!I28</f>
        <v>12.719999999999999</v>
      </c>
      <c r="J4" s="37">
        <f>+GCF_2019_I_pusm!J28</f>
        <v>14.349000000000011</v>
      </c>
      <c r="K4" s="23"/>
      <c r="L4" s="37">
        <f>+GCF_2019_I_pusm!L28</f>
        <v>8.2566888336901769</v>
      </c>
      <c r="M4" s="37">
        <f>+GCF_2019_I_pusm!M28</f>
        <v>13.629772233887374</v>
      </c>
    </row>
    <row r="5" spans="1:16" x14ac:dyDescent="0.3">
      <c r="A5" s="33" t="str">
        <f>+GCF_2019_I_pusm!A29</f>
        <v>UAB „INVL Asset Management“</v>
      </c>
      <c r="B5" s="33" t="str">
        <f>+GCF_2019_I_pusm!B29</f>
        <v>INV-68/74</v>
      </c>
      <c r="C5" s="33" t="str">
        <f>+GCF_2019_I_pusm!C29</f>
        <v>INVL pensija 1968–1974</v>
      </c>
      <c r="D5" s="34">
        <f>+GCF_2019_I_pusm!D29</f>
        <v>0.49589041095890413</v>
      </c>
      <c r="E5" s="35">
        <f>+GCF_2019_I_pusm!E29</f>
        <v>89</v>
      </c>
      <c r="F5" s="34">
        <f>+GCF_2019_I_pusm!F29</f>
        <v>103.64374411519999</v>
      </c>
      <c r="G5" s="36">
        <f>+GCF_2019_I_pusm!G29</f>
        <v>22602</v>
      </c>
      <c r="H5" s="22"/>
      <c r="I5" s="37">
        <f>+GCF_2019_I_pusm!I29</f>
        <v>12.020000000000008</v>
      </c>
      <c r="J5" s="37">
        <f>+GCF_2019_I_pusm!J29</f>
        <v>14.104500000000009</v>
      </c>
      <c r="K5" s="23"/>
      <c r="L5" s="37">
        <f>+GCF_2019_I_pusm!L29</f>
        <v>11.388190011605328</v>
      </c>
      <c r="M5" s="37">
        <f>+GCF_2019_I_pusm!M29</f>
        <v>13.416322420646498</v>
      </c>
    </row>
    <row r="6" spans="1:16" x14ac:dyDescent="0.3">
      <c r="A6" s="33" t="str">
        <f>+GCF_2019_I_pusm!A30</f>
        <v>UAB „SEB investicijų valdymas“</v>
      </c>
      <c r="B6" s="33" t="str">
        <f>+GCF_2019_I_pusm!B30</f>
        <v>SBN-68/74</v>
      </c>
      <c r="C6" s="33" t="str">
        <f>+GCF_2019_I_pusm!C30</f>
        <v>SEB 1968–1974 metų tikslinės grupės pensijų kaupimo fondas</v>
      </c>
      <c r="D6" s="34">
        <f>+GCF_2019_I_pusm!D30</f>
        <v>0.49589041095890413</v>
      </c>
      <c r="E6" s="35">
        <f>+GCF_2019_I_pusm!E30</f>
        <v>92.9</v>
      </c>
      <c r="F6" s="34">
        <f>+GCF_2019_I_pusm!F30</f>
        <v>205.25630866999998</v>
      </c>
      <c r="G6" s="36">
        <f>+GCF_2019_I_pusm!G30</f>
        <v>52661</v>
      </c>
      <c r="H6" s="22"/>
      <c r="I6" s="37">
        <f>+GCF_2019_I_pusm!I30</f>
        <v>13.319999999999999</v>
      </c>
      <c r="J6" s="37">
        <f>+GCF_2019_I_pusm!J30</f>
        <v>14.051900000000007</v>
      </c>
      <c r="K6" s="23"/>
      <c r="L6" s="37">
        <f>+GCF_2019_I_pusm!L30</f>
        <v>12.358478044271161</v>
      </c>
      <c r="M6" s="37">
        <f>+GCF_2019_I_pusm!M30</f>
        <v>12.876622963850695</v>
      </c>
    </row>
    <row r="7" spans="1:16" x14ac:dyDescent="0.3">
      <c r="A7" s="33" t="str">
        <f>+GCF_2019_I_pusm!A31</f>
        <v>UAB „Swedbank investicijų valdymas“</v>
      </c>
      <c r="B7" s="33" t="str">
        <f>+GCF_2019_I_pusm!B31</f>
        <v>SWD-68/74</v>
      </c>
      <c r="C7" s="33" t="str">
        <f>+GCF_2019_I_pusm!C31</f>
        <v xml:space="preserve">Swedbank pensija 1968–1974******* </v>
      </c>
      <c r="D7" s="34">
        <f>+GCF_2019_I_pusm!D31</f>
        <v>0.49589041095890413</v>
      </c>
      <c r="E7" s="35">
        <f>+GCF_2019_I_pusm!E31</f>
        <v>90</v>
      </c>
      <c r="F7" s="34">
        <f>+GCF_2019_I_pusm!F31</f>
        <v>297.90276532999997</v>
      </c>
      <c r="G7" s="36">
        <f>+GCF_2019_I_pusm!G31</f>
        <v>95031</v>
      </c>
      <c r="H7" s="22"/>
      <c r="I7" s="37">
        <f>+GCF_2019_I_pusm!I31</f>
        <v>13.330581923235663</v>
      </c>
      <c r="J7" s="37">
        <f>+GCF_2019_I_pusm!J31</f>
        <v>14.274787345814421</v>
      </c>
      <c r="K7" s="23"/>
      <c r="L7" s="37">
        <f>+GCF_2019_I_pusm!L31</f>
        <v>12.643298488641516</v>
      </c>
      <c r="M7" s="37">
        <f>+GCF_2019_I_pusm!M31</f>
        <v>13.20244451367051</v>
      </c>
    </row>
    <row r="8" spans="1:16" x14ac:dyDescent="0.3">
      <c r="A8" s="33" t="str">
        <f>+GCF_2019_I_pusm!A32</f>
        <v>UAGDPB „Aviva Lietuva“</v>
      </c>
      <c r="B8" s="33" t="str">
        <f>+GCF_2019_I_pusm!B32</f>
        <v>AVI-68/74</v>
      </c>
      <c r="C8" s="33" t="str">
        <f>+GCF_2019_I_pusm!C32</f>
        <v>Aviva X2 1968–1974 tikslinės grupės pensijų fondas</v>
      </c>
      <c r="D8" s="34">
        <f>+GCF_2019_I_pusm!D32</f>
        <v>0.49589041095890413</v>
      </c>
      <c r="E8" s="35">
        <f>+GCF_2019_I_pusm!E32</f>
        <v>83</v>
      </c>
      <c r="F8" s="34">
        <f>+GCF_2019_I_pusm!F32</f>
        <v>121.80008477</v>
      </c>
      <c r="G8" s="36">
        <f>+GCF_2019_I_pusm!G32</f>
        <v>41303</v>
      </c>
      <c r="H8" s="22"/>
      <c r="I8" s="37">
        <f>+GCF_2019_I_pusm!I32</f>
        <v>6.6599999999999993</v>
      </c>
      <c r="J8" s="37">
        <f>+GCF_2019_I_pusm!J32</f>
        <v>13.857799999999987</v>
      </c>
      <c r="K8" s="23"/>
      <c r="L8" s="37">
        <f>+GCF_2019_I_pusm!L32</f>
        <v>11.042237273494512</v>
      </c>
      <c r="M8" s="37">
        <f>+GCF_2019_I_pusm!M32</f>
        <v>13.343420517185841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7" t="str">
        <f>+GCF_2019_I_pusm!A54</f>
        <v>Pastaba: praeities rezultatai negarantuoja, kad tokie patys ar panašūs rezultatai bus ir ateityje. Įtakos 2019 m. pirmojo pusmečio pensijų fondų rezultatams galėjo turėti skirtingu laiku vykdytas turto perkėlimas į tikslinės grupės ir turto išsaugojimo pensijų fondus bei skirtingas fondų dydis nagrinėjamu laikotarpiu.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tr">
        <f>+GCF_2019_I_pusm!A55</f>
        <v>* Apskaitos vieneto vertės pokytis. Juo atsižvelgiama į atskaitymus nuo turto.</v>
      </c>
      <c r="B11" s="57"/>
      <c r="C11" s="57"/>
    </row>
    <row r="12" spans="1:16" s="59" customFormat="1" ht="13.8" x14ac:dyDescent="0.3">
      <c r="A12" s="57" t="str">
        <f>+GCF_2019_I_pusm!A56</f>
        <v xml:space="preserve">** Lyginamasis indeksas apibrėžiamas kaip pensijų kaupimo bendrovės pasirinktas orientacinis investicijų portfelis, atitinkantis fondo investavimo strategiją, su kurio vertės pokyčio reikšme lyginama fondo investicijų portfelio investicijų grąža. </v>
      </c>
      <c r="B12" s="57"/>
      <c r="C12" s="57"/>
    </row>
    <row r="13" spans="1:16" s="59" customFormat="1" ht="13.8" x14ac:dyDescent="0.3">
      <c r="A13" s="57" t="str">
        <f>+GCF_2019_I_pusm!A57</f>
        <v xml:space="preserve">*** Rodikliui apskaičiuoti naudoti mėnesiniai apskaitos vieneto (lyginamojo indekso) verčių pokyčiai, rezultatas perskaičiuotas į metinį.  Standartinis nuokrypis parodo, kaip intensyviai per laikotarpį svyruoja fondo investicinio vieneto vertė (lyginamojo indekso vertė). Kuo šis rodiklis didesnis, tuo didesnė rizika. </v>
      </c>
      <c r="B13" s="57"/>
      <c r="C13" s="57"/>
    </row>
    <row r="14" spans="1:16" s="59" customFormat="1" ht="13.8" x14ac:dyDescent="0.3">
      <c r="A14" s="57" t="str">
        <f>+GCF_2019_I_pusm!A58</f>
        <v>**** Svertiniam vidurkiui apskaičiuoti naudotas 2019-06-30 dienos fondų grynųjų aktyvų dydis.</v>
      </c>
      <c r="B14" s="58"/>
      <c r="C14" s="58"/>
    </row>
    <row r="15" spans="1:16" s="59" customFormat="1" ht="13.8" x14ac:dyDescent="0.3">
      <c r="A15" s="60" t="str">
        <f>+GCF_2019_I_pusm!A59</f>
        <v>***** Investicijų į akcijas dalis. Rizikingų turto klasių dalis gali būti padidinta arba sumažinta iki 10 procentinių punktų.</v>
      </c>
      <c r="B15" s="58"/>
      <c r="C15" s="58"/>
    </row>
    <row r="16" spans="1:16" s="59" customFormat="1" ht="13.8" x14ac:dyDescent="0.3">
      <c r="A16" s="60" t="str">
        <f>+GCF_2019_I_pusm!A60</f>
        <v>****** Grynieji aktyvai – pensijų fondą sudarančio turto ir įsipareigojimų verčių skirtumas.</v>
      </c>
    </row>
    <row r="17" spans="1:5" s="59" customFormat="1" ht="13.8" x14ac:dyDescent="0.3">
      <c r="A17" s="60" t="str">
        <f>+GCF_2019_I_pusm!A61</f>
        <v>******* Šie UAB „Swedbank investicijų valdymas“ valdomi pensijų fondai pradėjo veiklą 2018-03-01, tačiau dėl 2019 m. sausio mėnesį įsigaliojusios pensijų pertvarkos pagal galiojančius teisės aktus buvo įsteigti iš naujo, todėl jų rezultatai skaičiuojami nuo 2019 m. sausio 1 d. (kaip ir visų II pakopos pensijų fondų).</v>
      </c>
    </row>
    <row r="18" spans="1:5" ht="16.2" x14ac:dyDescent="0.3">
      <c r="A18" s="17"/>
    </row>
    <row r="19" spans="1:5" x14ac:dyDescent="0.3">
      <c r="A19" s="38" t="str">
        <f>+'1996-2002'!A19</f>
        <v>Rizikos ir grąžos palyginimas</v>
      </c>
      <c r="B19" s="38"/>
      <c r="C19" s="38"/>
      <c r="D19" s="38"/>
      <c r="E19" s="38"/>
    </row>
    <row r="20" spans="1:5" s="59" customFormat="1" ht="13.8" x14ac:dyDescent="0.3">
      <c r="A20" s="57" t="str">
        <f>+'1996-2002'!A20</f>
        <v>Kuo pensijų fondas paveiksle vaizduojamas aukščiau, tuo jo uždirbama grąža yra didesnė. Kuo žemiau – tuo grąža mažesnė.</v>
      </c>
      <c r="B20" s="58"/>
      <c r="C20" s="58"/>
    </row>
    <row r="21" spans="1:5" s="59" customFormat="1" ht="13.8" x14ac:dyDescent="0.3">
      <c r="A21" s="57" t="str">
        <f>+'1996-2002'!A21</f>
        <v>Dešiniau pavaizduoti pensijų fondai prisiima didesnę riziką (jų vieneto vertės svyruoja daugiau). Kairiau – mažesnę (jų vieneto vertės svyruoja mažiau).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tr">
        <f>+B4</f>
        <v>LMN-68/74</v>
      </c>
      <c r="B30" s="34">
        <f>+L4</f>
        <v>8.2566888336901769</v>
      </c>
      <c r="C30" s="34">
        <f>+I4</f>
        <v>12.719999999999999</v>
      </c>
    </row>
    <row r="31" spans="1:5" x14ac:dyDescent="0.3">
      <c r="A31" s="33" t="str">
        <f>+B5</f>
        <v>INV-68/74</v>
      </c>
      <c r="B31" s="34">
        <f>+L5</f>
        <v>11.388190011605328</v>
      </c>
      <c r="C31" s="34">
        <f>+I5</f>
        <v>12.020000000000008</v>
      </c>
    </row>
    <row r="32" spans="1:5" x14ac:dyDescent="0.3">
      <c r="A32" s="33" t="str">
        <f>+B6</f>
        <v>SBN-68/74</v>
      </c>
      <c r="B32" s="34">
        <f>+L6</f>
        <v>12.358478044271161</v>
      </c>
      <c r="C32" s="34">
        <f>+I6</f>
        <v>13.319999999999999</v>
      </c>
    </row>
    <row r="33" spans="1:3" x14ac:dyDescent="0.3">
      <c r="A33" s="33" t="str">
        <f>+B7</f>
        <v>SWD-68/74</v>
      </c>
      <c r="B33" s="34">
        <f>+L7</f>
        <v>12.643298488641516</v>
      </c>
      <c r="C33" s="34">
        <f>+I7</f>
        <v>13.330581923235663</v>
      </c>
    </row>
    <row r="34" spans="1:3" x14ac:dyDescent="0.3">
      <c r="A34" s="33" t="str">
        <f>+B8</f>
        <v>AVI-68/74</v>
      </c>
      <c r="B34" s="34">
        <f>+L8</f>
        <v>11.042237273494512</v>
      </c>
      <c r="C34" s="34">
        <f>+I8</f>
        <v>6.6599999999999993</v>
      </c>
    </row>
    <row r="51" spans="1:5" x14ac:dyDescent="0.3">
      <c r="A51" s="38" t="str">
        <f>+'1996-2002'!A51</f>
        <v>Dalyvių skaičiaus, grąžos ir fondo turto palyginimas</v>
      </c>
      <c r="B51" s="38"/>
      <c r="C51" s="38"/>
      <c r="D51" s="38"/>
      <c r="E51" s="38"/>
    </row>
    <row r="52" spans="1:5" s="59" customFormat="1" ht="13.8" x14ac:dyDescent="0.3">
      <c r="A52" s="57" t="str">
        <f>+'1996-2002'!A52</f>
        <v>Kuo pensijų fondas paveiksle pavaizduotas aukščiau, tuo jo uždirbama grąža yra didesnė. Kuo žemiau – tuo grąža mažesnė.</v>
      </c>
      <c r="B52" s="58"/>
      <c r="C52" s="58"/>
    </row>
    <row r="53" spans="1:5" s="59" customFormat="1" ht="13.8" x14ac:dyDescent="0.3">
      <c r="A53" s="57" t="str">
        <f>+'1996-2002'!A53</f>
        <v>Dešiniau pavaizduoti pensijų fondai turi daugiau dalyvių. Kairiau – mažiau.</v>
      </c>
      <c r="B53" s="58"/>
      <c r="C53" s="58"/>
    </row>
    <row r="54" spans="1:5" s="59" customFormat="1" ht="13.8" x14ac:dyDescent="0.3">
      <c r="A54" s="57" t="str">
        <f>+'1996-2002'!A54</f>
        <v>Kuo didesnis fondą vaizduojančio skritulio dydis – tuo fondas turi daugiau turto. Kuo mažesnis – mažiau.</v>
      </c>
      <c r="B54" s="58"/>
      <c r="C54" s="58"/>
    </row>
    <row r="59" spans="1:5" x14ac:dyDescent="0.3">
      <c r="A59" s="38" t="s">
        <v>0</v>
      </c>
      <c r="B59" s="38" t="s">
        <v>97</v>
      </c>
      <c r="C59" s="38" t="s">
        <v>98</v>
      </c>
      <c r="D59" s="38" t="s">
        <v>99</v>
      </c>
    </row>
    <row r="60" spans="1:5" x14ac:dyDescent="0.3">
      <c r="A60" s="33" t="str">
        <f>+B5</f>
        <v>INV-68/74</v>
      </c>
      <c r="B60" s="34">
        <f>+G5/1000</f>
        <v>22.602</v>
      </c>
      <c r="C60" s="34">
        <f>+I5</f>
        <v>12.020000000000008</v>
      </c>
      <c r="D60" s="34">
        <f>+F5</f>
        <v>103.64374411519999</v>
      </c>
    </row>
    <row r="61" spans="1:5" x14ac:dyDescent="0.3">
      <c r="A61" s="33" t="str">
        <f>+B4</f>
        <v>LMN-68/74</v>
      </c>
      <c r="B61" s="34">
        <f>+G4/1000</f>
        <v>22.405999999999999</v>
      </c>
      <c r="C61" s="34">
        <f>+I4</f>
        <v>12.719999999999999</v>
      </c>
      <c r="D61" s="34">
        <f>+F4</f>
        <v>74.372098654400006</v>
      </c>
    </row>
    <row r="62" spans="1:5" x14ac:dyDescent="0.3">
      <c r="A62" s="33" t="str">
        <f>+B6</f>
        <v>SBN-68/74</v>
      </c>
      <c r="B62" s="34">
        <f>+G6/1000</f>
        <v>52.661000000000001</v>
      </c>
      <c r="C62" s="34">
        <f>+I6</f>
        <v>13.319999999999999</v>
      </c>
      <c r="D62" s="34">
        <f>+F6</f>
        <v>205.25630866999998</v>
      </c>
    </row>
    <row r="63" spans="1:5" x14ac:dyDescent="0.3">
      <c r="A63" s="33" t="str">
        <f>+B7</f>
        <v>SWD-68/74</v>
      </c>
      <c r="B63" s="34">
        <f>+G7/1000</f>
        <v>95.031000000000006</v>
      </c>
      <c r="C63" s="34">
        <f>+I7</f>
        <v>13.330581923235663</v>
      </c>
      <c r="D63" s="34">
        <f>+F7</f>
        <v>297.90276532999997</v>
      </c>
    </row>
    <row r="64" spans="1:5" x14ac:dyDescent="0.3">
      <c r="A64" s="33" t="str">
        <f>+B8</f>
        <v>AVI-68/74</v>
      </c>
      <c r="B64" s="34">
        <f>+G8/1000</f>
        <v>41.302999999999997</v>
      </c>
      <c r="C64" s="34">
        <f>+I8</f>
        <v>6.6599999999999993</v>
      </c>
      <c r="D64" s="34">
        <f>+F8</f>
        <v>121.80008477</v>
      </c>
    </row>
  </sheetData>
  <mergeCells count="6">
    <mergeCell ref="L1:M1"/>
    <mergeCell ref="A3:C3"/>
    <mergeCell ref="D1:D2"/>
    <mergeCell ref="F1:F2"/>
    <mergeCell ref="G1:G2"/>
    <mergeCell ref="I1:J1"/>
  </mergeCells>
  <conditionalFormatting sqref="I4:J8">
    <cfRule type="cellIs" dxfId="15" priority="3" operator="greaterThanOrEqual">
      <formula>0</formula>
    </cfRule>
    <cfRule type="cellIs" dxfId="14" priority="4" operator="lessThan">
      <formula>0</formula>
    </cfRule>
  </conditionalFormatting>
  <conditionalFormatting sqref="L4:M8">
    <cfRule type="cellIs" dxfId="13" priority="1" operator="greaterThanOrEqual">
      <formula>0</formula>
    </cfRule>
    <cfRule type="cellIs" dxfId="12" priority="2" operator="lessThan">
      <formula>0</formula>
    </cfRule>
  </conditionalFormatting>
  <hyperlinks>
    <hyperlink ref="C1" location="GCF_2019_I_pusm!A1" display="Grįžti į pagrindinį puslapį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39.77734375" style="15" customWidth="1"/>
    <col min="2" max="2" width="14.88671875" style="15" bestFit="1" customWidth="1"/>
    <col min="3" max="3" width="64.6640625" style="15" customWidth="1"/>
    <col min="4" max="4" width="17.44140625" style="15" customWidth="1"/>
    <col min="5" max="5" width="16.109375" style="15" bestFit="1" customWidth="1"/>
    <col min="6" max="6" width="19.33203125" style="15" customWidth="1"/>
    <col min="7" max="7" width="13.6640625" style="15" customWidth="1"/>
    <col min="8" max="8" width="3.88671875" style="15" customWidth="1"/>
    <col min="9" max="9" width="17.21875" style="15" customWidth="1"/>
    <col min="10" max="10" width="17" style="15" customWidth="1"/>
    <col min="11" max="11" width="3.88671875" style="15" customWidth="1"/>
    <col min="12" max="12" width="17.109375" style="15" customWidth="1"/>
    <col min="13" max="13" width="20.33203125" style="15" customWidth="1"/>
    <col min="14" max="16384" width="8.88671875" style="15"/>
  </cols>
  <sheetData>
    <row r="1" spans="1:16" ht="22.2" customHeight="1" x14ac:dyDescent="0.3">
      <c r="A1" s="25">
        <f>+GCF_2019_I_pusm!A1</f>
        <v>43646</v>
      </c>
      <c r="B1" s="26"/>
      <c r="C1" s="62" t="s">
        <v>94</v>
      </c>
      <c r="D1" s="75" t="str">
        <f>+GCF_2019_I_pusm!D1</f>
        <v>Veiklos 
laikotarpis, 
metais</v>
      </c>
      <c r="E1" s="28" t="str">
        <f>+GCF_2019_I_pusm!E1</f>
        <v xml:space="preserve">Strategija </v>
      </c>
      <c r="F1" s="75" t="str">
        <f>+GCF_2019_I_pusm!F1</f>
        <v>Grynųjų aktyvų****** vertė, mln. Eur</v>
      </c>
      <c r="G1" s="75" t="str">
        <f>+GCF_2019_I_pusm!G1</f>
        <v>Dalyvių skaičius</v>
      </c>
      <c r="H1" s="29"/>
      <c r="I1" s="77" t="str">
        <f>+GCF_2019_I_pusm!I1</f>
        <v>Grąža</v>
      </c>
      <c r="J1" s="78">
        <f>+GCF_2019_I_pusm!J1</f>
        <v>0</v>
      </c>
      <c r="K1" s="30"/>
      <c r="L1" s="77" t="str">
        <f>+GCF_2019_I_pusm!L1</f>
        <v>Rizika ***</v>
      </c>
      <c r="M1" s="78">
        <f>+GCF_2019_I_pusm!M1</f>
        <v>0</v>
      </c>
    </row>
    <row r="2" spans="1:16" ht="92.4" customHeight="1" x14ac:dyDescent="0.3">
      <c r="A2" s="24" t="str">
        <f>+GCF_2019_I_pusm!A2</f>
        <v xml:space="preserve">Pensijų kaupimo bendrovės pavadinimas
</v>
      </c>
      <c r="B2" s="24" t="str">
        <f>+GCF_2019_I_pusm!B2</f>
        <v xml:space="preserve">Fondo kodas
</v>
      </c>
      <c r="C2" s="24" t="str">
        <f>+GCF_2019_I_pusm!C2</f>
        <v xml:space="preserve">Pensijų fondo pavadinimas
</v>
      </c>
      <c r="D2" s="76">
        <f>+GCF_2019_I_pusm!D2</f>
        <v>0</v>
      </c>
      <c r="E2" s="24" t="str">
        <f>+GCF_2019_I_pusm!E2</f>
        <v>rizikingų aktyvų dalis fonde, proc. *****</v>
      </c>
      <c r="F2" s="76">
        <f>+GCF_2019_I_pusm!F2</f>
        <v>0</v>
      </c>
      <c r="G2" s="76">
        <f>+GCF_2019_I_pusm!G2</f>
        <v>0</v>
      </c>
      <c r="H2" s="29"/>
      <c r="I2" s="24" t="str">
        <f>+GCF_2019_I_pusm!I2</f>
        <v>vieneto vertės pokytis nuo metų pradžios, proc.*</v>
      </c>
      <c r="J2" s="24" t="str">
        <f>+GCF_2019_I_pusm!J2</f>
        <v>lyginamojo indekso vertės pokytis nuo metų pradžios, proc.**</v>
      </c>
      <c r="K2" s="55"/>
      <c r="L2" s="24" t="str">
        <f>+GCF_2019_I_pusm!L2</f>
        <v xml:space="preserve">vieneto vertės standartinis nuokrypis, nuo metų pradžios, proc. </v>
      </c>
      <c r="M2" s="24" t="str">
        <f>+GCF_2019_I_pusm!M2</f>
        <v>lyginamojo indekso standartinis nuokrypis, nuo metų pradžios, proc.</v>
      </c>
    </row>
    <row r="3" spans="1:16" ht="28.95" customHeight="1" x14ac:dyDescent="0.3">
      <c r="A3" s="74" t="str">
        <f>+GCF_2019_I_pusm!A33</f>
        <v>Tikslinės pensijų fondų dalyvių grupės pensijų fondai, 1961-1967</v>
      </c>
      <c r="B3" s="74"/>
      <c r="C3" s="74"/>
      <c r="D3" s="45"/>
      <c r="E3" s="45"/>
      <c r="F3" s="46"/>
      <c r="G3" s="56" t="str">
        <f>+GCF_2019_I_pusm!G33</f>
        <v>Svertinis vidurkis****:</v>
      </c>
      <c r="H3" s="45"/>
      <c r="I3" s="48">
        <f>+GCF_2019_I_pusm!I33</f>
        <v>8.6872971835070771</v>
      </c>
      <c r="J3" s="48">
        <f>+GCF_2019_I_pusm!J33</f>
        <v>10.362563302608056</v>
      </c>
      <c r="K3" s="45"/>
      <c r="L3" s="45"/>
      <c r="M3" s="45"/>
    </row>
    <row r="4" spans="1:16" x14ac:dyDescent="0.3">
      <c r="A4" s="33" t="str">
        <f>+GCF_2019_I_pusm!A34</f>
        <v xml:space="preserve">Luminor investicijų valdymas UAB </v>
      </c>
      <c r="B4" s="33" t="str">
        <f>+GCF_2019_I_pusm!B34</f>
        <v>LMN-61/67</v>
      </c>
      <c r="C4" s="33" t="str">
        <f>+GCF_2019_I_pusm!C34</f>
        <v>Luminor 1961–1967 tikslinės grupės pensijų fondas</v>
      </c>
      <c r="D4" s="34">
        <f>+GCF_2019_I_pusm!D34</f>
        <v>0.49589041095890413</v>
      </c>
      <c r="E4" s="35">
        <f>+GCF_2019_I_pusm!E34</f>
        <v>60</v>
      </c>
      <c r="F4" s="34">
        <f>+GCF_2019_I_pusm!F34</f>
        <v>68.052967335899993</v>
      </c>
      <c r="G4" s="36">
        <f>+GCF_2019_I_pusm!G34</f>
        <v>20585</v>
      </c>
      <c r="H4" s="22"/>
      <c r="I4" s="37">
        <f>+GCF_2019_I_pusm!I34</f>
        <v>9.4600000000000009</v>
      </c>
      <c r="J4" s="37">
        <f>+GCF_2019_I_pusm!J34</f>
        <v>11.749900000000002</v>
      </c>
      <c r="K4" s="23"/>
      <c r="L4" s="37">
        <f>+GCF_2019_I_pusm!L34</f>
        <v>5.933792899343965</v>
      </c>
      <c r="M4" s="37">
        <f>+GCF_2019_I_pusm!M34</f>
        <v>9.3467926713049287</v>
      </c>
    </row>
    <row r="5" spans="1:16" x14ac:dyDescent="0.3">
      <c r="A5" s="33" t="str">
        <f>+GCF_2019_I_pusm!A35</f>
        <v>UAB „INVL Asset Management“</v>
      </c>
      <c r="B5" s="33" t="str">
        <f>+GCF_2019_I_pusm!B35</f>
        <v>INV-61/67</v>
      </c>
      <c r="C5" s="33" t="str">
        <f>+GCF_2019_I_pusm!C35</f>
        <v>INVL pensija 1961–1967</v>
      </c>
      <c r="D5" s="34">
        <f>+GCF_2019_I_pusm!D35</f>
        <v>0.49589041095890413</v>
      </c>
      <c r="E5" s="35">
        <f>+GCF_2019_I_pusm!E35</f>
        <v>54</v>
      </c>
      <c r="F5" s="34">
        <f>+GCF_2019_I_pusm!F35</f>
        <v>78.231147028500004</v>
      </c>
      <c r="G5" s="36">
        <f>+GCF_2019_I_pusm!G35</f>
        <v>18230</v>
      </c>
      <c r="H5" s="22"/>
      <c r="I5" s="37">
        <f>+GCF_2019_I_pusm!I35</f>
        <v>8.8600000000000012</v>
      </c>
      <c r="J5" s="37">
        <f>+GCF_2019_I_pusm!J35</f>
        <v>10.166999999999993</v>
      </c>
      <c r="K5" s="23"/>
      <c r="L5" s="37">
        <f>+GCF_2019_I_pusm!L35</f>
        <v>7.0045937651016947</v>
      </c>
      <c r="M5" s="37">
        <f>+GCF_2019_I_pusm!M35</f>
        <v>8.5709418422579251</v>
      </c>
    </row>
    <row r="6" spans="1:16" x14ac:dyDescent="0.3">
      <c r="A6" s="33" t="str">
        <f>+GCF_2019_I_pusm!A36</f>
        <v>UAB „SEB investicijų valdymas“</v>
      </c>
      <c r="B6" s="33" t="str">
        <f>+GCF_2019_I_pusm!B36</f>
        <v>SBN-61/67</v>
      </c>
      <c r="C6" s="33" t="str">
        <f>+GCF_2019_I_pusm!C36</f>
        <v>SEB 1961–1967 metų tikslinės grupės pensijų kaupimo fondas</v>
      </c>
      <c r="D6" s="34">
        <f>+GCF_2019_I_pusm!D36</f>
        <v>0.49589041095890413</v>
      </c>
      <c r="E6" s="35">
        <f>+GCF_2019_I_pusm!E36</f>
        <v>58.5</v>
      </c>
      <c r="F6" s="34">
        <f>+GCF_2019_I_pusm!F36</f>
        <v>181.86018058000002</v>
      </c>
      <c r="G6" s="36">
        <f>+GCF_2019_I_pusm!G36</f>
        <v>46666</v>
      </c>
      <c r="H6" s="22"/>
      <c r="I6" s="37">
        <f>+GCF_2019_I_pusm!I36</f>
        <v>9.5800000000000107</v>
      </c>
      <c r="J6" s="37">
        <f>+GCF_2019_I_pusm!J36</f>
        <v>10.950400000000005</v>
      </c>
      <c r="K6" s="23"/>
      <c r="L6" s="37">
        <f>+GCF_2019_I_pusm!L36</f>
        <v>8.0658539637832103</v>
      </c>
      <c r="M6" s="37">
        <f>+GCF_2019_I_pusm!M36</f>
        <v>8.5639744134162381</v>
      </c>
    </row>
    <row r="7" spans="1:16" x14ac:dyDescent="0.3">
      <c r="A7" s="33" t="str">
        <f>+GCF_2019_I_pusm!A37</f>
        <v>UAB „Swedbank investicijų valdymas“</v>
      </c>
      <c r="B7" s="33" t="str">
        <f>+GCF_2019_I_pusm!B37</f>
        <v>SWD-61/67</v>
      </c>
      <c r="C7" s="33" t="str">
        <f>+GCF_2019_I_pusm!C37</f>
        <v xml:space="preserve">Swedbank pensija 1961–1967******* </v>
      </c>
      <c r="D7" s="34">
        <f>+GCF_2019_I_pusm!D37</f>
        <v>0.49589041095890413</v>
      </c>
      <c r="E7" s="35">
        <f>+GCF_2019_I_pusm!E37</f>
        <v>59.999999999999986</v>
      </c>
      <c r="F7" s="34">
        <f>+GCF_2019_I_pusm!F37</f>
        <v>263.13295419000002</v>
      </c>
      <c r="G7" s="36">
        <f>+GCF_2019_I_pusm!G37</f>
        <v>84692</v>
      </c>
      <c r="H7" s="22"/>
      <c r="I7" s="37">
        <f>+GCF_2019_I_pusm!I37</f>
        <v>9.5918367346938815</v>
      </c>
      <c r="J7" s="37">
        <f>+GCF_2019_I_pusm!J37</f>
        <v>10.988503398097738</v>
      </c>
      <c r="K7" s="23"/>
      <c r="L7" s="37">
        <f>+GCF_2019_I_pusm!L37</f>
        <v>8.7057334721383182</v>
      </c>
      <c r="M7" s="37">
        <f>+GCF_2019_I_pusm!M37</f>
        <v>9.0485296875424126</v>
      </c>
    </row>
    <row r="8" spans="1:16" x14ac:dyDescent="0.3">
      <c r="A8" s="33" t="str">
        <f>+GCF_2019_I_pusm!A38</f>
        <v>UAGDPB „Aviva Lietuva“</v>
      </c>
      <c r="B8" s="33" t="str">
        <f>+GCF_2019_I_pusm!B38</f>
        <v>AVI-61/67</v>
      </c>
      <c r="C8" s="33" t="str">
        <f>+GCF_2019_I_pusm!C38</f>
        <v>Aviva X1 1961–1967 tikslinės grupės pensijų fondas</v>
      </c>
      <c r="D8" s="34">
        <f>+GCF_2019_I_pusm!D38</f>
        <v>0.49589041095890413</v>
      </c>
      <c r="E8" s="35">
        <f>+GCF_2019_I_pusm!E38</f>
        <v>43</v>
      </c>
      <c r="F8" s="34">
        <f>+GCF_2019_I_pusm!F38</f>
        <v>124.14687896</v>
      </c>
      <c r="G8" s="36">
        <f>+GCF_2019_I_pusm!G38</f>
        <v>39616</v>
      </c>
      <c r="H8" s="22"/>
      <c r="I8" s="37">
        <f>+GCF_2019_I_pusm!I38</f>
        <v>4.9299999999999899</v>
      </c>
      <c r="J8" s="37">
        <f>+GCF_2019_I_pusm!J38</f>
        <v>7.537499999999997</v>
      </c>
      <c r="K8" s="23"/>
      <c r="L8" s="37">
        <f>+GCF_2019_I_pusm!L38</f>
        <v>5.8826532949548298</v>
      </c>
      <c r="M8" s="37">
        <f>+GCF_2019_I_pusm!M38</f>
        <v>6.9774488360370537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7" t="str">
        <f>+GCF_2019_I_pusm!A54</f>
        <v>Pastaba: praeities rezultatai negarantuoja, kad tokie patys ar panašūs rezultatai bus ir ateityje. Įtakos 2019 m. pirmojo pusmečio pensijų fondų rezultatams galėjo turėti skirtingu laiku vykdytas turto perkėlimas į tikslinės grupės ir turto išsaugojimo pensijų fondus bei skirtingas fondų dydis nagrinėjamu laikotarpiu.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tr">
        <f>+GCF_2019_I_pusm!A55</f>
        <v>* Apskaitos vieneto vertės pokytis. Juo atsižvelgiama į atskaitymus nuo turto.</v>
      </c>
      <c r="B11" s="57"/>
      <c r="C11" s="57"/>
    </row>
    <row r="12" spans="1:16" s="59" customFormat="1" ht="13.8" x14ac:dyDescent="0.3">
      <c r="A12" s="57" t="str">
        <f>+GCF_2019_I_pusm!A56</f>
        <v xml:space="preserve">** Lyginamasis indeksas apibrėžiamas kaip pensijų kaupimo bendrovės pasirinktas orientacinis investicijų portfelis, atitinkantis fondo investavimo strategiją, su kurio vertės pokyčio reikšme lyginama fondo investicijų portfelio investicijų grąža. </v>
      </c>
      <c r="B12" s="57"/>
      <c r="C12" s="57"/>
    </row>
    <row r="13" spans="1:16" s="59" customFormat="1" ht="13.8" x14ac:dyDescent="0.3">
      <c r="A13" s="57" t="str">
        <f>+GCF_2019_I_pusm!A57</f>
        <v xml:space="preserve">*** Rodikliui apskaičiuoti naudoti mėnesiniai apskaitos vieneto (lyginamojo indekso) verčių pokyčiai, rezultatas perskaičiuotas į metinį.  Standartinis nuokrypis parodo, kaip intensyviai per laikotarpį svyruoja fondo investicinio vieneto vertė (lyginamojo indekso vertė). Kuo šis rodiklis didesnis, tuo didesnė rizika. </v>
      </c>
      <c r="B13" s="57"/>
      <c r="C13" s="57"/>
    </row>
    <row r="14" spans="1:16" s="59" customFormat="1" ht="13.8" x14ac:dyDescent="0.3">
      <c r="A14" s="57" t="str">
        <f>+GCF_2019_I_pusm!A58</f>
        <v>**** Svertiniam vidurkiui apskaičiuoti naudotas 2019-06-30 dienos fondų grynųjų aktyvų dydis.</v>
      </c>
      <c r="B14" s="58"/>
      <c r="C14" s="58"/>
    </row>
    <row r="15" spans="1:16" s="59" customFormat="1" ht="13.8" x14ac:dyDescent="0.3">
      <c r="A15" s="60" t="str">
        <f>+GCF_2019_I_pusm!A59</f>
        <v>***** Investicijų į akcijas dalis. Rizikingų turto klasių dalis gali būti padidinta arba sumažinta iki 10 procentinių punktų.</v>
      </c>
      <c r="B15" s="58"/>
      <c r="C15" s="58"/>
    </row>
    <row r="16" spans="1:16" s="59" customFormat="1" ht="13.8" x14ac:dyDescent="0.3">
      <c r="A16" s="60" t="str">
        <f>+GCF_2019_I_pusm!A60</f>
        <v>****** Grynieji aktyvai – pensijų fondą sudarančio turto ir įsipareigojimų verčių skirtumas.</v>
      </c>
    </row>
    <row r="17" spans="1:5" s="59" customFormat="1" ht="13.8" x14ac:dyDescent="0.3">
      <c r="A17" s="60" t="str">
        <f>+GCF_2019_I_pusm!A61</f>
        <v>******* Šie UAB „Swedbank investicijų valdymas“ valdomi pensijų fondai pradėjo veiklą 2018-03-01, tačiau dėl 2019 m. sausio mėnesį įsigaliojusios pensijų pertvarkos pagal galiojančius teisės aktus buvo įsteigti iš naujo, todėl jų rezultatai skaičiuojami nuo 2019 m. sausio 1 d. (kaip ir visų II pakopos pensijų fondų).</v>
      </c>
    </row>
    <row r="18" spans="1:5" ht="16.2" x14ac:dyDescent="0.3">
      <c r="A18" s="17"/>
    </row>
    <row r="19" spans="1:5" x14ac:dyDescent="0.3">
      <c r="A19" s="38" t="str">
        <f>+'1996-2002'!A19</f>
        <v>Rizikos ir grąžos palyginimas</v>
      </c>
      <c r="B19" s="38"/>
      <c r="C19" s="38"/>
      <c r="D19" s="38"/>
      <c r="E19" s="38"/>
    </row>
    <row r="20" spans="1:5" s="59" customFormat="1" ht="13.8" x14ac:dyDescent="0.3">
      <c r="A20" s="57" t="str">
        <f>+'1996-2002'!A20</f>
        <v>Kuo pensijų fondas paveiksle vaizduojamas aukščiau, tuo jo uždirbama grąža yra didesnė. Kuo žemiau – tuo grąža mažesnė.</v>
      </c>
      <c r="B20" s="58"/>
      <c r="C20" s="58"/>
    </row>
    <row r="21" spans="1:5" s="59" customFormat="1" ht="13.8" x14ac:dyDescent="0.3">
      <c r="A21" s="57" t="str">
        <f>+'1996-2002'!A21</f>
        <v>Dešiniau pavaizduoti pensijų fondai prisiima didesnę riziką (jų vieneto vertės svyruoja daugiau). Kairiau – mažesnę (jų vieneto vertės svyruoja mažiau).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tr">
        <f>+B4</f>
        <v>LMN-61/67</v>
      </c>
      <c r="B30" s="34">
        <f>+L4</f>
        <v>5.933792899343965</v>
      </c>
      <c r="C30" s="34">
        <f>+I4</f>
        <v>9.4600000000000009</v>
      </c>
    </row>
    <row r="31" spans="1:5" x14ac:dyDescent="0.3">
      <c r="A31" s="33" t="str">
        <f>+B5</f>
        <v>INV-61/67</v>
      </c>
      <c r="B31" s="34">
        <f>+L5</f>
        <v>7.0045937651016947</v>
      </c>
      <c r="C31" s="34">
        <f>+I5</f>
        <v>8.8600000000000012</v>
      </c>
    </row>
    <row r="32" spans="1:5" x14ac:dyDescent="0.3">
      <c r="A32" s="33" t="str">
        <f>+B6</f>
        <v>SBN-61/67</v>
      </c>
      <c r="B32" s="34">
        <f>+L6</f>
        <v>8.0658539637832103</v>
      </c>
      <c r="C32" s="34">
        <f>+I6</f>
        <v>9.5800000000000107</v>
      </c>
    </row>
    <row r="33" spans="1:3" x14ac:dyDescent="0.3">
      <c r="A33" s="33" t="str">
        <f>+B7</f>
        <v>SWD-61/67</v>
      </c>
      <c r="B33" s="34">
        <f>+L7</f>
        <v>8.7057334721383182</v>
      </c>
      <c r="C33" s="34">
        <f>+I7</f>
        <v>9.5918367346938815</v>
      </c>
    </row>
    <row r="34" spans="1:3" x14ac:dyDescent="0.3">
      <c r="A34" s="33" t="str">
        <f>+B8</f>
        <v>AVI-61/67</v>
      </c>
      <c r="B34" s="34">
        <f>+L8</f>
        <v>5.8826532949548298</v>
      </c>
      <c r="C34" s="34">
        <f>+I8</f>
        <v>4.9299999999999899</v>
      </c>
    </row>
    <row r="51" spans="1:5" x14ac:dyDescent="0.3">
      <c r="A51" s="38" t="str">
        <f>+'1996-2002'!A51</f>
        <v>Dalyvių skaičiaus, grąžos ir fondo turto palyginimas</v>
      </c>
      <c r="B51" s="38"/>
      <c r="C51" s="38"/>
      <c r="D51" s="38"/>
      <c r="E51" s="38"/>
    </row>
    <row r="52" spans="1:5" s="59" customFormat="1" ht="13.8" x14ac:dyDescent="0.3">
      <c r="A52" s="57" t="str">
        <f>+'1996-2002'!A52</f>
        <v>Kuo pensijų fondas paveiksle pavaizduotas aukščiau, tuo jo uždirbama grąža yra didesnė. Kuo žemiau – tuo grąža mažesnė.</v>
      </c>
      <c r="B52" s="58"/>
      <c r="C52" s="58"/>
    </row>
    <row r="53" spans="1:5" s="59" customFormat="1" ht="13.8" x14ac:dyDescent="0.3">
      <c r="A53" s="57" t="str">
        <f>+'1996-2002'!A53</f>
        <v>Dešiniau pavaizduoti pensijų fondai turi daugiau dalyvių. Kairiau – mažiau.</v>
      </c>
      <c r="B53" s="58"/>
      <c r="C53" s="58"/>
    </row>
    <row r="54" spans="1:5" s="59" customFormat="1" ht="13.8" x14ac:dyDescent="0.3">
      <c r="A54" s="57" t="str">
        <f>+'1996-2002'!A54</f>
        <v>Kuo didesnis fondą vaizduojančio skritulio dydis – tuo fondas turi daugiau turto. Kuo mažesnis – mažiau.</v>
      </c>
      <c r="B54" s="58"/>
      <c r="C54" s="58"/>
    </row>
    <row r="59" spans="1:5" x14ac:dyDescent="0.3">
      <c r="A59" s="38" t="s">
        <v>0</v>
      </c>
      <c r="B59" s="38" t="s">
        <v>97</v>
      </c>
      <c r="C59" s="38" t="s">
        <v>98</v>
      </c>
      <c r="D59" s="38" t="s">
        <v>99</v>
      </c>
    </row>
    <row r="60" spans="1:5" x14ac:dyDescent="0.3">
      <c r="A60" s="33" t="str">
        <f>+B4</f>
        <v>LMN-61/67</v>
      </c>
      <c r="B60" s="34">
        <f>+G4/1000</f>
        <v>20.585000000000001</v>
      </c>
      <c r="C60" s="34">
        <f>+I4</f>
        <v>9.4600000000000009</v>
      </c>
      <c r="D60" s="34">
        <f>+F4</f>
        <v>68.052967335899993</v>
      </c>
    </row>
    <row r="61" spans="1:5" x14ac:dyDescent="0.3">
      <c r="A61" s="33" t="str">
        <f>+B5</f>
        <v>INV-61/67</v>
      </c>
      <c r="B61" s="34">
        <f>+G5/1000</f>
        <v>18.23</v>
      </c>
      <c r="C61" s="34">
        <f>+I5</f>
        <v>8.8600000000000012</v>
      </c>
      <c r="D61" s="34">
        <f>+F5</f>
        <v>78.231147028500004</v>
      </c>
    </row>
    <row r="62" spans="1:5" x14ac:dyDescent="0.3">
      <c r="A62" s="33" t="str">
        <f>+B6</f>
        <v>SBN-61/67</v>
      </c>
      <c r="B62" s="34">
        <f>+G6/1000</f>
        <v>46.665999999999997</v>
      </c>
      <c r="C62" s="34">
        <f>+I6</f>
        <v>9.5800000000000107</v>
      </c>
      <c r="D62" s="34">
        <f>+F6</f>
        <v>181.86018058000002</v>
      </c>
    </row>
    <row r="63" spans="1:5" x14ac:dyDescent="0.3">
      <c r="A63" s="33" t="str">
        <f>+B7</f>
        <v>SWD-61/67</v>
      </c>
      <c r="B63" s="34">
        <f>+G7/1000</f>
        <v>84.691999999999993</v>
      </c>
      <c r="C63" s="34">
        <f>+I7</f>
        <v>9.5918367346938815</v>
      </c>
      <c r="D63" s="34">
        <f>+F7</f>
        <v>263.13295419000002</v>
      </c>
    </row>
    <row r="64" spans="1:5" x14ac:dyDescent="0.3">
      <c r="A64" s="33" t="str">
        <f>+B8</f>
        <v>AVI-61/67</v>
      </c>
      <c r="B64" s="34">
        <f>+G8/1000</f>
        <v>39.616</v>
      </c>
      <c r="C64" s="34">
        <f>+I8</f>
        <v>4.9299999999999899</v>
      </c>
      <c r="D64" s="34">
        <f>+F8</f>
        <v>124.14687896</v>
      </c>
    </row>
  </sheetData>
  <mergeCells count="6">
    <mergeCell ref="L1:M1"/>
    <mergeCell ref="A3:C3"/>
    <mergeCell ref="D1:D2"/>
    <mergeCell ref="F1:F2"/>
    <mergeCell ref="G1:G2"/>
    <mergeCell ref="I1:J1"/>
  </mergeCells>
  <conditionalFormatting sqref="I4:J8">
    <cfRule type="cellIs" dxfId="11" priority="3" operator="greaterThanOrEqual">
      <formula>0</formula>
    </cfRule>
    <cfRule type="cellIs" dxfId="10" priority="4" operator="lessThan">
      <formula>0</formula>
    </cfRule>
  </conditionalFormatting>
  <conditionalFormatting sqref="L4:M8">
    <cfRule type="cellIs" dxfId="9" priority="1" operator="greaterThanOrEqual">
      <formula>0</formula>
    </cfRule>
    <cfRule type="cellIs" dxfId="8" priority="2" operator="lessThan">
      <formula>0</formula>
    </cfRule>
  </conditionalFormatting>
  <hyperlinks>
    <hyperlink ref="C1" location="GCF_2019_I_pusm!A1" display="Grįžti į pagrindinį puslapį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39.33203125" style="15" customWidth="1"/>
    <col min="2" max="2" width="14.88671875" style="15" bestFit="1" customWidth="1"/>
    <col min="3" max="3" width="64.77734375" style="15" customWidth="1"/>
    <col min="4" max="4" width="17.44140625" style="15" customWidth="1"/>
    <col min="5" max="5" width="16.109375" style="15" bestFit="1" customWidth="1"/>
    <col min="6" max="6" width="19.33203125" style="15" customWidth="1"/>
    <col min="7" max="7" width="13.6640625" style="15" customWidth="1"/>
    <col min="8" max="8" width="3.88671875" style="15" customWidth="1"/>
    <col min="9" max="9" width="18.44140625" style="15" customWidth="1"/>
    <col min="10" max="10" width="17.6640625" style="15" customWidth="1"/>
    <col min="11" max="11" width="3.88671875" style="15" customWidth="1"/>
    <col min="12" max="12" width="19.109375" style="15" customWidth="1"/>
    <col min="13" max="13" width="19.21875" style="15" customWidth="1"/>
    <col min="14" max="16384" width="8.88671875" style="15"/>
  </cols>
  <sheetData>
    <row r="1" spans="1:16" ht="22.2" customHeight="1" x14ac:dyDescent="0.3">
      <c r="A1" s="25">
        <f>+GCF_2019_I_pusm!A1</f>
        <v>43646</v>
      </c>
      <c r="B1" s="26"/>
      <c r="C1" s="62" t="s">
        <v>94</v>
      </c>
      <c r="D1" s="75" t="str">
        <f>+GCF_2019_I_pusm!D1</f>
        <v>Veiklos 
laikotarpis, 
metais</v>
      </c>
      <c r="E1" s="28" t="str">
        <f>+GCF_2019_I_pusm!E1</f>
        <v xml:space="preserve">Strategija </v>
      </c>
      <c r="F1" s="75" t="str">
        <f>+GCF_2019_I_pusm!F1</f>
        <v>Grynųjų aktyvų****** vertė, mln. Eur</v>
      </c>
      <c r="G1" s="75" t="str">
        <f>+GCF_2019_I_pusm!G1</f>
        <v>Dalyvių skaičius</v>
      </c>
      <c r="H1" s="29"/>
      <c r="I1" s="77" t="str">
        <f>+GCF_2019_I_pusm!I1</f>
        <v>Grąža</v>
      </c>
      <c r="J1" s="78">
        <f>+GCF_2019_I_pusm!J1</f>
        <v>0</v>
      </c>
      <c r="K1" s="30"/>
      <c r="L1" s="77" t="str">
        <f>+GCF_2019_I_pusm!L1</f>
        <v>Rizika ***</v>
      </c>
      <c r="M1" s="78">
        <f>+GCF_2019_I_pusm!M1</f>
        <v>0</v>
      </c>
    </row>
    <row r="2" spans="1:16" ht="92.4" customHeight="1" x14ac:dyDescent="0.3">
      <c r="A2" s="24" t="str">
        <f>+GCF_2019_I_pusm!A2</f>
        <v xml:space="preserve">Pensijų kaupimo bendrovės pavadinimas
</v>
      </c>
      <c r="B2" s="24" t="str">
        <f>+GCF_2019_I_pusm!B2</f>
        <v xml:space="preserve">Fondo kodas
</v>
      </c>
      <c r="C2" s="24" t="str">
        <f>+GCF_2019_I_pusm!C2</f>
        <v xml:space="preserve">Pensijų fondo pavadinimas
</v>
      </c>
      <c r="D2" s="76">
        <f>+GCF_2019_I_pusm!D2</f>
        <v>0</v>
      </c>
      <c r="E2" s="24" t="str">
        <f>+GCF_2019_I_pusm!E2</f>
        <v>rizikingų aktyvų dalis fonde, proc. *****</v>
      </c>
      <c r="F2" s="76">
        <f>+GCF_2019_I_pusm!F2</f>
        <v>0</v>
      </c>
      <c r="G2" s="76">
        <f>+GCF_2019_I_pusm!G2</f>
        <v>0</v>
      </c>
      <c r="H2" s="29"/>
      <c r="I2" s="24" t="str">
        <f>+GCF_2019_I_pusm!I2</f>
        <v>vieneto vertės pokytis nuo metų pradžios, proc.*</v>
      </c>
      <c r="J2" s="24" t="str">
        <f>+GCF_2019_I_pusm!J2</f>
        <v>lyginamojo indekso vertės pokytis nuo metų pradžios, proc.**</v>
      </c>
      <c r="K2" s="55"/>
      <c r="L2" s="24" t="str">
        <f>+GCF_2019_I_pusm!L2</f>
        <v xml:space="preserve">vieneto vertės standartinis nuokrypis, nuo metų pradžios, proc. </v>
      </c>
      <c r="M2" s="24" t="str">
        <f>+GCF_2019_I_pusm!M2</f>
        <v>lyginamojo indekso standartinis nuokrypis, nuo metų pradžios, proc.</v>
      </c>
    </row>
    <row r="3" spans="1:16" ht="28.95" customHeight="1" x14ac:dyDescent="0.3">
      <c r="A3" s="74" t="str">
        <f>+GCF_2019_I_pusm!A39</f>
        <v>Tikslinės pensijų fondų dalyvių grupės pensijų fondai, 1954-1960</v>
      </c>
      <c r="B3" s="74"/>
      <c r="C3" s="74"/>
      <c r="D3" s="45"/>
      <c r="E3" s="45"/>
      <c r="F3" s="46"/>
      <c r="G3" s="56" t="str">
        <f>+GCF_2019_I_pusm!G39</f>
        <v>Svertinis vidurkis****:</v>
      </c>
      <c r="H3" s="45"/>
      <c r="I3" s="48">
        <f>+GCF_2019_I_pusm!I39</f>
        <v>4.9965228543328744</v>
      </c>
      <c r="J3" s="48">
        <f>+GCF_2019_I_pusm!J39</f>
        <v>6.8010458790290516</v>
      </c>
      <c r="K3" s="45"/>
      <c r="L3" s="45"/>
      <c r="M3" s="45"/>
    </row>
    <row r="4" spans="1:16" x14ac:dyDescent="0.3">
      <c r="A4" s="33" t="str">
        <f>+GCF_2019_I_pusm!A40</f>
        <v xml:space="preserve">Luminor investicijų valdymas UAB </v>
      </c>
      <c r="B4" s="33" t="str">
        <f>+GCF_2019_I_pusm!B40</f>
        <v>LMN-54/60</v>
      </c>
      <c r="C4" s="33" t="str">
        <f>+GCF_2019_I_pusm!C40</f>
        <v>Luminor 1954–1960 tikslinės grupės pensijų fondas</v>
      </c>
      <c r="D4" s="34">
        <f>+GCF_2019_I_pusm!D40</f>
        <v>0.49589041095890413</v>
      </c>
      <c r="E4" s="35">
        <f>+GCF_2019_I_pusm!E40</f>
        <v>25</v>
      </c>
      <c r="F4" s="34">
        <f>+GCF_2019_I_pusm!F40</f>
        <v>36.870945177000003</v>
      </c>
      <c r="G4" s="36">
        <f>+GCF_2019_I_pusm!G40</f>
        <v>10892</v>
      </c>
      <c r="H4" s="22"/>
      <c r="I4" s="37">
        <f>+GCF_2019_I_pusm!I40</f>
        <v>5.5900000000000061</v>
      </c>
      <c r="J4" s="37">
        <f>+GCF_2019_I_pusm!J40</f>
        <v>8.7373999999999832</v>
      </c>
      <c r="K4" s="23"/>
      <c r="L4" s="37">
        <f>+GCF_2019_I_pusm!L40</f>
        <v>3.4296209642190085</v>
      </c>
      <c r="M4" s="37">
        <f>+GCF_2019_I_pusm!M40</f>
        <v>4.5121434504748326</v>
      </c>
    </row>
    <row r="5" spans="1:16" x14ac:dyDescent="0.3">
      <c r="A5" s="33" t="str">
        <f>+GCF_2019_I_pusm!A41</f>
        <v>UAB „INVL Asset Management“</v>
      </c>
      <c r="B5" s="33" t="str">
        <f>+GCF_2019_I_pusm!B41</f>
        <v>INV-54/60</v>
      </c>
      <c r="C5" s="33" t="str">
        <f>+GCF_2019_I_pusm!C41</f>
        <v>INVL pensija 1954–1960</v>
      </c>
      <c r="D5" s="34">
        <f>+GCF_2019_I_pusm!D41</f>
        <v>0.49589041095890413</v>
      </c>
      <c r="E5" s="35">
        <f>+GCF_2019_I_pusm!E41</f>
        <v>13</v>
      </c>
      <c r="F5" s="34">
        <f>+GCF_2019_I_pusm!F41</f>
        <v>27.747197072999999</v>
      </c>
      <c r="G5" s="36">
        <f>+GCF_2019_I_pusm!G41</f>
        <v>6739</v>
      </c>
      <c r="H5" s="22"/>
      <c r="I5" s="37">
        <f>+GCF_2019_I_pusm!I41</f>
        <v>5.0799999999999956</v>
      </c>
      <c r="J5" s="37">
        <f>+GCF_2019_I_pusm!J41</f>
        <v>5.2472000000000074</v>
      </c>
      <c r="K5" s="23"/>
      <c r="L5" s="37">
        <f>+GCF_2019_I_pusm!L41</f>
        <v>2.6645481436883118</v>
      </c>
      <c r="M5" s="37">
        <f>+GCF_2019_I_pusm!M41</f>
        <v>3.1887451692757343</v>
      </c>
    </row>
    <row r="6" spans="1:16" x14ac:dyDescent="0.3">
      <c r="A6" s="33" t="str">
        <f>+GCF_2019_I_pusm!A42</f>
        <v>UAB „SEB investicijų valdymas“</v>
      </c>
      <c r="B6" s="33" t="str">
        <f>+GCF_2019_I_pusm!B42</f>
        <v>SBN-54/60</v>
      </c>
      <c r="C6" s="33" t="str">
        <f>+GCF_2019_I_pusm!C42</f>
        <v>SEB 1954–1960 metų tikslinės grupės pensijų kaupimo fondas</v>
      </c>
      <c r="D6" s="34">
        <f>+GCF_2019_I_pusm!D42</f>
        <v>0.49589041095890413</v>
      </c>
      <c r="E6" s="35">
        <f>+GCF_2019_I_pusm!E42</f>
        <v>22.400000000000002</v>
      </c>
      <c r="F6" s="34">
        <f>+GCF_2019_I_pusm!F42</f>
        <v>94.98686721</v>
      </c>
      <c r="G6" s="36">
        <f>+GCF_2019_I_pusm!G42</f>
        <v>23839</v>
      </c>
      <c r="H6" s="22"/>
      <c r="I6" s="37">
        <f>+GCF_2019_I_pusm!I42</f>
        <v>6.6899999999999959</v>
      </c>
      <c r="J6" s="37">
        <f>+GCF_2019_I_pusm!J42</f>
        <v>7.8229000000000104</v>
      </c>
      <c r="K6" s="23"/>
      <c r="L6" s="37">
        <f>+GCF_2019_I_pusm!L42</f>
        <v>4.7761495950597475</v>
      </c>
      <c r="M6" s="37">
        <f>+GCF_2019_I_pusm!M42</f>
        <v>4.0830254361532914</v>
      </c>
    </row>
    <row r="7" spans="1:16" x14ac:dyDescent="0.3">
      <c r="A7" s="33" t="str">
        <f>+GCF_2019_I_pusm!A43</f>
        <v>UAB „Swedbank investicijų valdymas“</v>
      </c>
      <c r="B7" s="33" t="str">
        <f>+GCF_2019_I_pusm!B43</f>
        <v>SWD-54/60</v>
      </c>
      <c r="C7" s="33" t="str">
        <f>+GCF_2019_I_pusm!C43</f>
        <v>Swedbank pensija 1954–1960</v>
      </c>
      <c r="D7" s="34">
        <f>+GCF_2019_I_pusm!D43</f>
        <v>0.49589041095890413</v>
      </c>
      <c r="E7" s="35">
        <f>+GCF_2019_I_pusm!E43</f>
        <v>24.999999999999982</v>
      </c>
      <c r="F7" s="34">
        <f>+GCF_2019_I_pusm!F43</f>
        <v>130.73572842999999</v>
      </c>
      <c r="G7" s="36">
        <f>+GCF_2019_I_pusm!G43</f>
        <v>39434</v>
      </c>
      <c r="H7" s="22"/>
      <c r="I7" s="37">
        <f>+GCF_2019_I_pusm!I43</f>
        <v>4.0899999999999936</v>
      </c>
      <c r="J7" s="37">
        <f>+GCF_2019_I_pusm!J43</f>
        <v>7.2189999999999976</v>
      </c>
      <c r="K7" s="23"/>
      <c r="L7" s="37">
        <f>+GCF_2019_I_pusm!L43</f>
        <v>3.4962026997640767</v>
      </c>
      <c r="M7" s="37">
        <f>+GCF_2019_I_pusm!M43</f>
        <v>4.3476601468269029</v>
      </c>
    </row>
    <row r="8" spans="1:16" x14ac:dyDescent="0.3">
      <c r="A8" s="33" t="str">
        <f>+GCF_2019_I_pusm!A44</f>
        <v>UAGDPB „Aviva Lietuva“</v>
      </c>
      <c r="B8" s="33" t="str">
        <f>+GCF_2019_I_pusm!B44</f>
        <v>AVI-54/60</v>
      </c>
      <c r="C8" s="33" t="str">
        <f>+GCF_2019_I_pusm!C44</f>
        <v>Aviva B 1954–1960 tikslinės grupės pensijų fondas</v>
      </c>
      <c r="D8" s="34">
        <f>+GCF_2019_I_pusm!D44</f>
        <v>0.49589041095890413</v>
      </c>
      <c r="E8" s="35">
        <f>+GCF_2019_I_pusm!E44</f>
        <v>21</v>
      </c>
      <c r="F8" s="34">
        <f>+GCF_2019_I_pusm!F44</f>
        <v>68.14124511</v>
      </c>
      <c r="G8" s="36">
        <f>+GCF_2019_I_pusm!G44</f>
        <v>21445</v>
      </c>
      <c r="H8" s="22"/>
      <c r="I8" s="37">
        <f>+GCF_2019_I_pusm!I44</f>
        <v>4.0200000000000014</v>
      </c>
      <c r="J8" s="37">
        <f>+GCF_2019_I_pusm!J44</f>
        <v>4.1597000000000106</v>
      </c>
      <c r="K8" s="23"/>
      <c r="L8" s="37">
        <f>+GCF_2019_I_pusm!L44</f>
        <v>3.1131294280388788</v>
      </c>
      <c r="M8" s="37">
        <f>+GCF_2019_I_pusm!M44</f>
        <v>3.523668813269488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7" t="str">
        <f>+GCF_2019_I_pusm!A54</f>
        <v>Pastaba: praeities rezultatai negarantuoja, kad tokie patys ar panašūs rezultatai bus ir ateityje. Įtakos 2019 m. pirmojo pusmečio pensijų fondų rezultatams galėjo turėti skirtingu laiku vykdytas turto perkėlimas į tikslinės grupės ir turto išsaugojimo pensijų fondus bei skirtingas fondų dydis nagrinėjamu laikotarpiu.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tr">
        <f>+GCF_2019_I_pusm!A55</f>
        <v>* Apskaitos vieneto vertės pokytis. Juo atsižvelgiama į atskaitymus nuo turto.</v>
      </c>
      <c r="B11" s="57"/>
      <c r="C11" s="57"/>
    </row>
    <row r="12" spans="1:16" s="59" customFormat="1" ht="13.8" x14ac:dyDescent="0.3">
      <c r="A12" s="57" t="str">
        <f>+GCF_2019_I_pusm!A56</f>
        <v xml:space="preserve">** Lyginamasis indeksas apibrėžiamas kaip pensijų kaupimo bendrovės pasirinktas orientacinis investicijų portfelis, atitinkantis fondo investavimo strategiją, su kurio vertės pokyčio reikšme lyginama fondo investicijų portfelio investicijų grąža. </v>
      </c>
      <c r="B12" s="57"/>
      <c r="C12" s="57"/>
    </row>
    <row r="13" spans="1:16" s="59" customFormat="1" ht="13.8" x14ac:dyDescent="0.3">
      <c r="A13" s="57" t="str">
        <f>+GCF_2019_I_pusm!A57</f>
        <v xml:space="preserve">*** Rodikliui apskaičiuoti naudoti mėnesiniai apskaitos vieneto (lyginamojo indekso) verčių pokyčiai, rezultatas perskaičiuotas į metinį.  Standartinis nuokrypis parodo, kaip intensyviai per laikotarpį svyruoja fondo investicinio vieneto vertė (lyginamojo indekso vertė). Kuo šis rodiklis didesnis, tuo didesnė rizika. </v>
      </c>
      <c r="B13" s="57"/>
      <c r="C13" s="57"/>
    </row>
    <row r="14" spans="1:16" s="59" customFormat="1" ht="13.8" x14ac:dyDescent="0.3">
      <c r="A14" s="57" t="str">
        <f>+GCF_2019_I_pusm!A58</f>
        <v>**** Svertiniam vidurkiui apskaičiuoti naudotas 2019-06-30 dienos fondų grynųjų aktyvų dydis.</v>
      </c>
      <c r="B14" s="58"/>
      <c r="C14" s="58"/>
    </row>
    <row r="15" spans="1:16" s="59" customFormat="1" ht="13.8" x14ac:dyDescent="0.3">
      <c r="A15" s="60" t="str">
        <f>+GCF_2019_I_pusm!A59</f>
        <v>***** Investicijų į akcijas dalis. Rizikingų turto klasių dalis gali būti padidinta arba sumažinta iki 10 procentinių punktų.</v>
      </c>
      <c r="B15" s="58"/>
      <c r="C15" s="58"/>
    </row>
    <row r="16" spans="1:16" s="59" customFormat="1" ht="13.8" x14ac:dyDescent="0.3">
      <c r="A16" s="60" t="str">
        <f>+GCF_2019_I_pusm!A60</f>
        <v>****** Grynieji aktyvai – pensijų fondą sudarančio turto ir įsipareigojimų verčių skirtumas.</v>
      </c>
    </row>
    <row r="17" spans="1:5" s="59" customFormat="1" ht="13.8" x14ac:dyDescent="0.3">
      <c r="A17" s="60"/>
    </row>
    <row r="18" spans="1:5" ht="16.2" x14ac:dyDescent="0.3">
      <c r="A18" s="17"/>
    </row>
    <row r="19" spans="1:5" x14ac:dyDescent="0.3">
      <c r="A19" s="38" t="str">
        <f>+'1996-2002'!A19</f>
        <v>Rizikos ir grąžos palyginimas</v>
      </c>
      <c r="B19" s="38"/>
      <c r="C19" s="38"/>
      <c r="D19" s="38"/>
      <c r="E19" s="38"/>
    </row>
    <row r="20" spans="1:5" s="59" customFormat="1" ht="13.8" x14ac:dyDescent="0.3">
      <c r="A20" s="57" t="str">
        <f>+'1996-2002'!A20</f>
        <v>Kuo pensijų fondas paveiksle vaizduojamas aukščiau, tuo jo uždirbama grąža yra didesnė. Kuo žemiau – tuo grąža mažesnė.</v>
      </c>
      <c r="B20" s="58"/>
      <c r="C20" s="58"/>
    </row>
    <row r="21" spans="1:5" s="59" customFormat="1" ht="13.8" x14ac:dyDescent="0.3">
      <c r="A21" s="57" t="str">
        <f>+'1996-2002'!A21</f>
        <v>Dešiniau pavaizduoti pensijų fondai prisiima didesnę riziką (jų vieneto vertės svyruoja daugiau). Kairiau – mažesnę (jų vieneto vertės svyruoja mažiau).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tr">
        <f>+B4</f>
        <v>LMN-54/60</v>
      </c>
      <c r="B30" s="34">
        <f>+L4</f>
        <v>3.4296209642190085</v>
      </c>
      <c r="C30" s="34">
        <f>+I4</f>
        <v>5.5900000000000061</v>
      </c>
    </row>
    <row r="31" spans="1:5" x14ac:dyDescent="0.3">
      <c r="A31" s="33" t="str">
        <f>+B5</f>
        <v>INV-54/60</v>
      </c>
      <c r="B31" s="34">
        <f>+L5</f>
        <v>2.6645481436883118</v>
      </c>
      <c r="C31" s="34">
        <f>+I5</f>
        <v>5.0799999999999956</v>
      </c>
    </row>
    <row r="32" spans="1:5" x14ac:dyDescent="0.3">
      <c r="A32" s="33" t="str">
        <f>+B6</f>
        <v>SBN-54/60</v>
      </c>
      <c r="B32" s="34">
        <f>+L6</f>
        <v>4.7761495950597475</v>
      </c>
      <c r="C32" s="34">
        <f>+I6</f>
        <v>6.6899999999999959</v>
      </c>
    </row>
    <row r="33" spans="1:3" x14ac:dyDescent="0.3">
      <c r="A33" s="33" t="str">
        <f>+B7</f>
        <v>SWD-54/60</v>
      </c>
      <c r="B33" s="34">
        <f>+L7</f>
        <v>3.4962026997640767</v>
      </c>
      <c r="C33" s="34">
        <f>+I7</f>
        <v>4.0899999999999936</v>
      </c>
    </row>
    <row r="34" spans="1:3" x14ac:dyDescent="0.3">
      <c r="A34" s="33" t="str">
        <f>+B8</f>
        <v>AVI-54/60</v>
      </c>
      <c r="B34" s="34">
        <f>+L8</f>
        <v>3.1131294280388788</v>
      </c>
      <c r="C34" s="34">
        <f>+I8</f>
        <v>4.0200000000000014</v>
      </c>
    </row>
    <row r="51" spans="1:5" x14ac:dyDescent="0.3">
      <c r="A51" s="38" t="str">
        <f>+'1996-2002'!A51</f>
        <v>Dalyvių skaičiaus, grąžos ir fondo turto palyginimas</v>
      </c>
      <c r="B51" s="38"/>
      <c r="C51" s="38"/>
      <c r="D51" s="38"/>
      <c r="E51" s="38"/>
    </row>
    <row r="52" spans="1:5" s="59" customFormat="1" ht="13.8" x14ac:dyDescent="0.3">
      <c r="A52" s="57" t="str">
        <f>+'1996-2002'!A52</f>
        <v>Kuo pensijų fondas paveiksle pavaizduotas aukščiau, tuo jo uždirbama grąža yra didesnė. Kuo žemiau – tuo grąža mažesnė.</v>
      </c>
      <c r="B52" s="58"/>
      <c r="C52" s="58"/>
    </row>
    <row r="53" spans="1:5" s="59" customFormat="1" ht="13.8" x14ac:dyDescent="0.3">
      <c r="A53" s="57" t="str">
        <f>+'1996-2002'!A53</f>
        <v>Dešiniau pavaizduoti pensijų fondai turi daugiau dalyvių. Kairiau – mažiau.</v>
      </c>
      <c r="B53" s="58"/>
      <c r="C53" s="58"/>
    </row>
    <row r="54" spans="1:5" s="59" customFormat="1" ht="13.8" x14ac:dyDescent="0.3">
      <c r="A54" s="57" t="str">
        <f>+'1996-2002'!A54</f>
        <v>Kuo didesnis fondą vaizduojančio skritulio dydis – tuo fondas turi daugiau turto. Kuo mažesnis – mažiau.</v>
      </c>
      <c r="B54" s="58"/>
      <c r="C54" s="58"/>
    </row>
    <row r="59" spans="1:5" x14ac:dyDescent="0.3">
      <c r="A59" s="38" t="s">
        <v>0</v>
      </c>
      <c r="B59" s="38" t="s">
        <v>97</v>
      </c>
      <c r="C59" s="38" t="s">
        <v>98</v>
      </c>
      <c r="D59" s="38" t="s">
        <v>99</v>
      </c>
    </row>
    <row r="60" spans="1:5" x14ac:dyDescent="0.3">
      <c r="A60" s="33" t="str">
        <f>+B4</f>
        <v>LMN-54/60</v>
      </c>
      <c r="B60" s="34">
        <f>+G4/1000</f>
        <v>10.891999999999999</v>
      </c>
      <c r="C60" s="34">
        <f>+I4</f>
        <v>5.5900000000000061</v>
      </c>
      <c r="D60" s="34">
        <f>+F4</f>
        <v>36.870945177000003</v>
      </c>
    </row>
    <row r="61" spans="1:5" x14ac:dyDescent="0.3">
      <c r="A61" s="33" t="str">
        <f>+B5</f>
        <v>INV-54/60</v>
      </c>
      <c r="B61" s="34">
        <f>+G5/1000</f>
        <v>6.7389999999999999</v>
      </c>
      <c r="C61" s="34">
        <f>+I5</f>
        <v>5.0799999999999956</v>
      </c>
      <c r="D61" s="34">
        <f>+F5</f>
        <v>27.747197072999999</v>
      </c>
    </row>
    <row r="62" spans="1:5" x14ac:dyDescent="0.3">
      <c r="A62" s="33" t="str">
        <f>+B6</f>
        <v>SBN-54/60</v>
      </c>
      <c r="B62" s="34">
        <f>+G6/1000</f>
        <v>23.838999999999999</v>
      </c>
      <c r="C62" s="34">
        <f>+I6</f>
        <v>6.6899999999999959</v>
      </c>
      <c r="D62" s="34">
        <f>+F6</f>
        <v>94.98686721</v>
      </c>
    </row>
    <row r="63" spans="1:5" x14ac:dyDescent="0.3">
      <c r="A63" s="33" t="str">
        <f>+B7</f>
        <v>SWD-54/60</v>
      </c>
      <c r="B63" s="34">
        <f>+G7/1000</f>
        <v>39.433999999999997</v>
      </c>
      <c r="C63" s="34">
        <f>+I7</f>
        <v>4.0899999999999936</v>
      </c>
      <c r="D63" s="34">
        <f>+F7</f>
        <v>130.73572842999999</v>
      </c>
    </row>
    <row r="64" spans="1:5" x14ac:dyDescent="0.3">
      <c r="A64" s="33" t="str">
        <f>+B8</f>
        <v>AVI-54/60</v>
      </c>
      <c r="B64" s="34">
        <f>+G8/1000</f>
        <v>21.445</v>
      </c>
      <c r="C64" s="34">
        <f>+I8</f>
        <v>4.0200000000000014</v>
      </c>
      <c r="D64" s="34">
        <f>+F8</f>
        <v>68.14124511</v>
      </c>
    </row>
  </sheetData>
  <mergeCells count="6">
    <mergeCell ref="L1:M1"/>
    <mergeCell ref="A3:C3"/>
    <mergeCell ref="D1:D2"/>
    <mergeCell ref="F1:F2"/>
    <mergeCell ref="G1:G2"/>
    <mergeCell ref="I1:J1"/>
  </mergeCells>
  <conditionalFormatting sqref="I4:J8">
    <cfRule type="cellIs" dxfId="7" priority="3" operator="greaterThanOrEqual">
      <formula>0</formula>
    </cfRule>
    <cfRule type="cellIs" dxfId="6" priority="4" operator="lessThan">
      <formula>0</formula>
    </cfRule>
  </conditionalFormatting>
  <conditionalFormatting sqref="L4:M8">
    <cfRule type="cellIs" dxfId="5" priority="1" operator="greaterThanOrEqual">
      <formula>0</formula>
    </cfRule>
    <cfRule type="cellIs" dxfId="4" priority="2" operator="lessThan">
      <formula>0</formula>
    </cfRule>
  </conditionalFormatting>
  <hyperlinks>
    <hyperlink ref="C1" location="GCF_2019_I_pusm!A1" display="Grįžti į pagrindinį puslapį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showGridLines="0" zoomScale="70" zoomScaleNormal="70" workbookViewId="0">
      <selection activeCell="C1" sqref="C1"/>
    </sheetView>
  </sheetViews>
  <sheetFormatPr defaultRowHeight="15.6" x14ac:dyDescent="0.3"/>
  <cols>
    <col min="1" max="1" width="43.5546875" style="15" customWidth="1"/>
    <col min="2" max="2" width="14.88671875" style="15" bestFit="1" customWidth="1"/>
    <col min="3" max="3" width="48.21875" style="15" customWidth="1"/>
    <col min="4" max="4" width="17.44140625" style="15" customWidth="1"/>
    <col min="5" max="5" width="16.109375" style="15" bestFit="1" customWidth="1"/>
    <col min="6" max="6" width="19.33203125" style="15" customWidth="1"/>
    <col min="7" max="7" width="13.6640625" style="15" customWidth="1"/>
    <col min="8" max="8" width="3.88671875" style="15" customWidth="1"/>
    <col min="9" max="9" width="22.109375" style="15" customWidth="1"/>
    <col min="10" max="10" width="20.6640625" style="15" customWidth="1"/>
    <col min="11" max="11" width="3.88671875" style="15" customWidth="1"/>
    <col min="12" max="12" width="21.77734375" style="15" bestFit="1" customWidth="1"/>
    <col min="13" max="13" width="18" style="15" customWidth="1"/>
    <col min="14" max="16384" width="8.88671875" style="15"/>
  </cols>
  <sheetData>
    <row r="1" spans="1:16" ht="22.2" customHeight="1" x14ac:dyDescent="0.3">
      <c r="A1" s="25">
        <f>+GCF_2019_I_pusm!A1</f>
        <v>43646</v>
      </c>
      <c r="B1" s="26"/>
      <c r="C1" s="62" t="s">
        <v>94</v>
      </c>
      <c r="D1" s="75" t="str">
        <f>+GCF_2019_I_pusm!D1</f>
        <v>Veiklos 
laikotarpis, 
metais</v>
      </c>
      <c r="E1" s="28" t="str">
        <f>+GCF_2019_I_pusm!E1</f>
        <v xml:space="preserve">Strategija </v>
      </c>
      <c r="F1" s="75" t="str">
        <f>+GCF_2019_I_pusm!F1</f>
        <v>Grynųjų aktyvų****** vertė, mln. Eur</v>
      </c>
      <c r="G1" s="75" t="str">
        <f>+GCF_2019_I_pusm!G1</f>
        <v>Dalyvių skaičius</v>
      </c>
      <c r="H1" s="29"/>
      <c r="I1" s="77" t="str">
        <f>+GCF_2019_I_pusm!I1</f>
        <v>Grąža</v>
      </c>
      <c r="J1" s="78">
        <f>+GCF_2019_I_pusm!J1</f>
        <v>0</v>
      </c>
      <c r="K1" s="30"/>
      <c r="L1" s="77" t="str">
        <f>+GCF_2019_I_pusm!L1</f>
        <v>Rizika ***</v>
      </c>
      <c r="M1" s="78">
        <f>+GCF_2019_I_pusm!M1</f>
        <v>0</v>
      </c>
    </row>
    <row r="2" spans="1:16" ht="92.4" customHeight="1" x14ac:dyDescent="0.3">
      <c r="A2" s="24" t="str">
        <f>+GCF_2019_I_pusm!A2</f>
        <v xml:space="preserve">Pensijų kaupimo bendrovės pavadinimas
</v>
      </c>
      <c r="B2" s="24" t="str">
        <f>+GCF_2019_I_pusm!B2</f>
        <v xml:space="preserve">Fondo kodas
</v>
      </c>
      <c r="C2" s="24" t="str">
        <f>+GCF_2019_I_pusm!C2</f>
        <v xml:space="preserve">Pensijų fondo pavadinimas
</v>
      </c>
      <c r="D2" s="76">
        <f>+GCF_2019_I_pusm!D2</f>
        <v>0</v>
      </c>
      <c r="E2" s="24" t="str">
        <f>+GCF_2019_I_pusm!E2</f>
        <v>rizikingų aktyvų dalis fonde, proc. *****</v>
      </c>
      <c r="F2" s="76">
        <f>+GCF_2019_I_pusm!F2</f>
        <v>0</v>
      </c>
      <c r="G2" s="76">
        <f>+GCF_2019_I_pusm!G2</f>
        <v>0</v>
      </c>
      <c r="H2" s="29"/>
      <c r="I2" s="24" t="str">
        <f>+GCF_2019_I_pusm!I2</f>
        <v>vieneto vertės pokytis nuo metų pradžios, proc.*</v>
      </c>
      <c r="J2" s="24" t="str">
        <f>+GCF_2019_I_pusm!J2</f>
        <v>lyginamojo indekso vertės pokytis nuo metų pradžios, proc.**</v>
      </c>
      <c r="K2" s="55"/>
      <c r="L2" s="24" t="str">
        <f>+GCF_2019_I_pusm!L2</f>
        <v xml:space="preserve">vieneto vertės standartinis nuokrypis, nuo metų pradžios, proc. </v>
      </c>
      <c r="M2" s="24" t="str">
        <f>+GCF_2019_I_pusm!M2</f>
        <v>lyginamojo indekso standartinis nuokrypis, nuo metų pradžios, proc.</v>
      </c>
    </row>
    <row r="3" spans="1:16" ht="28.95" customHeight="1" x14ac:dyDescent="0.3">
      <c r="A3" s="74" t="str">
        <f>+GCF_2019_I_pusm!A45</f>
        <v>Pensijų turto išsaugojimo pensijų fondai</v>
      </c>
      <c r="B3" s="74"/>
      <c r="C3" s="74"/>
      <c r="D3" s="45"/>
      <c r="E3" s="45"/>
      <c r="F3" s="46"/>
      <c r="G3" s="56" t="str">
        <f>+GCF_2019_I_pusm!G45</f>
        <v>Svertinis vidurkis****:</v>
      </c>
      <c r="H3" s="45"/>
      <c r="I3" s="48">
        <f>+GCF_2019_I_pusm!I45</f>
        <v>3.8179011979562709</v>
      </c>
      <c r="J3" s="48">
        <f>+GCF_2019_I_pusm!J45</f>
        <v>4.9464779141499271</v>
      </c>
      <c r="K3" s="45"/>
      <c r="L3" s="45"/>
      <c r="M3" s="45"/>
    </row>
    <row r="4" spans="1:16" x14ac:dyDescent="0.3">
      <c r="A4" s="33" t="str">
        <f>+GCF_2019_I_pusm!A46</f>
        <v xml:space="preserve">Luminor investicijų valdymas UAB </v>
      </c>
      <c r="B4" s="33" t="str">
        <f>+GCF_2019_I_pusm!B46</f>
        <v>LMN-TIPF</v>
      </c>
      <c r="C4" s="33" t="str">
        <f>+GCF_2019_I_pusm!C46</f>
        <v>Luminor turto išsaugojimo fondas</v>
      </c>
      <c r="D4" s="34">
        <f>+GCF_2019_I_pusm!D46</f>
        <v>0.49589041095890413</v>
      </c>
      <c r="E4" s="35">
        <f>+GCF_2019_I_pusm!E46</f>
        <v>10</v>
      </c>
      <c r="F4" s="34">
        <f>+GCF_2019_I_pusm!F46</f>
        <v>1.7038520555000001</v>
      </c>
      <c r="G4" s="36">
        <f>+GCF_2019_I_pusm!G46</f>
        <v>881</v>
      </c>
      <c r="H4" s="22"/>
      <c r="I4" s="37">
        <f>+GCF_2019_I_pusm!I46</f>
        <v>4.3500000000000094</v>
      </c>
      <c r="J4" s="37">
        <f>+GCF_2019_I_pusm!J46</f>
        <v>7.0602999999999971</v>
      </c>
      <c r="K4" s="23"/>
      <c r="L4" s="37">
        <f>+GCF_2019_I_pusm!L46</f>
        <v>2.2562112950937392</v>
      </c>
      <c r="M4" s="37">
        <f>+GCF_2019_I_pusm!M46</f>
        <v>2.726823132023557</v>
      </c>
    </row>
    <row r="5" spans="1:16" x14ac:dyDescent="0.3">
      <c r="A5" s="33" t="str">
        <f>+GCF_2019_I_pusm!A47</f>
        <v>UAB „INVL Asset Management“</v>
      </c>
      <c r="B5" s="33" t="str">
        <f>+GCF_2019_I_pusm!B47</f>
        <v>INV-TIPF</v>
      </c>
      <c r="C5" s="33" t="str">
        <f>+GCF_2019_I_pusm!C47</f>
        <v>INVL pensijų turto išsaugojimo fondas</v>
      </c>
      <c r="D5" s="34">
        <f>+GCF_2019_I_pusm!D47</f>
        <v>0.49589041095890413</v>
      </c>
      <c r="E5" s="35">
        <f>+GCF_2019_I_pusm!E47</f>
        <v>17</v>
      </c>
      <c r="F5" s="34">
        <f>+GCF_2019_I_pusm!F47</f>
        <v>2.2393414995000001</v>
      </c>
      <c r="G5" s="36">
        <f>+GCF_2019_I_pusm!G47</f>
        <v>687</v>
      </c>
      <c r="H5" s="22"/>
      <c r="I5" s="37">
        <f>+GCF_2019_I_pusm!I47</f>
        <v>4.5199999999999907</v>
      </c>
      <c r="J5" s="37">
        <f>+GCF_2019_I_pusm!J47</f>
        <v>5.2537999999999974</v>
      </c>
      <c r="K5" s="23"/>
      <c r="L5" s="37">
        <f>+GCF_2019_I_pusm!L47</f>
        <v>2.7999657594511596</v>
      </c>
      <c r="M5" s="37">
        <f>+GCF_2019_I_pusm!M47</f>
        <v>3.4522970864891338</v>
      </c>
    </row>
    <row r="6" spans="1:16" x14ac:dyDescent="0.3">
      <c r="A6" s="33" t="str">
        <f>+GCF_2019_I_pusm!A48</f>
        <v>UAB „SEB investicijų valdymas“</v>
      </c>
      <c r="B6" s="33" t="str">
        <f>+GCF_2019_I_pusm!B48</f>
        <v>SBN-TIPF</v>
      </c>
      <c r="C6" s="33" t="str">
        <f>+GCF_2019_I_pusm!C48</f>
        <v>SEB turto išsaugojimo pensijų kaupimo fondas</v>
      </c>
      <c r="D6" s="34">
        <f>+GCF_2019_I_pusm!D48</f>
        <v>0.49589041095890413</v>
      </c>
      <c r="E6" s="35">
        <f>+GCF_2019_I_pusm!E48</f>
        <v>15</v>
      </c>
      <c r="F6" s="34">
        <f>+GCF_2019_I_pusm!F48</f>
        <v>9.4589238200000008</v>
      </c>
      <c r="G6" s="36">
        <f>+GCF_2019_I_pusm!G48</f>
        <v>4131</v>
      </c>
      <c r="H6" s="22"/>
      <c r="I6" s="37">
        <f>+GCF_2019_I_pusm!I48</f>
        <v>4.5500000000000096</v>
      </c>
      <c r="J6" s="37">
        <f>+GCF_2019_I_pusm!J48</f>
        <v>5.2921999999999914</v>
      </c>
      <c r="K6" s="23"/>
      <c r="L6" s="37">
        <f>+GCF_2019_I_pusm!L48</f>
        <v>2.4213018681869958</v>
      </c>
      <c r="M6" s="37">
        <f>+GCF_2019_I_pusm!M48</f>
        <v>2.526246274406815</v>
      </c>
    </row>
    <row r="7" spans="1:16" x14ac:dyDescent="0.3">
      <c r="A7" s="33" t="str">
        <f>+GCF_2019_I_pusm!A49</f>
        <v>UAB „Swedbank investicijų valdymas“</v>
      </c>
      <c r="B7" s="33" t="str">
        <f>+GCF_2019_I_pusm!B49</f>
        <v>SWD-TIPF</v>
      </c>
      <c r="C7" s="33" t="str">
        <f>+GCF_2019_I_pusm!C49</f>
        <v>Swedbank turto išsaugojimo pensijų fondas</v>
      </c>
      <c r="D7" s="34">
        <f>+GCF_2019_I_pusm!D49</f>
        <v>0.49589041095890413</v>
      </c>
      <c r="E7" s="35">
        <f>+GCF_2019_I_pusm!E49</f>
        <v>15</v>
      </c>
      <c r="F7" s="34">
        <f>+GCF_2019_I_pusm!F49</f>
        <v>10.962769789999999</v>
      </c>
      <c r="G7" s="36">
        <f>+GCF_2019_I_pusm!G49</f>
        <v>2673</v>
      </c>
      <c r="H7" s="22"/>
      <c r="I7" s="37">
        <f>+GCF_2019_I_pusm!I49</f>
        <v>3.180000000000005</v>
      </c>
      <c r="J7" s="37">
        <f>+GCF_2019_I_pusm!J49</f>
        <v>6.1549000000000076</v>
      </c>
      <c r="K7" s="23"/>
      <c r="L7" s="37">
        <f>+GCF_2019_I_pusm!L49</f>
        <v>2.548255716466461</v>
      </c>
      <c r="M7" s="37">
        <f>+GCF_2019_I_pusm!M49</f>
        <v>3.1351048445172545</v>
      </c>
    </row>
    <row r="8" spans="1:16" x14ac:dyDescent="0.3">
      <c r="A8" s="33" t="str">
        <f>+GCF_2019_I_pusm!A50</f>
        <v>UAGDPB „Aviva Lietuva“</v>
      </c>
      <c r="B8" s="33" t="str">
        <f>+GCF_2019_I_pusm!B50</f>
        <v>AVI-TIPF</v>
      </c>
      <c r="C8" s="33" t="str">
        <f>+GCF_2019_I_pusm!C50</f>
        <v>Aviva S turto išsaugojimo pensijų fondas</v>
      </c>
      <c r="D8" s="34">
        <f>+GCF_2019_I_pusm!D50</f>
        <v>0.49589041095890413</v>
      </c>
      <c r="E8" s="35">
        <f>+GCF_2019_I_pusm!E50</f>
        <v>10</v>
      </c>
      <c r="F8" s="34">
        <f>+GCF_2019_I_pusm!F50</f>
        <v>4.5663079500000006</v>
      </c>
      <c r="G8" s="36">
        <f>+GCF_2019_I_pusm!G50</f>
        <v>2353</v>
      </c>
      <c r="H8" s="22"/>
      <c r="I8" s="37">
        <f>+GCF_2019_I_pusm!I50</f>
        <v>3.2899999999999929</v>
      </c>
      <c r="J8" s="37">
        <f>+GCF_2019_I_pusm!J50</f>
        <v>0.38970000000000393</v>
      </c>
      <c r="K8" s="23"/>
      <c r="L8" s="37">
        <f>+GCF_2019_I_pusm!L50</f>
        <v>2.4764452275781346</v>
      </c>
      <c r="M8" s="37">
        <f>+GCF_2019_I_pusm!M50</f>
        <v>0.55776777990988102</v>
      </c>
    </row>
    <row r="9" spans="1:1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59" customFormat="1" ht="13.8" x14ac:dyDescent="0.3">
      <c r="A10" s="57" t="str">
        <f>+GCF_2019_I_pusm!A54</f>
        <v>Pastaba: praeities rezultatai negarantuoja, kad tokie patys ar panašūs rezultatai bus ir ateityje. Įtakos 2019 m. pirmojo pusmečio pensijų fondų rezultatams galėjo turėti skirtingu laiku vykdytas turto perkėlimas į tikslinės grupės ir turto išsaugojimo pensijų fondus bei skirtingas fondų dydis nagrinėjamu laikotarpiu.</v>
      </c>
      <c r="B10" s="51"/>
      <c r="C10" s="51"/>
      <c r="D10" s="58"/>
      <c r="E10" s="58"/>
      <c r="F10" s="58"/>
      <c r="G10" s="58"/>
      <c r="H10" s="58"/>
      <c r="I10" s="58"/>
      <c r="J10" s="58"/>
      <c r="K10" s="58"/>
      <c r="L10" s="58"/>
    </row>
    <row r="11" spans="1:16" s="59" customFormat="1" ht="13.8" x14ac:dyDescent="0.3">
      <c r="A11" s="51" t="str">
        <f>+GCF_2019_I_pusm!A55</f>
        <v>* Apskaitos vieneto vertės pokytis. Juo atsižvelgiama į atskaitymus nuo turto.</v>
      </c>
      <c r="B11" s="57"/>
      <c r="C11" s="57"/>
    </row>
    <row r="12" spans="1:16" s="59" customFormat="1" ht="13.8" x14ac:dyDescent="0.3">
      <c r="A12" s="57" t="str">
        <f>+GCF_2019_I_pusm!A56</f>
        <v xml:space="preserve">** Lyginamasis indeksas apibrėžiamas kaip pensijų kaupimo bendrovės pasirinktas orientacinis investicijų portfelis, atitinkantis fondo investavimo strategiją, su kurio vertės pokyčio reikšme lyginama fondo investicijų portfelio investicijų grąža. </v>
      </c>
      <c r="B12" s="57"/>
      <c r="C12" s="57"/>
    </row>
    <row r="13" spans="1:16" s="59" customFormat="1" ht="13.8" x14ac:dyDescent="0.3">
      <c r="A13" s="57" t="str">
        <f>+GCF_2019_I_pusm!A57</f>
        <v xml:space="preserve">*** Rodikliui apskaičiuoti naudoti mėnesiniai apskaitos vieneto (lyginamojo indekso) verčių pokyčiai, rezultatas perskaičiuotas į metinį.  Standartinis nuokrypis parodo, kaip intensyviai per laikotarpį svyruoja fondo investicinio vieneto vertė (lyginamojo indekso vertė). Kuo šis rodiklis didesnis, tuo didesnė rizika. </v>
      </c>
      <c r="B13" s="57"/>
      <c r="C13" s="57"/>
    </row>
    <row r="14" spans="1:16" s="59" customFormat="1" ht="13.8" x14ac:dyDescent="0.3">
      <c r="A14" s="57" t="str">
        <f>+GCF_2019_I_pusm!A58</f>
        <v>**** Svertiniam vidurkiui apskaičiuoti naudotas 2019-06-30 dienos fondų grynųjų aktyvų dydis.</v>
      </c>
      <c r="B14" s="58"/>
      <c r="C14" s="58"/>
    </row>
    <row r="15" spans="1:16" s="59" customFormat="1" ht="13.8" x14ac:dyDescent="0.3">
      <c r="A15" s="60" t="str">
        <f>+GCF_2019_I_pusm!A59</f>
        <v>***** Investicijų į akcijas dalis. Rizikingų turto klasių dalis gali būti padidinta arba sumažinta iki 10 procentinių punktų.</v>
      </c>
      <c r="B15" s="58"/>
      <c r="C15" s="58"/>
    </row>
    <row r="16" spans="1:16" s="59" customFormat="1" ht="13.8" x14ac:dyDescent="0.3">
      <c r="A16" s="60" t="str">
        <f>+GCF_2019_I_pusm!A60</f>
        <v>****** Grynieji aktyvai – pensijų fondą sudarančio turto ir įsipareigojimų verčių skirtumas.</v>
      </c>
    </row>
    <row r="17" spans="1:5" s="59" customFormat="1" ht="13.8" x14ac:dyDescent="0.3">
      <c r="A17" s="60"/>
    </row>
    <row r="18" spans="1:5" ht="16.2" x14ac:dyDescent="0.3">
      <c r="A18" s="17"/>
    </row>
    <row r="19" spans="1:5" x14ac:dyDescent="0.3">
      <c r="A19" s="38" t="str">
        <f>+'1996-2002'!A19</f>
        <v>Rizikos ir grąžos palyginimas</v>
      </c>
      <c r="B19" s="38"/>
      <c r="C19" s="38"/>
      <c r="D19" s="38"/>
      <c r="E19" s="38"/>
    </row>
    <row r="20" spans="1:5" s="59" customFormat="1" ht="13.8" x14ac:dyDescent="0.3">
      <c r="A20" s="57" t="str">
        <f>+'1996-2002'!A20</f>
        <v>Kuo pensijų fondas paveiksle vaizduojamas aukščiau, tuo jo uždirbama grąža yra didesnė. Kuo žemiau – tuo grąža mažesnė.</v>
      </c>
      <c r="B20" s="58"/>
      <c r="C20" s="58"/>
    </row>
    <row r="21" spans="1:5" s="59" customFormat="1" ht="13.8" x14ac:dyDescent="0.3">
      <c r="A21" s="57" t="str">
        <f>+'1996-2002'!A21</f>
        <v>Dešiniau pavaizduoti pensijų fondai prisiima didesnę riziką (jų vieneto vertės svyruoja daugiau). Kairiau – mažesnę (jų vieneto vertės svyruoja mažiau).</v>
      </c>
      <c r="B21" s="58"/>
      <c r="C21" s="58"/>
    </row>
    <row r="22" spans="1:5" x14ac:dyDescent="0.3">
      <c r="A22" s="18"/>
      <c r="B22" s="18"/>
      <c r="C22" s="18"/>
    </row>
    <row r="29" spans="1:5" x14ac:dyDescent="0.3">
      <c r="A29" s="38" t="s">
        <v>0</v>
      </c>
      <c r="B29" s="38" t="s">
        <v>90</v>
      </c>
      <c r="C29" s="38" t="s">
        <v>89</v>
      </c>
    </row>
    <row r="30" spans="1:5" x14ac:dyDescent="0.3">
      <c r="A30" s="33" t="str">
        <f>+B4</f>
        <v>LMN-TIPF</v>
      </c>
      <c r="B30" s="34">
        <f>+L4</f>
        <v>2.2562112950937392</v>
      </c>
      <c r="C30" s="34">
        <f>+I4</f>
        <v>4.3500000000000094</v>
      </c>
    </row>
    <row r="31" spans="1:5" x14ac:dyDescent="0.3">
      <c r="A31" s="33" t="str">
        <f>+B5</f>
        <v>INV-TIPF</v>
      </c>
      <c r="B31" s="34">
        <f>+L5</f>
        <v>2.7999657594511596</v>
      </c>
      <c r="C31" s="34">
        <f>+I5</f>
        <v>4.5199999999999907</v>
      </c>
    </row>
    <row r="32" spans="1:5" x14ac:dyDescent="0.3">
      <c r="A32" s="33" t="str">
        <f>+B6</f>
        <v>SBN-TIPF</v>
      </c>
      <c r="B32" s="34">
        <f>+L6</f>
        <v>2.4213018681869958</v>
      </c>
      <c r="C32" s="34">
        <f>+I6</f>
        <v>4.5500000000000096</v>
      </c>
    </row>
    <row r="33" spans="1:3" x14ac:dyDescent="0.3">
      <c r="A33" s="33" t="str">
        <f>+B7</f>
        <v>SWD-TIPF</v>
      </c>
      <c r="B33" s="34">
        <f>+L7</f>
        <v>2.548255716466461</v>
      </c>
      <c r="C33" s="34">
        <f>+I7</f>
        <v>3.180000000000005</v>
      </c>
    </row>
    <row r="34" spans="1:3" x14ac:dyDescent="0.3">
      <c r="A34" s="33" t="str">
        <f>+B8</f>
        <v>AVI-TIPF</v>
      </c>
      <c r="B34" s="34">
        <f>+L8</f>
        <v>2.4764452275781346</v>
      </c>
      <c r="C34" s="34">
        <f>+I8</f>
        <v>3.2899999999999929</v>
      </c>
    </row>
    <row r="51" spans="1:5" x14ac:dyDescent="0.3">
      <c r="A51" s="38" t="str">
        <f>+'1996-2002'!A51</f>
        <v>Dalyvių skaičiaus, grąžos ir fondo turto palyginimas</v>
      </c>
      <c r="B51" s="38"/>
      <c r="C51" s="38"/>
      <c r="D51" s="38"/>
      <c r="E51" s="38"/>
    </row>
    <row r="52" spans="1:5" s="59" customFormat="1" ht="13.8" x14ac:dyDescent="0.3">
      <c r="A52" s="57" t="str">
        <f>+'1996-2002'!A52</f>
        <v>Kuo pensijų fondas paveiksle pavaizduotas aukščiau, tuo jo uždirbama grąža yra didesnė. Kuo žemiau – tuo grąža mažesnė.</v>
      </c>
      <c r="B52" s="58"/>
      <c r="C52" s="58"/>
    </row>
    <row r="53" spans="1:5" s="59" customFormat="1" ht="13.8" x14ac:dyDescent="0.3">
      <c r="A53" s="57" t="str">
        <f>+'1996-2002'!A53</f>
        <v>Dešiniau pavaizduoti pensijų fondai turi daugiau dalyvių. Kairiau – mažiau.</v>
      </c>
      <c r="B53" s="58"/>
      <c r="C53" s="58"/>
    </row>
    <row r="54" spans="1:5" s="59" customFormat="1" ht="13.8" x14ac:dyDescent="0.3">
      <c r="A54" s="57" t="str">
        <f>+'1996-2002'!A54</f>
        <v>Kuo didesnis fondą vaizduojančio skritulio dydis – tuo fondas turi daugiau turto. Kuo mažesnis – mažiau.</v>
      </c>
      <c r="B54" s="58"/>
      <c r="C54" s="58"/>
    </row>
    <row r="59" spans="1:5" x14ac:dyDescent="0.3">
      <c r="A59" s="38" t="s">
        <v>0</v>
      </c>
      <c r="B59" s="38" t="s">
        <v>97</v>
      </c>
      <c r="C59" s="38" t="s">
        <v>98</v>
      </c>
      <c r="D59" s="38" t="s">
        <v>99</v>
      </c>
    </row>
    <row r="60" spans="1:5" x14ac:dyDescent="0.3">
      <c r="A60" s="33" t="str">
        <f>+B4</f>
        <v>LMN-TIPF</v>
      </c>
      <c r="B60" s="34">
        <f>+G4/1000</f>
        <v>0.88100000000000001</v>
      </c>
      <c r="C60" s="34">
        <f>+I4</f>
        <v>4.3500000000000094</v>
      </c>
      <c r="D60" s="34">
        <f>+F4</f>
        <v>1.7038520555000001</v>
      </c>
    </row>
    <row r="61" spans="1:5" x14ac:dyDescent="0.3">
      <c r="A61" s="33" t="str">
        <f>+B5</f>
        <v>INV-TIPF</v>
      </c>
      <c r="B61" s="34">
        <f>+G5/1000</f>
        <v>0.68700000000000006</v>
      </c>
      <c r="C61" s="34">
        <f>+I5</f>
        <v>4.5199999999999907</v>
      </c>
      <c r="D61" s="34">
        <f>+F5</f>
        <v>2.2393414995000001</v>
      </c>
    </row>
    <row r="62" spans="1:5" x14ac:dyDescent="0.3">
      <c r="A62" s="33" t="str">
        <f>+B6</f>
        <v>SBN-TIPF</v>
      </c>
      <c r="B62" s="34">
        <f>+G6/1000</f>
        <v>4.1310000000000002</v>
      </c>
      <c r="C62" s="34">
        <f>+I6</f>
        <v>4.5500000000000096</v>
      </c>
      <c r="D62" s="34">
        <f>+F6</f>
        <v>9.4589238200000008</v>
      </c>
    </row>
    <row r="63" spans="1:5" x14ac:dyDescent="0.3">
      <c r="A63" s="33" t="str">
        <f>+B7</f>
        <v>SWD-TIPF</v>
      </c>
      <c r="B63" s="34">
        <f>+G7/1000</f>
        <v>2.673</v>
      </c>
      <c r="C63" s="34">
        <f>+I7</f>
        <v>3.180000000000005</v>
      </c>
      <c r="D63" s="34">
        <f>+F7</f>
        <v>10.962769789999999</v>
      </c>
    </row>
    <row r="64" spans="1:5" x14ac:dyDescent="0.3">
      <c r="A64" s="33" t="str">
        <f>+B8</f>
        <v>AVI-TIPF</v>
      </c>
      <c r="B64" s="34">
        <f>+G8/1000</f>
        <v>2.3530000000000002</v>
      </c>
      <c r="C64" s="34">
        <f>+I8</f>
        <v>3.2899999999999929</v>
      </c>
      <c r="D64" s="34">
        <f>+F8</f>
        <v>4.5663079500000006</v>
      </c>
    </row>
  </sheetData>
  <mergeCells count="6">
    <mergeCell ref="L1:M1"/>
    <mergeCell ref="A3:C3"/>
    <mergeCell ref="D1:D2"/>
    <mergeCell ref="F1:F2"/>
    <mergeCell ref="G1:G2"/>
    <mergeCell ref="I1:J1"/>
  </mergeCells>
  <conditionalFormatting sqref="I4:J8">
    <cfRule type="cellIs" dxfId="3" priority="3" operator="greaterThanOrEqual">
      <formula>0</formula>
    </cfRule>
    <cfRule type="cellIs" dxfId="2" priority="4" operator="lessThan">
      <formula>0</formula>
    </cfRule>
  </conditionalFormatting>
  <conditionalFormatting sqref="L4:M8">
    <cfRule type="cellIs" dxfId="1" priority="1" operator="greaterThanOrEqual">
      <formula>0</formula>
    </cfRule>
    <cfRule type="cellIs" dxfId="0" priority="2" operator="lessThan">
      <formula>0</formula>
    </cfRule>
  </conditionalFormatting>
  <hyperlinks>
    <hyperlink ref="C1" location="GCF_2019_I_pusm!A1" display="Grįžti į pagrindinį puslapį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7D"/>
  </sheetPr>
  <dimension ref="A1:N69"/>
  <sheetViews>
    <sheetView showGridLines="0" zoomScale="70" zoomScaleNormal="70" workbookViewId="0">
      <selection activeCell="G2" sqref="G2"/>
    </sheetView>
  </sheetViews>
  <sheetFormatPr defaultRowHeight="13.8" x14ac:dyDescent="0.25"/>
  <cols>
    <col min="1" max="1" width="12.6640625" style="5" customWidth="1"/>
    <col min="2" max="2" width="15.88671875" style="5" customWidth="1"/>
    <col min="3" max="3" width="15.5546875" style="5" customWidth="1"/>
    <col min="4" max="4" width="15.33203125" style="5" customWidth="1"/>
    <col min="5" max="5" width="14.109375" style="5" customWidth="1"/>
    <col min="6" max="6" width="11.6640625" style="5" customWidth="1"/>
    <col min="7" max="16384" width="8.88671875" style="3"/>
  </cols>
  <sheetData>
    <row r="1" spans="1:14" x14ac:dyDescent="0.25">
      <c r="A1" s="75" t="s">
        <v>91</v>
      </c>
      <c r="B1" s="77" t="s">
        <v>101</v>
      </c>
      <c r="C1" s="85"/>
      <c r="D1" s="85"/>
      <c r="E1" s="85"/>
      <c r="F1" s="78"/>
      <c r="N1" s="19"/>
    </row>
    <row r="2" spans="1:14" ht="58.8" customHeight="1" x14ac:dyDescent="0.25">
      <c r="A2" s="76" t="s">
        <v>91</v>
      </c>
      <c r="B2" s="24" t="s">
        <v>129</v>
      </c>
      <c r="C2" s="24" t="s">
        <v>130</v>
      </c>
      <c r="D2" s="24" t="s">
        <v>131</v>
      </c>
      <c r="E2" s="24" t="s">
        <v>36</v>
      </c>
      <c r="F2" s="24" t="s">
        <v>37</v>
      </c>
      <c r="G2" s="62" t="s">
        <v>94</v>
      </c>
    </row>
    <row r="3" spans="1:14" x14ac:dyDescent="0.25">
      <c r="A3" s="61">
        <v>20</v>
      </c>
      <c r="B3" s="35">
        <v>98</v>
      </c>
      <c r="C3" s="35">
        <v>97</v>
      </c>
      <c r="D3" s="35">
        <v>90</v>
      </c>
      <c r="E3" s="35">
        <v>90</v>
      </c>
      <c r="F3" s="35">
        <v>90</v>
      </c>
    </row>
    <row r="4" spans="1:14" x14ac:dyDescent="0.25">
      <c r="A4" s="61">
        <v>21</v>
      </c>
      <c r="B4" s="35">
        <v>98</v>
      </c>
      <c r="C4" s="35">
        <v>97</v>
      </c>
      <c r="D4" s="35">
        <v>90</v>
      </c>
      <c r="E4" s="35">
        <v>90</v>
      </c>
      <c r="F4" s="35">
        <v>90</v>
      </c>
    </row>
    <row r="5" spans="1:14" x14ac:dyDescent="0.25">
      <c r="A5" s="61">
        <v>22</v>
      </c>
      <c r="B5" s="35">
        <v>98</v>
      </c>
      <c r="C5" s="35">
        <v>97</v>
      </c>
      <c r="D5" s="35">
        <v>90</v>
      </c>
      <c r="E5" s="35">
        <v>90</v>
      </c>
      <c r="F5" s="35">
        <v>90</v>
      </c>
    </row>
    <row r="6" spans="1:14" x14ac:dyDescent="0.25">
      <c r="A6" s="61">
        <v>23</v>
      </c>
      <c r="B6" s="35">
        <v>98</v>
      </c>
      <c r="C6" s="35">
        <v>97</v>
      </c>
      <c r="D6" s="35">
        <v>90</v>
      </c>
      <c r="E6" s="35">
        <v>90</v>
      </c>
      <c r="F6" s="35">
        <v>90</v>
      </c>
    </row>
    <row r="7" spans="1:14" x14ac:dyDescent="0.25">
      <c r="A7" s="61">
        <v>24</v>
      </c>
      <c r="B7" s="35">
        <v>98</v>
      </c>
      <c r="C7" s="35">
        <v>97</v>
      </c>
      <c r="D7" s="35">
        <v>90</v>
      </c>
      <c r="E7" s="35">
        <v>90</v>
      </c>
      <c r="F7" s="35">
        <v>90</v>
      </c>
    </row>
    <row r="8" spans="1:14" x14ac:dyDescent="0.25">
      <c r="A8" s="61">
        <v>25</v>
      </c>
      <c r="B8" s="35">
        <v>98</v>
      </c>
      <c r="C8" s="35">
        <v>97</v>
      </c>
      <c r="D8" s="35">
        <v>90</v>
      </c>
      <c r="E8" s="35">
        <v>90</v>
      </c>
      <c r="F8" s="35">
        <v>90</v>
      </c>
    </row>
    <row r="9" spans="1:14" x14ac:dyDescent="0.25">
      <c r="A9" s="61">
        <v>26</v>
      </c>
      <c r="B9" s="35">
        <v>98</v>
      </c>
      <c r="C9" s="35">
        <v>97</v>
      </c>
      <c r="D9" s="35">
        <v>90</v>
      </c>
      <c r="E9" s="35">
        <v>90</v>
      </c>
      <c r="F9" s="35">
        <v>90</v>
      </c>
    </row>
    <row r="10" spans="1:14" x14ac:dyDescent="0.25">
      <c r="A10" s="61">
        <v>27</v>
      </c>
      <c r="B10" s="35">
        <v>98</v>
      </c>
      <c r="C10" s="35">
        <v>97</v>
      </c>
      <c r="D10" s="35">
        <v>90</v>
      </c>
      <c r="E10" s="35">
        <v>90</v>
      </c>
      <c r="F10" s="35">
        <v>90</v>
      </c>
    </row>
    <row r="11" spans="1:14" x14ac:dyDescent="0.25">
      <c r="A11" s="61">
        <v>28</v>
      </c>
      <c r="B11" s="35">
        <v>98</v>
      </c>
      <c r="C11" s="35">
        <v>97</v>
      </c>
      <c r="D11" s="35">
        <v>90</v>
      </c>
      <c r="E11" s="35">
        <v>90</v>
      </c>
      <c r="F11" s="35">
        <v>90</v>
      </c>
    </row>
    <row r="12" spans="1:14" x14ac:dyDescent="0.25">
      <c r="A12" s="61">
        <v>29</v>
      </c>
      <c r="B12" s="35">
        <v>98</v>
      </c>
      <c r="C12" s="35">
        <v>97</v>
      </c>
      <c r="D12" s="35">
        <v>90</v>
      </c>
      <c r="E12" s="35">
        <v>90</v>
      </c>
      <c r="F12" s="35">
        <v>90</v>
      </c>
    </row>
    <row r="13" spans="1:14" x14ac:dyDescent="0.25">
      <c r="A13" s="61">
        <v>30</v>
      </c>
      <c r="B13" s="35">
        <v>98</v>
      </c>
      <c r="C13" s="35">
        <v>97</v>
      </c>
      <c r="D13" s="35">
        <v>90</v>
      </c>
      <c r="E13" s="35">
        <v>90</v>
      </c>
      <c r="F13" s="35">
        <v>90</v>
      </c>
    </row>
    <row r="14" spans="1:14" x14ac:dyDescent="0.25">
      <c r="A14" s="61">
        <v>31</v>
      </c>
      <c r="B14" s="35">
        <v>98</v>
      </c>
      <c r="C14" s="35">
        <v>97</v>
      </c>
      <c r="D14" s="35">
        <v>90</v>
      </c>
      <c r="E14" s="35">
        <v>90</v>
      </c>
      <c r="F14" s="35">
        <v>90</v>
      </c>
    </row>
    <row r="15" spans="1:14" x14ac:dyDescent="0.25">
      <c r="A15" s="61">
        <v>32</v>
      </c>
      <c r="B15" s="35">
        <v>98</v>
      </c>
      <c r="C15" s="35">
        <v>97</v>
      </c>
      <c r="D15" s="35">
        <v>90</v>
      </c>
      <c r="E15" s="35">
        <v>90</v>
      </c>
      <c r="F15" s="35">
        <v>90</v>
      </c>
    </row>
    <row r="16" spans="1:14" x14ac:dyDescent="0.25">
      <c r="A16" s="61">
        <v>33</v>
      </c>
      <c r="B16" s="35">
        <v>98</v>
      </c>
      <c r="C16" s="35">
        <v>97</v>
      </c>
      <c r="D16" s="35">
        <v>90</v>
      </c>
      <c r="E16" s="35">
        <v>90</v>
      </c>
      <c r="F16" s="35">
        <v>90</v>
      </c>
    </row>
    <row r="17" spans="1:6" x14ac:dyDescent="0.25">
      <c r="A17" s="61">
        <v>34</v>
      </c>
      <c r="B17" s="35">
        <v>98</v>
      </c>
      <c r="C17" s="35">
        <v>97</v>
      </c>
      <c r="D17" s="35">
        <v>90</v>
      </c>
      <c r="E17" s="35">
        <v>90</v>
      </c>
      <c r="F17" s="35">
        <v>90</v>
      </c>
    </row>
    <row r="18" spans="1:6" x14ac:dyDescent="0.25">
      <c r="A18" s="61">
        <v>35</v>
      </c>
      <c r="B18" s="35">
        <v>98</v>
      </c>
      <c r="C18" s="35">
        <v>97</v>
      </c>
      <c r="D18" s="35">
        <v>90</v>
      </c>
      <c r="E18" s="35">
        <v>90</v>
      </c>
      <c r="F18" s="35">
        <v>90</v>
      </c>
    </row>
    <row r="19" spans="1:6" x14ac:dyDescent="0.25">
      <c r="A19" s="61">
        <v>36</v>
      </c>
      <c r="B19" s="35">
        <v>98</v>
      </c>
      <c r="C19" s="35">
        <v>97</v>
      </c>
      <c r="D19" s="35">
        <v>90</v>
      </c>
      <c r="E19" s="35">
        <v>90</v>
      </c>
      <c r="F19" s="35">
        <v>90</v>
      </c>
    </row>
    <row r="20" spans="1:6" x14ac:dyDescent="0.25">
      <c r="A20" s="61">
        <v>37</v>
      </c>
      <c r="B20" s="35">
        <v>98</v>
      </c>
      <c r="C20" s="35">
        <v>97</v>
      </c>
      <c r="D20" s="35">
        <v>90</v>
      </c>
      <c r="E20" s="35">
        <v>90</v>
      </c>
      <c r="F20" s="35">
        <v>90</v>
      </c>
    </row>
    <row r="21" spans="1:6" x14ac:dyDescent="0.25">
      <c r="A21" s="61">
        <v>38</v>
      </c>
      <c r="B21" s="35">
        <v>98</v>
      </c>
      <c r="C21" s="35">
        <v>97</v>
      </c>
      <c r="D21" s="35">
        <v>90</v>
      </c>
      <c r="E21" s="35">
        <v>90</v>
      </c>
      <c r="F21" s="35">
        <v>90</v>
      </c>
    </row>
    <row r="22" spans="1:6" x14ac:dyDescent="0.25">
      <c r="A22" s="61">
        <v>39</v>
      </c>
      <c r="B22" s="35">
        <v>98</v>
      </c>
      <c r="C22" s="35">
        <v>97</v>
      </c>
      <c r="D22" s="35">
        <v>90</v>
      </c>
      <c r="E22" s="35">
        <v>90</v>
      </c>
      <c r="F22" s="35">
        <v>90</v>
      </c>
    </row>
    <row r="23" spans="1:6" x14ac:dyDescent="0.25">
      <c r="A23" s="61">
        <v>40</v>
      </c>
      <c r="B23" s="35">
        <v>98</v>
      </c>
      <c r="C23" s="35">
        <v>97</v>
      </c>
      <c r="D23" s="35">
        <v>90</v>
      </c>
      <c r="E23" s="35">
        <v>90</v>
      </c>
      <c r="F23" s="35">
        <v>90</v>
      </c>
    </row>
    <row r="24" spans="1:6" x14ac:dyDescent="0.25">
      <c r="A24" s="61">
        <v>41</v>
      </c>
      <c r="B24" s="35">
        <v>98</v>
      </c>
      <c r="C24" s="35">
        <v>97</v>
      </c>
      <c r="D24" s="35">
        <v>90</v>
      </c>
      <c r="E24" s="35">
        <v>90</v>
      </c>
      <c r="F24" s="35">
        <v>90</v>
      </c>
    </row>
    <row r="25" spans="1:6" x14ac:dyDescent="0.25">
      <c r="A25" s="61">
        <v>42</v>
      </c>
      <c r="B25" s="35">
        <v>98</v>
      </c>
      <c r="C25" s="35">
        <v>97</v>
      </c>
      <c r="D25" s="35">
        <v>90</v>
      </c>
      <c r="E25" s="35">
        <v>90</v>
      </c>
      <c r="F25" s="35">
        <v>90</v>
      </c>
    </row>
    <row r="26" spans="1:6" x14ac:dyDescent="0.25">
      <c r="A26" s="61">
        <v>43</v>
      </c>
      <c r="B26" s="35">
        <v>98</v>
      </c>
      <c r="C26" s="35">
        <v>97</v>
      </c>
      <c r="D26" s="35">
        <v>90</v>
      </c>
      <c r="E26" s="35">
        <v>90</v>
      </c>
      <c r="F26" s="35">
        <v>90</v>
      </c>
    </row>
    <row r="27" spans="1:6" x14ac:dyDescent="0.25">
      <c r="A27" s="61">
        <v>44</v>
      </c>
      <c r="B27" s="35">
        <v>98</v>
      </c>
      <c r="C27" s="35">
        <v>97</v>
      </c>
      <c r="D27" s="35">
        <v>90</v>
      </c>
      <c r="E27" s="35">
        <v>90</v>
      </c>
      <c r="F27" s="35">
        <v>90</v>
      </c>
    </row>
    <row r="28" spans="1:6" x14ac:dyDescent="0.25">
      <c r="A28" s="61">
        <v>45</v>
      </c>
      <c r="B28" s="35">
        <v>98</v>
      </c>
      <c r="C28" s="35">
        <v>97</v>
      </c>
      <c r="D28" s="35">
        <v>90</v>
      </c>
      <c r="E28" s="35">
        <v>90</v>
      </c>
      <c r="F28" s="35">
        <v>90</v>
      </c>
    </row>
    <row r="29" spans="1:6" x14ac:dyDescent="0.25">
      <c r="A29" s="61">
        <v>46</v>
      </c>
      <c r="B29" s="35">
        <v>98</v>
      </c>
      <c r="C29" s="35">
        <v>97</v>
      </c>
      <c r="D29" s="35">
        <v>90</v>
      </c>
      <c r="E29" s="35">
        <v>90</v>
      </c>
      <c r="F29" s="35">
        <v>89</v>
      </c>
    </row>
    <row r="30" spans="1:6" x14ac:dyDescent="0.25">
      <c r="A30" s="61">
        <v>47</v>
      </c>
      <c r="B30" s="35">
        <v>98</v>
      </c>
      <c r="C30" s="35">
        <v>97</v>
      </c>
      <c r="D30" s="35">
        <v>90</v>
      </c>
      <c r="E30" s="35">
        <v>90</v>
      </c>
      <c r="F30" s="35">
        <v>87</v>
      </c>
    </row>
    <row r="31" spans="1:6" x14ac:dyDescent="0.25">
      <c r="A31" s="61">
        <v>48</v>
      </c>
      <c r="B31" s="35">
        <v>92.9</v>
      </c>
      <c r="C31" s="35">
        <v>91.88</v>
      </c>
      <c r="D31" s="35">
        <v>90</v>
      </c>
      <c r="E31" s="35">
        <v>90</v>
      </c>
      <c r="F31" s="35">
        <v>83</v>
      </c>
    </row>
    <row r="32" spans="1:6" x14ac:dyDescent="0.25">
      <c r="A32" s="61">
        <v>49</v>
      </c>
      <c r="B32" s="35">
        <v>87.9</v>
      </c>
      <c r="C32" s="35">
        <v>86.77</v>
      </c>
      <c r="D32" s="35">
        <v>90</v>
      </c>
      <c r="E32" s="35">
        <v>90</v>
      </c>
      <c r="F32" s="35">
        <v>78</v>
      </c>
    </row>
    <row r="33" spans="1:6" x14ac:dyDescent="0.25">
      <c r="A33" s="61">
        <v>50</v>
      </c>
      <c r="B33" s="35">
        <v>82.899999999999991</v>
      </c>
      <c r="C33" s="35">
        <v>81.64</v>
      </c>
      <c r="D33" s="35">
        <v>85</v>
      </c>
      <c r="E33" s="35">
        <v>85</v>
      </c>
      <c r="F33" s="35">
        <v>72</v>
      </c>
    </row>
    <row r="34" spans="1:6" x14ac:dyDescent="0.25">
      <c r="A34" s="61">
        <v>51</v>
      </c>
      <c r="B34" s="35">
        <v>78</v>
      </c>
      <c r="C34" s="35">
        <v>76.530000000000015</v>
      </c>
      <c r="D34" s="35">
        <v>80</v>
      </c>
      <c r="E34" s="35">
        <v>80</v>
      </c>
      <c r="F34" s="35">
        <v>66</v>
      </c>
    </row>
    <row r="35" spans="1:6" x14ac:dyDescent="0.25">
      <c r="A35" s="61">
        <v>52</v>
      </c>
      <c r="B35" s="35">
        <v>73.099999999999994</v>
      </c>
      <c r="C35" s="35">
        <v>71.41</v>
      </c>
      <c r="D35" s="35">
        <v>75</v>
      </c>
      <c r="E35" s="35">
        <v>75</v>
      </c>
      <c r="F35" s="35">
        <v>59</v>
      </c>
    </row>
    <row r="36" spans="1:6" x14ac:dyDescent="0.25">
      <c r="A36" s="61">
        <v>53</v>
      </c>
      <c r="B36" s="35">
        <v>68.099999999999994</v>
      </c>
      <c r="C36" s="35">
        <v>66.3</v>
      </c>
      <c r="D36" s="35">
        <v>70</v>
      </c>
      <c r="E36" s="35">
        <v>70</v>
      </c>
      <c r="F36" s="35">
        <v>54</v>
      </c>
    </row>
    <row r="37" spans="1:6" x14ac:dyDescent="0.25">
      <c r="A37" s="61">
        <v>54</v>
      </c>
      <c r="B37" s="35">
        <v>63.3</v>
      </c>
      <c r="C37" s="35">
        <v>61.18</v>
      </c>
      <c r="D37" s="35">
        <v>65</v>
      </c>
      <c r="E37" s="35">
        <v>65</v>
      </c>
      <c r="F37" s="35">
        <v>48</v>
      </c>
    </row>
    <row r="38" spans="1:6" x14ac:dyDescent="0.25">
      <c r="A38" s="61">
        <v>55</v>
      </c>
      <c r="B38" s="35">
        <v>58.5</v>
      </c>
      <c r="C38" s="35">
        <v>56.06</v>
      </c>
      <c r="D38" s="35">
        <v>60</v>
      </c>
      <c r="E38" s="35">
        <v>60</v>
      </c>
      <c r="F38" s="35">
        <v>43</v>
      </c>
    </row>
    <row r="39" spans="1:6" x14ac:dyDescent="0.25">
      <c r="A39" s="61">
        <v>56</v>
      </c>
      <c r="B39" s="35">
        <v>53.800000000000004</v>
      </c>
      <c r="C39" s="35">
        <v>50.94</v>
      </c>
      <c r="D39" s="35">
        <v>55.000000000000007</v>
      </c>
      <c r="E39" s="35">
        <v>55.000000000000007</v>
      </c>
      <c r="F39" s="35">
        <v>39</v>
      </c>
    </row>
    <row r="40" spans="1:6" x14ac:dyDescent="0.25">
      <c r="A40" s="61">
        <v>57</v>
      </c>
      <c r="B40" s="35">
        <v>49.1</v>
      </c>
      <c r="C40" s="35">
        <v>45.82</v>
      </c>
      <c r="D40" s="35">
        <v>50</v>
      </c>
      <c r="E40" s="35">
        <v>50</v>
      </c>
      <c r="F40" s="35">
        <v>35</v>
      </c>
    </row>
    <row r="41" spans="1:6" x14ac:dyDescent="0.25">
      <c r="A41" s="61">
        <v>58</v>
      </c>
      <c r="B41" s="35">
        <v>44.4</v>
      </c>
      <c r="C41" s="35">
        <v>40.71</v>
      </c>
      <c r="D41" s="35">
        <v>44.999999999999993</v>
      </c>
      <c r="E41" s="35">
        <v>45</v>
      </c>
      <c r="F41" s="35">
        <v>32</v>
      </c>
    </row>
    <row r="42" spans="1:6" x14ac:dyDescent="0.25">
      <c r="A42" s="61">
        <v>59</v>
      </c>
      <c r="B42" s="35">
        <v>39.800000000000004</v>
      </c>
      <c r="C42" s="35">
        <v>35.589999999999996</v>
      </c>
      <c r="D42" s="35">
        <v>40</v>
      </c>
      <c r="E42" s="35">
        <v>40</v>
      </c>
      <c r="F42" s="35">
        <v>28.000000000000004</v>
      </c>
    </row>
    <row r="43" spans="1:6" x14ac:dyDescent="0.25">
      <c r="A43" s="61">
        <v>60</v>
      </c>
      <c r="B43" s="35">
        <v>35.299999999999997</v>
      </c>
      <c r="C43" s="35">
        <v>30.470000000000002</v>
      </c>
      <c r="D43" s="35">
        <v>35</v>
      </c>
      <c r="E43" s="35">
        <v>35</v>
      </c>
      <c r="F43" s="35">
        <v>26</v>
      </c>
    </row>
    <row r="44" spans="1:6" x14ac:dyDescent="0.25">
      <c r="A44" s="61">
        <v>61</v>
      </c>
      <c r="B44" s="35">
        <v>30.8</v>
      </c>
      <c r="C44" s="35">
        <v>25.35</v>
      </c>
      <c r="D44" s="35">
        <v>30</v>
      </c>
      <c r="E44" s="35">
        <v>30</v>
      </c>
      <c r="F44" s="35">
        <v>23</v>
      </c>
    </row>
    <row r="45" spans="1:6" x14ac:dyDescent="0.25">
      <c r="A45" s="61">
        <v>62</v>
      </c>
      <c r="B45" s="35">
        <v>26.6</v>
      </c>
      <c r="C45" s="35">
        <v>20.239999999999998</v>
      </c>
      <c r="D45" s="35">
        <v>25</v>
      </c>
      <c r="E45" s="35">
        <v>25</v>
      </c>
      <c r="F45" s="35">
        <v>21</v>
      </c>
    </row>
    <row r="46" spans="1:6" x14ac:dyDescent="0.25">
      <c r="A46" s="61">
        <v>63</v>
      </c>
      <c r="B46" s="35">
        <v>22.400000000000002</v>
      </c>
      <c r="C46" s="35">
        <v>15.120000000000001</v>
      </c>
      <c r="D46" s="35">
        <v>20</v>
      </c>
      <c r="E46" s="35">
        <v>20</v>
      </c>
      <c r="F46" s="35">
        <v>19</v>
      </c>
    </row>
    <row r="47" spans="1:6" x14ac:dyDescent="0.25">
      <c r="A47" s="61">
        <v>64</v>
      </c>
      <c r="B47" s="35">
        <v>18.5</v>
      </c>
      <c r="C47" s="35">
        <v>10</v>
      </c>
      <c r="D47" s="35">
        <v>15</v>
      </c>
      <c r="E47" s="35">
        <v>15</v>
      </c>
      <c r="F47" s="35">
        <v>17</v>
      </c>
    </row>
    <row r="48" spans="1:6" x14ac:dyDescent="0.25">
      <c r="A48" s="61">
        <v>65</v>
      </c>
      <c r="B48" s="35">
        <v>18.5</v>
      </c>
      <c r="C48" s="35">
        <v>10</v>
      </c>
      <c r="D48" s="35">
        <v>15</v>
      </c>
      <c r="E48" s="35">
        <v>10</v>
      </c>
      <c r="F48" s="35">
        <v>15</v>
      </c>
    </row>
    <row r="49" spans="1:6" x14ac:dyDescent="0.25">
      <c r="A49" s="61">
        <v>66</v>
      </c>
      <c r="B49" s="35">
        <v>18.5</v>
      </c>
      <c r="C49" s="35">
        <v>10</v>
      </c>
      <c r="D49" s="35">
        <v>15</v>
      </c>
      <c r="E49" s="35">
        <v>10</v>
      </c>
      <c r="F49" s="35">
        <v>15</v>
      </c>
    </row>
    <row r="50" spans="1:6" x14ac:dyDescent="0.25">
      <c r="A50" s="61">
        <v>67</v>
      </c>
      <c r="B50" s="35">
        <v>18.5</v>
      </c>
      <c r="C50" s="35">
        <v>10</v>
      </c>
      <c r="D50" s="35">
        <v>15</v>
      </c>
      <c r="E50" s="35">
        <v>10</v>
      </c>
      <c r="F50" s="35">
        <v>15</v>
      </c>
    </row>
    <row r="51" spans="1:6" x14ac:dyDescent="0.25">
      <c r="A51" s="61">
        <v>68</v>
      </c>
      <c r="B51" s="35">
        <v>18.5</v>
      </c>
      <c r="C51" s="35">
        <v>10</v>
      </c>
      <c r="D51" s="35">
        <v>15</v>
      </c>
      <c r="E51" s="35">
        <v>10</v>
      </c>
      <c r="F51" s="35">
        <v>15</v>
      </c>
    </row>
    <row r="52" spans="1:6" x14ac:dyDescent="0.25">
      <c r="A52" s="51" t="s">
        <v>102</v>
      </c>
      <c r="B52" s="51"/>
      <c r="C52" s="51"/>
      <c r="D52" s="51"/>
      <c r="E52" s="51"/>
      <c r="F52" s="51"/>
    </row>
    <row r="53" spans="1:6" x14ac:dyDescent="0.25">
      <c r="D53" s="4"/>
    </row>
    <row r="54" spans="1:6" x14ac:dyDescent="0.25">
      <c r="D54" s="4"/>
    </row>
    <row r="55" spans="1:6" x14ac:dyDescent="0.25">
      <c r="D55" s="4"/>
    </row>
    <row r="56" spans="1:6" x14ac:dyDescent="0.25">
      <c r="D56" s="4"/>
    </row>
    <row r="57" spans="1:6" x14ac:dyDescent="0.25">
      <c r="D57" s="4"/>
    </row>
    <row r="58" spans="1:6" x14ac:dyDescent="0.25">
      <c r="D58" s="4"/>
    </row>
    <row r="59" spans="1:6" x14ac:dyDescent="0.25">
      <c r="D59" s="4"/>
    </row>
    <row r="65" spans="3:3" x14ac:dyDescent="0.25">
      <c r="C65" s="4"/>
    </row>
    <row r="66" spans="3:3" x14ac:dyDescent="0.25">
      <c r="C66" s="4"/>
    </row>
    <row r="67" spans="3:3" x14ac:dyDescent="0.25">
      <c r="C67" s="4"/>
    </row>
    <row r="68" spans="3:3" x14ac:dyDescent="0.25">
      <c r="C68" s="4"/>
    </row>
    <row r="69" spans="3:3" x14ac:dyDescent="0.25">
      <c r="C69" s="4"/>
    </row>
  </sheetData>
  <mergeCells count="2">
    <mergeCell ref="B1:F1"/>
    <mergeCell ref="A1:A2"/>
  </mergeCells>
  <hyperlinks>
    <hyperlink ref="G2" location="GCF_2019_I_pusm!A1" display="Grįžti į pagrindinį puslapį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GCF_2019_I_pusm</vt:lpstr>
      <vt:lpstr>Likviduoti_fondai_2019_I_pusm</vt:lpstr>
      <vt:lpstr>1996-2002</vt:lpstr>
      <vt:lpstr>1989-1995</vt:lpstr>
      <vt:lpstr>1982-1988</vt:lpstr>
      <vt:lpstr>1975-1981</vt:lpstr>
      <vt:lpstr>1968-1974</vt:lpstr>
      <vt:lpstr>1961-1967</vt:lpstr>
      <vt:lpstr>1954-1960</vt:lpstr>
      <vt:lpstr>TIF</vt:lpstr>
      <vt:lpstr>Strategijų_palyginimas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2019-07-15T07:26:33Z</dcterms:modified>
</cp:coreProperties>
</file>