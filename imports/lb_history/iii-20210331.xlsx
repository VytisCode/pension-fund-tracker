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filterPrivacy="1" defaultThemeVersion="124226"/>
  <xr:revisionPtr revIDLastSave="0" documentId="13_ncr:1_{170097A0-B70F-4643-B89C-7F0B4F5BE693}" xr6:coauthVersionLast="45" xr6:coauthVersionMax="45" xr10:uidLastSave="{00000000-0000-0000-0000-000000000000}"/>
  <bookViews>
    <workbookView xWindow="-108" yWindow="-108" windowWidth="23256" windowHeight="12576" tabRatio="803" xr2:uid="{00000000-000D-0000-FFFF-FFFF00000000}"/>
  </bookViews>
  <sheets>
    <sheet name="2021-03-31" sheetId="2" r:id="rId1"/>
    <sheet name="Papildoma informacija"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<sst xmlns="http://schemas.openxmlformats.org/spreadsheetml/2006/main" count="207" uniqueCount="99">
  <si>
    <t xml:space="preserve">Pensijų kaupimo bendrovės pavadinimas
</t>
  </si>
  <si>
    <t xml:space="preserve">Fondo kodas
</t>
  </si>
  <si>
    <t xml:space="preserve">Pensijų fondo pavadinimas
</t>
  </si>
  <si>
    <t xml:space="preserve">Luminor investicijų valdymas UAB </t>
  </si>
  <si>
    <t>INVL STABILO III 58+ / INVL Stabilus</t>
  </si>
  <si>
    <t>Luminor pensija 1 plius</t>
  </si>
  <si>
    <t>Luminor pensija 2 plius</t>
  </si>
  <si>
    <t>INVL Medio III 47+</t>
  </si>
  <si>
    <t>INVL Apdairus</t>
  </si>
  <si>
    <t>Luminor pensija darbuotojui 1 plius</t>
  </si>
  <si>
    <t>Luminor pensija darbuotojui 2 plius</t>
  </si>
  <si>
    <t>Luminor pensija 3 plius</t>
  </si>
  <si>
    <t>INVL Drąsus</t>
  </si>
  <si>
    <t>INVL Extremo III 16+</t>
  </si>
  <si>
    <t>Mišraus investavimo pensijų fondai</t>
  </si>
  <si>
    <t>Akcijų pensijų fondai</t>
  </si>
  <si>
    <t>Obligacijų pensijų fondai</t>
  </si>
  <si>
    <t>Dalyvių skaičius</t>
  </si>
  <si>
    <t>S017</t>
  </si>
  <si>
    <t>S018</t>
  </si>
  <si>
    <t>S021</t>
  </si>
  <si>
    <t>S033</t>
  </si>
  <si>
    <t>S039</t>
  </si>
  <si>
    <t>S032</t>
  </si>
  <si>
    <t>S022</t>
  </si>
  <si>
    <t>S019</t>
  </si>
  <si>
    <t>S040</t>
  </si>
  <si>
    <t>S028</t>
  </si>
  <si>
    <t>S041</t>
  </si>
  <si>
    <t>S042</t>
  </si>
  <si>
    <t>FONDŲ GRĄŽA</t>
  </si>
  <si>
    <t>Grynųjų aktyvų vertė, mln.</t>
  </si>
  <si>
    <t>Pensijų kaupimo bendrovė</t>
  </si>
  <si>
    <t>Fondas</t>
  </si>
  <si>
    <r>
      <rPr>
        <b/>
        <i/>
        <u/>
        <sz val="10"/>
        <color theme="1"/>
        <rFont val="Verdana"/>
        <family val="2"/>
        <charset val="186"/>
      </rPr>
      <t xml:space="preserve">Pastaba: </t>
    </r>
    <r>
      <rPr>
        <sz val="10"/>
        <color theme="1"/>
        <rFont val="Verdana"/>
        <family val="2"/>
        <charset val="186"/>
      </rPr>
      <t>praeities rezultatai negarantuoja, kad tokie patys ar panašūs rezultatai bus ir ateityje.</t>
    </r>
  </si>
  <si>
    <t>IŠ VISO:</t>
  </si>
  <si>
    <t>UAB „INVL Asset Management“</t>
  </si>
  <si>
    <t>UAB „SEB investicijų valdymas“</t>
  </si>
  <si>
    <t>Rizikingų aktyvų dalis fonde (investicijų į akcijas dalis), proc.</t>
  </si>
  <si>
    <t>iki 8</t>
  </si>
  <si>
    <t>iki 50</t>
  </si>
  <si>
    <t>iki 25</t>
  </si>
  <si>
    <t>iki 70</t>
  </si>
  <si>
    <t>iki 100</t>
  </si>
  <si>
    <t>vidutinė metinė lyginamojo indekso grąža per praėjusius 3 metus, proc.</t>
  </si>
  <si>
    <t>vidutinė metinė lyginamojo indekso grąža per praėjusius 5 metus, proc.</t>
  </si>
  <si>
    <t>standartinis nuokrypis per praėjusius 5 metus, proc.</t>
  </si>
  <si>
    <t>standartinis nuokrypis per praėjusius 10 metų, proc.</t>
  </si>
  <si>
    <t>Grynųjų aktyvų vertė, mln. (skalė kairėje)</t>
  </si>
  <si>
    <t>Dalyvių skaičius (skalė dešinėje)</t>
  </si>
  <si>
    <t>Veiklos 
laikotarpis</t>
  </si>
  <si>
    <t>S048</t>
  </si>
  <si>
    <t>S046</t>
  </si>
  <si>
    <t>S047</t>
  </si>
  <si>
    <t>Pensijų fondas 100 (apriboto nutraukimo)</t>
  </si>
  <si>
    <t>Pensijų fondas 60 (apriboto nutraukimo)</t>
  </si>
  <si>
    <t>Pensijų fondas 30 (apriboto nutraukimo)</t>
  </si>
  <si>
    <t>UAB „Swedbank investicijų valdymas“</t>
  </si>
  <si>
    <t>-</t>
  </si>
  <si>
    <t>Swedbank Pensijų fondas 30</t>
  </si>
  <si>
    <t>Swedbank Pensijų fondas 100</t>
  </si>
  <si>
    <t>Swedbank Pensijų fondas 60</t>
  </si>
  <si>
    <t>iki 30</t>
  </si>
  <si>
    <t>iki 60</t>
  </si>
  <si>
    <t>S049</t>
  </si>
  <si>
    <t>SEB pensija 50+</t>
  </si>
  <si>
    <t>SEB pensija 18+</t>
  </si>
  <si>
    <t>SEB pensija 58+</t>
  </si>
  <si>
    <t>grąža [1] nuo metų pradžios, proc.</t>
  </si>
  <si>
    <t>[1] Apskaitos vieneto vertės pokytis. Juo atsižvelgiama į atskaitymus nuo turto, tačiau neatsižvelgiama į atskaitymus nuo įmokų, dėl to grynoji grąža yra mažesnė.</t>
  </si>
  <si>
    <t>vidutinė metinė grąža [2] per praėjusius 3 metus, proc.</t>
  </si>
  <si>
    <t>[2] Apskaičiuota remiantis apskaitos vieneto vertės pokyčiu per nurodytą laikotarpį. Vidutinė metinė grąža gauta taikant geometrinį vidurkį.</t>
  </si>
  <si>
    <t>LYGINAMOJO INDEKSO GRĄŽA [3]</t>
  </si>
  <si>
    <t xml:space="preserve">[3] Lyginamasis indeksas apibrėžiamas kaip pensijų kaupimo bendrovės pasirinktas orientacinis investicijų portfelis, atitinkantis fondo investavimo strategiją, su kurio vertės pokyčio reikšme lyginama fondo investicijų portfelio investicijų grąža. </t>
  </si>
  <si>
    <t>RIZIKOS RODIKLIAI [4]</t>
  </si>
  <si>
    <t xml:space="preserve">[4] Rodikliui apskaičiuoti naudoti mėnesiniai apskaitos vieneto verčių pokyčiai, rezultatas perskaičiuotas į metinį. Standartinis nuokrypis parodo, kaip intensyviai per laikotarpį svyruoja fondo investicinio vieneto vertė. Kuo šis rodiklis didesnis, tuo didesnė rizika. </t>
  </si>
  <si>
    <t>Svertinis vidurkis [5]:</t>
  </si>
  <si>
    <t>Grynųjų aktyvų [6] vertė, mln. Eur</t>
  </si>
  <si>
    <t>[6] Grynieji aktyvai – pensijų fondą sudarančio turto vertės ir  įsipareigojimų skirtumas.</t>
  </si>
  <si>
    <t>40-60</t>
  </si>
  <si>
    <t>vidutinė metinė grąža [2] per praėjusius 5 metus, proc.</t>
  </si>
  <si>
    <t>vidutinė metinė grąža [2] per praėjusius 10 metų, proc.</t>
  </si>
  <si>
    <t>vidutinė metinė grąža [2] per praėjusius 15 metų, proc.</t>
  </si>
  <si>
    <t>Visų pensijų fondų svertinis vidurkis [5]:</t>
  </si>
  <si>
    <t>7 m. 6 mėn.</t>
  </si>
  <si>
    <t>16 m. 4 mėn.</t>
  </si>
  <si>
    <t>16 m. 5 mėn.</t>
  </si>
  <si>
    <t>6 m. 4 mėn.</t>
  </si>
  <si>
    <t>7 m. 11 mėn.</t>
  </si>
  <si>
    <t>13 m. 6 mėn.</t>
  </si>
  <si>
    <t>1 m. 4 mėn.</t>
  </si>
  <si>
    <t>1 m. 1 mėn.</t>
  </si>
  <si>
    <t>1 m. 3 mėn.</t>
  </si>
  <si>
    <t>[5] Svertiniam vidurkiui apskaičiuoti naudotas 2021-03-31 dienos fondų grynųjų aktyvų dydis.</t>
  </si>
  <si>
    <t>BIK</t>
  </si>
  <si>
    <t>Sąlyginis 
BIK</t>
  </si>
  <si>
    <t>Tikėtinas 
sąlyginis BIK</t>
  </si>
  <si>
    <t>[7]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dalyvio investicijų grąžą (t. y. kuo šie rodikliai didesni, tuo daugiau mokesčių atskaitoma). Pažymėtina, kad skaičiuojant BIK į sandorių sudarymo ir įmokų mokesčių išlaidas neatsižvelgiama.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</si>
  <si>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Išlaidų rodikliai (2020 m.)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</si>
</sst>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 _€_-;\-* #,##0\ _€_-;_-* &quot;-&quot;??\ _€_-;_-@_-"/>
    <numFmt numFmtId="166" formatCode="0.0%"/>
  </numFmts>
  <fonts count="15" x14ac:knownFonts="1">
    <font>
      <sz val="11"/>
      <color theme="1"/>
      <name val="Calibri"/>
      <family val="2"/>
      <scheme val="minor"/>
    </font>
    <font>
      <sz val="11"/>
      <color theme="1"/>
      <name val="Calibri"/>
      <family val="2"/>
      <scheme val="minor"/>
    </font>
    <font>
      <b/>
      <sz val="10"/>
      <color theme="1"/>
      <name val="Verdana"/>
      <family val="2"/>
      <charset val="186"/>
    </font>
    <font>
      <sz val="10"/>
      <color theme="1"/>
      <name val="Verdana"/>
      <family val="2"/>
      <charset val="186"/>
    </font>
    <font>
      <b/>
      <sz val="11"/>
      <color theme="1"/>
      <name val="Verdana"/>
      <family val="2"/>
      <charset val="186"/>
    </font>
    <font>
      <b/>
      <i/>
      <u/>
      <sz val="10"/>
      <color rgb="FFFF0000"/>
      <name val="Verdana"/>
      <family val="2"/>
      <charset val="186"/>
    </font>
    <font>
      <sz val="11"/>
      <color theme="1"/>
      <name val="Verdana"/>
      <family val="2"/>
      <charset val="186"/>
    </font>
    <font>
      <b/>
      <i/>
      <u/>
      <sz val="10"/>
      <color theme="1"/>
      <name val="Verdana"/>
      <family val="2"/>
      <charset val="186"/>
    </font>
    <font>
      <b/>
      <sz val="10"/>
      <color theme="0"/>
      <name val="Verdana"/>
      <family val="2"/>
      <charset val="186"/>
    </font>
    <font>
      <sz val="10"/>
      <color theme="0"/>
      <name val="Verdana"/>
      <family val="2"/>
      <charset val="186"/>
    </font>
    <font>
      <b/>
      <sz val="10"/>
      <name val="Verdana"/>
      <family val="2"/>
      <charset val="186"/>
    </font>
    <font>
      <sz val="10"/>
      <name val="Verdana"/>
      <family val="2"/>
      <charset val="186"/>
    </font>
    <font>
      <b/>
      <sz val="10"/>
      <color theme="0"/>
      <name val="Verdana"/>
      <family val="2"/>
    </font>
    <font>
      <sz val="10"/>
      <color rgb="FFC00000"/>
      <name val="Verdana"/>
      <family val="2"/>
      <charset val="186"/>
    </font>
    <font>
      <sz val="10"/>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7">
    <border>
      <left/>
      <right/>
      <top/>
      <bottom/>
      <diagonal/>
    </border>
    <border>
      <left style="thin">
        <color theme="0"/>
      </left>
      <right style="thin">
        <color theme="0"/>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78">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center" vertical="center"/>
    </xf>
    <xf numFmtId="2" fontId="3" fillId="0" borderId="0" xfId="0" applyNumberFormat="1" applyFont="1" applyBorder="1" applyAlignment="1">
      <alignment horizontal="center" vertical="center" wrapText="1"/>
    </xf>
    <xf numFmtId="0" fontId="3" fillId="0" borderId="0" xfId="0" applyFont="1" applyFill="1" applyAlignment="1">
      <alignment vertical="center" wrapText="1"/>
    </xf>
    <xf numFmtId="0" fontId="3" fillId="0" borderId="0" xfId="0" applyFont="1" applyFill="1" applyAlignment="1">
      <alignment wrapText="1"/>
    </xf>
    <xf numFmtId="2" fontId="3" fillId="0" borderId="0" xfId="0" applyNumberFormat="1" applyFont="1" applyBorder="1" applyAlignment="1">
      <alignment horizontal="center" vertical="center"/>
    </xf>
    <xf numFmtId="9" fontId="3" fillId="0" borderId="0" xfId="2" applyFont="1" applyBorder="1" applyAlignment="1">
      <alignment horizontal="center" vertical="center"/>
    </xf>
    <xf numFmtId="0" fontId="3" fillId="0" borderId="0" xfId="0" applyFont="1" applyBorder="1" applyAlignment="1">
      <alignment horizontal="center" vertical="center"/>
    </xf>
    <xf numFmtId="0" fontId="0" fillId="0" borderId="0" xfId="0" applyFill="1"/>
    <xf numFmtId="0" fontId="6" fillId="0" borderId="0" xfId="0" applyFont="1" applyFill="1" applyAlignment="1"/>
    <xf numFmtId="9" fontId="6" fillId="0" borderId="0" xfId="2" applyFont="1" applyFill="1" applyAlignment="1">
      <alignment horizontal="center"/>
    </xf>
    <xf numFmtId="0" fontId="4" fillId="0" borderId="0" xfId="0" applyFont="1" applyFill="1" applyAlignment="1">
      <alignment horizontal="right"/>
    </xf>
    <xf numFmtId="2" fontId="4" fillId="0" borderId="0" xfId="0" applyNumberFormat="1" applyFont="1" applyFill="1" applyAlignment="1">
      <alignment wrapText="1"/>
    </xf>
    <xf numFmtId="0" fontId="6" fillId="0" borderId="0" xfId="0" applyFont="1" applyFill="1" applyAlignment="1">
      <alignment wrapText="1"/>
    </xf>
    <xf numFmtId="2" fontId="0" fillId="0" borderId="0" xfId="0" applyNumberFormat="1" applyFill="1"/>
    <xf numFmtId="0" fontId="3" fillId="0" borderId="0" xfId="0" applyFont="1" applyAlignment="1"/>
    <xf numFmtId="0" fontId="3" fillId="0" borderId="0" xfId="0" applyFont="1" applyFill="1" applyAlignment="1">
      <alignment vertical="center"/>
    </xf>
    <xf numFmtId="0" fontId="3" fillId="0" borderId="1" xfId="0" applyFont="1" applyBorder="1" applyAlignment="1">
      <alignment wrapText="1"/>
    </xf>
    <xf numFmtId="0" fontId="5" fillId="0" borderId="1" xfId="0" applyFont="1" applyBorder="1" applyAlignment="1">
      <alignment wrapText="1"/>
    </xf>
    <xf numFmtId="0" fontId="5" fillId="0" borderId="1" xfId="0" applyFont="1" applyBorder="1" applyAlignment="1">
      <alignment horizontal="left" vertical="center"/>
    </xf>
    <xf numFmtId="0" fontId="3" fillId="0" borderId="1" xfId="0" applyFont="1" applyBorder="1"/>
    <xf numFmtId="0" fontId="8" fillId="3" borderId="1" xfId="0" applyFont="1" applyFill="1" applyBorder="1" applyAlignment="1">
      <alignment horizontal="left" wrapText="1"/>
    </xf>
    <xf numFmtId="0" fontId="8" fillId="3" borderId="1" xfId="0" applyFont="1" applyFill="1" applyBorder="1" applyAlignment="1">
      <alignment horizontal="center" vertical="center" wrapText="1"/>
    </xf>
    <xf numFmtId="165" fontId="8" fillId="3" borderId="1" xfId="1" applyNumberFormat="1" applyFont="1" applyFill="1" applyBorder="1" applyAlignment="1">
      <alignment horizontal="center" vertical="center" wrapText="1"/>
    </xf>
    <xf numFmtId="0" fontId="2" fillId="0" borderId="0" xfId="0" applyFont="1" applyFill="1" applyAlignment="1">
      <alignment wrapText="1"/>
    </xf>
    <xf numFmtId="0" fontId="3" fillId="0" borderId="0" xfId="0" applyFont="1" applyFill="1" applyAlignment="1"/>
    <xf numFmtId="9" fontId="3" fillId="0" borderId="0" xfId="2" applyFont="1" applyFill="1" applyAlignment="1">
      <alignment horizontal="center"/>
    </xf>
    <xf numFmtId="2" fontId="2" fillId="0" borderId="0" xfId="0" applyNumberFormat="1" applyFont="1" applyFill="1" applyAlignment="1">
      <alignment wrapText="1"/>
    </xf>
    <xf numFmtId="0" fontId="3" fillId="0" borderId="2" xfId="0" applyFont="1" applyFill="1" applyBorder="1" applyAlignment="1">
      <alignment wrapText="1"/>
    </xf>
    <xf numFmtId="2" fontId="3" fillId="0" borderId="2" xfId="0" applyNumberFormat="1" applyFont="1" applyFill="1" applyBorder="1" applyAlignment="1">
      <alignment horizontal="center" vertical="center"/>
    </xf>
    <xf numFmtId="0" fontId="3" fillId="0" borderId="2" xfId="2" applyNumberFormat="1" applyFont="1" applyFill="1" applyBorder="1" applyAlignment="1">
      <alignment horizontal="center" vertical="center"/>
    </xf>
    <xf numFmtId="165" fontId="3" fillId="0" borderId="2" xfId="1" applyNumberFormat="1" applyFont="1" applyFill="1" applyBorder="1" applyAlignment="1">
      <alignment horizontal="center" vertical="center"/>
    </xf>
    <xf numFmtId="0" fontId="3" fillId="0" borderId="0" xfId="0" applyFont="1" applyFill="1" applyAlignment="1">
      <alignment horizontal="center" vertical="center"/>
    </xf>
    <xf numFmtId="2" fontId="3" fillId="0" borderId="2" xfId="0" applyNumberFormat="1" applyFont="1" applyFill="1" applyBorder="1" applyAlignment="1">
      <alignment horizontal="center" vertical="center" wrapText="1"/>
    </xf>
    <xf numFmtId="2" fontId="3" fillId="0" borderId="0" xfId="0" applyNumberFormat="1" applyFont="1" applyFill="1" applyBorder="1" applyAlignment="1">
      <alignment horizontal="center" vertical="center"/>
    </xf>
    <xf numFmtId="0" fontId="3" fillId="0" borderId="0" xfId="2" applyNumberFormat="1" applyFont="1" applyFill="1" applyBorder="1" applyAlignment="1">
      <alignment horizontal="center" vertical="center"/>
    </xf>
    <xf numFmtId="0" fontId="3" fillId="0" borderId="0" xfId="0" applyFont="1" applyFill="1" applyBorder="1" applyAlignment="1">
      <alignment horizontal="center" vertical="center"/>
    </xf>
    <xf numFmtId="2" fontId="3" fillId="0" borderId="0" xfId="0" applyNumberFormat="1" applyFont="1" applyFill="1" applyBorder="1" applyAlignment="1">
      <alignment horizontal="center" vertical="center" wrapText="1"/>
    </xf>
    <xf numFmtId="0" fontId="2" fillId="0" borderId="0" xfId="0" applyFont="1" applyFill="1" applyAlignment="1"/>
    <xf numFmtId="0" fontId="3" fillId="0" borderId="0" xfId="2" applyNumberFormat="1" applyFont="1" applyFill="1" applyAlignment="1">
      <alignment horizontal="center"/>
    </xf>
    <xf numFmtId="2" fontId="3" fillId="0" borderId="0" xfId="0" applyNumberFormat="1" applyFont="1" applyFill="1" applyAlignment="1">
      <alignment horizontal="center"/>
    </xf>
    <xf numFmtId="0" fontId="3" fillId="0" borderId="0" xfId="0" applyFont="1" applyFill="1" applyAlignment="1">
      <alignment horizontal="center"/>
    </xf>
    <xf numFmtId="2" fontId="3" fillId="0" borderId="0" xfId="0" applyNumberFormat="1" applyFont="1" applyFill="1" applyAlignment="1">
      <alignment horizontal="center" wrapText="1"/>
    </xf>
    <xf numFmtId="0" fontId="8" fillId="3" borderId="0" xfId="0" applyFont="1" applyFill="1" applyAlignment="1">
      <alignment vertical="center"/>
    </xf>
    <xf numFmtId="9" fontId="8" fillId="3" borderId="0" xfId="2" applyFont="1" applyFill="1" applyBorder="1" applyAlignment="1">
      <alignment vertical="center"/>
    </xf>
    <xf numFmtId="0" fontId="9" fillId="3" borderId="0" xfId="0" applyFont="1" applyFill="1" applyAlignment="1">
      <alignment vertical="center"/>
    </xf>
    <xf numFmtId="0" fontId="8" fillId="3" borderId="0" xfId="0" applyFont="1" applyFill="1" applyAlignment="1">
      <alignment horizontal="right" vertical="center"/>
    </xf>
    <xf numFmtId="2" fontId="8" fillId="3" borderId="0" xfId="0" applyNumberFormat="1" applyFont="1" applyFill="1" applyAlignment="1">
      <alignment vertical="center" wrapText="1"/>
    </xf>
    <xf numFmtId="0" fontId="9" fillId="3" borderId="0" xfId="0" applyFont="1" applyFill="1" applyAlignment="1">
      <alignment vertical="center" wrapText="1"/>
    </xf>
    <xf numFmtId="0" fontId="10" fillId="0" borderId="0" xfId="0" applyFont="1" applyFill="1" applyAlignment="1">
      <alignment horizontal="right"/>
    </xf>
    <xf numFmtId="0" fontId="11" fillId="0" borderId="0" xfId="0" applyFont="1" applyFill="1" applyBorder="1" applyAlignment="1">
      <alignment horizontal="center" vertical="center"/>
    </xf>
    <xf numFmtId="2" fontId="3" fillId="0" borderId="2" xfId="0" applyNumberFormat="1" applyFont="1" applyFill="1" applyBorder="1" applyAlignment="1">
      <alignment wrapText="1"/>
    </xf>
    <xf numFmtId="165" fontId="3" fillId="0" borderId="2" xfId="1" applyNumberFormat="1" applyFont="1" applyFill="1" applyBorder="1" applyAlignment="1">
      <alignment wrapText="1"/>
    </xf>
    <xf numFmtId="2" fontId="8" fillId="3" borderId="1" xfId="0" applyNumberFormat="1" applyFont="1" applyFill="1" applyBorder="1" applyAlignment="1">
      <alignment horizontal="right" wrapText="1"/>
    </xf>
    <xf numFmtId="165" fontId="8" fillId="3" borderId="1" xfId="1" applyNumberFormat="1" applyFont="1" applyFill="1" applyBorder="1" applyAlignment="1">
      <alignment horizontal="left" wrapText="1"/>
    </xf>
    <xf numFmtId="0" fontId="12" fillId="3" borderId="1" xfId="0" applyFont="1" applyFill="1" applyBorder="1" applyAlignment="1">
      <alignment horizontal="right" wrapText="1"/>
    </xf>
    <xf numFmtId="14" fontId="3" fillId="0" borderId="2" xfId="0" applyNumberFormat="1" applyFont="1" applyFill="1" applyBorder="1" applyAlignment="1">
      <alignment wrapText="1"/>
    </xf>
    <xf numFmtId="165" fontId="8" fillId="3" borderId="1" xfId="1" applyNumberFormat="1" applyFont="1" applyFill="1" applyBorder="1" applyAlignment="1">
      <alignment horizontal="center" vertical="center" wrapText="1"/>
    </xf>
    <xf numFmtId="2" fontId="3" fillId="0" borderId="0" xfId="0" applyNumberFormat="1" applyFont="1" applyFill="1" applyAlignment="1">
      <alignment wrapText="1"/>
    </xf>
    <xf numFmtId="166" fontId="4" fillId="0" borderId="0" xfId="2" applyNumberFormat="1" applyFont="1" applyFill="1" applyAlignment="1">
      <alignment wrapText="1"/>
    </xf>
    <xf numFmtId="165" fontId="3" fillId="0" borderId="0" xfId="1" applyNumberFormat="1" applyFont="1" applyFill="1" applyAlignment="1">
      <alignment wrapText="1"/>
    </xf>
    <xf numFmtId="14" fontId="14" fillId="2" borderId="1" xfId="0" applyNumberFormat="1" applyFont="1" applyFill="1" applyBorder="1" applyAlignment="1">
      <alignment horizontal="left" wrapText="1"/>
    </xf>
    <xf numFmtId="2" fontId="11" fillId="0" borderId="2" xfId="0" applyNumberFormat="1" applyFont="1" applyFill="1" applyBorder="1" applyAlignment="1">
      <alignment horizontal="left" vertical="center"/>
    </xf>
    <xf numFmtId="2" fontId="11" fillId="0" borderId="0" xfId="0" applyNumberFormat="1" applyFont="1" applyFill="1" applyBorder="1" applyAlignment="1">
      <alignment horizontal="left" vertical="center"/>
    </xf>
    <xf numFmtId="0" fontId="11" fillId="0" borderId="0" xfId="0" applyNumberFormat="1" applyFont="1" applyFill="1" applyAlignment="1">
      <alignment horizontal="left"/>
    </xf>
    <xf numFmtId="2" fontId="11" fillId="0" borderId="0" xfId="0" applyNumberFormat="1" applyFont="1" applyFill="1" applyAlignment="1">
      <alignment horizontal="left"/>
    </xf>
    <xf numFmtId="2" fontId="13" fillId="0" borderId="2" xfId="0" applyNumberFormat="1" applyFont="1" applyFill="1" applyBorder="1" applyAlignment="1">
      <alignment horizontal="center" vertical="center" wrapText="1"/>
    </xf>
    <xf numFmtId="0" fontId="11" fillId="0" borderId="0" xfId="0" applyFont="1" applyAlignment="1"/>
    <xf numFmtId="165" fontId="8" fillId="3" borderId="1" xfId="1" applyNumberFormat="1" applyFont="1" applyFill="1" applyBorder="1" applyAlignment="1">
      <alignment horizontal="center" vertical="center" wrapText="1"/>
    </xf>
    <xf numFmtId="165" fontId="8" fillId="3" borderId="3" xfId="1" applyNumberFormat="1" applyFont="1" applyFill="1" applyBorder="1" applyAlignment="1">
      <alignment horizontal="center" vertical="center" wrapText="1"/>
    </xf>
    <xf numFmtId="165" fontId="8" fillId="3" borderId="4" xfId="1" applyNumberFormat="1" applyFont="1" applyFill="1" applyBorder="1" applyAlignment="1">
      <alignment horizontal="center" vertical="center" wrapText="1"/>
    </xf>
    <xf numFmtId="165" fontId="8" fillId="3" borderId="5" xfId="1" applyNumberFormat="1" applyFont="1" applyFill="1" applyBorder="1" applyAlignment="1">
      <alignment horizontal="center" vertical="center" wrapText="1"/>
    </xf>
    <xf numFmtId="165" fontId="8" fillId="3" borderId="6" xfId="1" applyNumberFormat="1" applyFont="1" applyFill="1" applyBorder="1" applyAlignment="1">
      <alignment horizontal="center" vertical="center" wrapText="1"/>
    </xf>
    <xf numFmtId="165" fontId="8" fillId="3" borderId="0" xfId="1" applyNumberFormat="1"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0" xfId="0" applyFont="1" applyFill="1" applyAlignment="1">
      <alignment horizontal="center" vertical="center" wrapText="1"/>
    </xf>
  </cellXfs>
  <cellStyles count="3">
    <cellStyle name="Comma" xfId="1" builtinId="3"/>
    <cellStyle name="Normal" xfId="0" builtinId="0"/>
    <cellStyle name="Percent" xfId="2" builtinId="5"/>
  </cellStyles>
  <dxfs count="92">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s>
  <tableStyles count="0" defaultTableStyle="TableStyleMedium2" defaultPivotStyle="PivotStyleMedium9"/>
  <colors>
    <mruColors>
      <color rgb="FFE31C48"/>
      <color rgb="FF99FFCC"/>
      <color rgb="FF903F98"/>
      <color rgb="FFFCAF17"/>
      <color rgb="FF00B07D"/>
      <color rgb="FF009900"/>
      <color rgb="FF9C5BCD"/>
      <color rgb="FF99FF99"/>
      <color rgb="FFC9FFC9"/>
      <color rgb="FFFFFF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lt-LT"/>
              <a:t>Grynųjų aktyvų vertė</a:t>
            </a:r>
          </a:p>
        </c:rich>
      </c:tx>
      <c:overlay val="0"/>
    </c:title>
    <c:autoTitleDeleted val="0"/>
    <c:plotArea>
      <c:layout>
        <c:manualLayout>
          <c:layoutTarget val="inner"/>
          <c:xMode val="edge"/>
          <c:yMode val="edge"/>
          <c:x val="0.31098320867590407"/>
          <c:y val="0.26282418414001013"/>
          <c:w val="0.32982964070404208"/>
          <c:h val="0.66015875099340715"/>
        </c:manualLayout>
      </c:layout>
      <c:pieChart>
        <c:varyColors val="1"/>
        <c:ser>
          <c:idx val="0"/>
          <c:order val="0"/>
          <c:tx>
            <c:strRef>
              <c:f>'Papildoma informacija'!$B$1</c:f>
              <c:strCache>
                <c:ptCount val="1"/>
                <c:pt idx="0">
                  <c:v>Grynųjų aktyvų vertė, mln.</c:v>
                </c:pt>
              </c:strCache>
            </c:strRef>
          </c:tx>
          <c:dPt>
            <c:idx val="0"/>
            <c:bubble3D val="0"/>
            <c:spPr>
              <a:solidFill>
                <a:srgbClr val="903F98"/>
              </a:solidFill>
            </c:spPr>
            <c:extLst>
              <c:ext xmlns:c16="http://schemas.microsoft.com/office/drawing/2014/chart" uri="{C3380CC4-5D6E-409C-BE32-E72D297353CC}">
                <c16:uniqueId val="{00000001-6445-422D-8956-308635099803}"/>
              </c:ext>
            </c:extLst>
          </c:dPt>
          <c:dPt>
            <c:idx val="1"/>
            <c:bubble3D val="0"/>
            <c:spPr>
              <a:solidFill>
                <a:srgbClr val="FCAF17"/>
              </a:solidFill>
            </c:spPr>
            <c:extLst>
              <c:ext xmlns:c16="http://schemas.microsoft.com/office/drawing/2014/chart" uri="{C3380CC4-5D6E-409C-BE32-E72D297353CC}">
                <c16:uniqueId val="{00000003-6445-422D-8956-308635099803}"/>
              </c:ext>
            </c:extLst>
          </c:dPt>
          <c:dPt>
            <c:idx val="2"/>
            <c:bubble3D val="0"/>
            <c:spPr>
              <a:solidFill>
                <a:srgbClr val="00B07D"/>
              </a:solidFill>
            </c:spPr>
            <c:extLst>
              <c:ext xmlns:c16="http://schemas.microsoft.com/office/drawing/2014/chart" uri="{C3380CC4-5D6E-409C-BE32-E72D297353CC}">
                <c16:uniqueId val="{00000005-6445-422D-8956-308635099803}"/>
              </c:ext>
            </c:extLst>
          </c:dPt>
          <c:dPt>
            <c:idx val="3"/>
            <c:bubble3D val="0"/>
            <c:spPr>
              <a:solidFill>
                <a:srgbClr val="E31C48"/>
              </a:solidFill>
            </c:spPr>
            <c:extLst>
              <c:ext xmlns:c16="http://schemas.microsoft.com/office/drawing/2014/chart" uri="{C3380CC4-5D6E-409C-BE32-E72D297353CC}">
                <c16:uniqueId val="{00000007-6445-422D-8956-308635099803}"/>
              </c:ext>
            </c:extLst>
          </c:dPt>
          <c:dLbls>
            <c:dLbl>
              <c:idx val="0"/>
              <c:layout>
                <c:manualLayout>
                  <c:x val="2.5086824409098384E-2"/>
                  <c:y val="0.2750793354016741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45-422D-8956-308635099803}"/>
                </c:ext>
              </c:extLst>
            </c:dLbl>
            <c:dLbl>
              <c:idx val="1"/>
              <c:layout>
                <c:manualLayout>
                  <c:x val="-7.1910432213700859E-2"/>
                  <c:y val="-5.75464965174301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45-422D-8956-308635099803}"/>
                </c:ext>
              </c:extLst>
            </c:dLbl>
            <c:dLbl>
              <c:idx val="2"/>
              <c:layout>
                <c:manualLayout>
                  <c:x val="-0.10494619422572178"/>
                  <c:y val="0.1320290172061825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445-422D-8956-308635099803}"/>
                </c:ext>
              </c:extLst>
            </c:dLbl>
            <c:dLbl>
              <c:idx val="3"/>
              <c:layout>
                <c:manualLayout>
                  <c:x val="0.29153707143956653"/>
                  <c:y val="0.172862333505390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445-422D-8956-308635099803}"/>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strRef>
              <c:f>'Papildoma informacija'!$A$2:$A$5</c:f>
              <c:strCache>
                <c:ptCount val="4"/>
                <c:pt idx="0">
                  <c:v>Luminor investicijų valdymas UAB </c:v>
                </c:pt>
                <c:pt idx="1">
                  <c:v>UAB „INVL Asset Management“</c:v>
                </c:pt>
                <c:pt idx="2">
                  <c:v>UAB „SEB investicijų valdymas“</c:v>
                </c:pt>
                <c:pt idx="3">
                  <c:v>UAB „Swedbank investicijų valdymas“</c:v>
                </c:pt>
              </c:strCache>
            </c:strRef>
          </c:cat>
          <c:val>
            <c:numRef>
              <c:f>'Papildoma informacija'!$B$2:$B$5</c:f>
              <c:numCache>
                <c:formatCode>0.00</c:formatCode>
                <c:ptCount val="4"/>
                <c:pt idx="0">
                  <c:v>71.71091100000001</c:v>
                </c:pt>
                <c:pt idx="1">
                  <c:v>61.663682999999999</c:v>
                </c:pt>
                <c:pt idx="2">
                  <c:v>45.914781000000005</c:v>
                </c:pt>
                <c:pt idx="3">
                  <c:v>2.2933370000000002</c:v>
                </c:pt>
              </c:numCache>
            </c:numRef>
          </c:val>
          <c:extLst>
            <c:ext xmlns:c16="http://schemas.microsoft.com/office/drawing/2014/chart" uri="{C3380CC4-5D6E-409C-BE32-E72D297353CC}">
              <c16:uniqueId val="{00000008-6445-422D-8956-308635099803}"/>
            </c:ext>
          </c:extLst>
        </c:ser>
        <c:dLbls>
          <c:showLegendKey val="0"/>
          <c:showVal val="0"/>
          <c:showCatName val="1"/>
          <c:showSerName val="0"/>
          <c:showPercent val="1"/>
          <c:showBubbleSize val="0"/>
          <c:showLeaderLines val="1"/>
        </c:dLbls>
        <c:firstSliceAng val="0"/>
      </c:pieChart>
    </c:plotArea>
    <c:plotVisOnly val="1"/>
    <c:dispBlanksAs val="gap"/>
    <c:showDLblsOverMax val="0"/>
  </c:chart>
  <c:txPr>
    <a:bodyPr/>
    <a:lstStyle/>
    <a:p>
      <a:pPr>
        <a:defRPr sz="8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pieChart>
        <c:varyColors val="1"/>
        <c:ser>
          <c:idx val="0"/>
          <c:order val="0"/>
          <c:tx>
            <c:strRef>
              <c:f>'Papildoma informacija'!$C$1</c:f>
              <c:strCache>
                <c:ptCount val="1"/>
                <c:pt idx="0">
                  <c:v>Dalyvių skaičius</c:v>
                </c:pt>
              </c:strCache>
            </c:strRef>
          </c:tx>
          <c:dPt>
            <c:idx val="0"/>
            <c:bubble3D val="0"/>
            <c:spPr>
              <a:solidFill>
                <a:srgbClr val="903F98"/>
              </a:solidFill>
            </c:spPr>
            <c:extLst>
              <c:ext xmlns:c16="http://schemas.microsoft.com/office/drawing/2014/chart" uri="{C3380CC4-5D6E-409C-BE32-E72D297353CC}">
                <c16:uniqueId val="{00000001-1FCA-4E76-AC12-275B74A39CDD}"/>
              </c:ext>
            </c:extLst>
          </c:dPt>
          <c:dPt>
            <c:idx val="1"/>
            <c:bubble3D val="0"/>
            <c:spPr>
              <a:solidFill>
                <a:srgbClr val="FCAF17"/>
              </a:solidFill>
            </c:spPr>
            <c:extLst>
              <c:ext xmlns:c16="http://schemas.microsoft.com/office/drawing/2014/chart" uri="{C3380CC4-5D6E-409C-BE32-E72D297353CC}">
                <c16:uniqueId val="{00000003-1FCA-4E76-AC12-275B74A39CDD}"/>
              </c:ext>
            </c:extLst>
          </c:dPt>
          <c:dPt>
            <c:idx val="2"/>
            <c:bubble3D val="0"/>
            <c:spPr>
              <a:solidFill>
                <a:srgbClr val="00B07D"/>
              </a:solidFill>
            </c:spPr>
            <c:extLst>
              <c:ext xmlns:c16="http://schemas.microsoft.com/office/drawing/2014/chart" uri="{C3380CC4-5D6E-409C-BE32-E72D297353CC}">
                <c16:uniqueId val="{00000005-1FCA-4E76-AC12-275B74A39CDD}"/>
              </c:ext>
            </c:extLst>
          </c:dPt>
          <c:dPt>
            <c:idx val="3"/>
            <c:bubble3D val="0"/>
            <c:spPr>
              <a:solidFill>
                <a:srgbClr val="E31C48"/>
              </a:solidFill>
            </c:spPr>
            <c:extLst>
              <c:ext xmlns:c16="http://schemas.microsoft.com/office/drawing/2014/chart" uri="{C3380CC4-5D6E-409C-BE32-E72D297353CC}">
                <c16:uniqueId val="{00000007-1FCA-4E76-AC12-275B74A39CDD}"/>
              </c:ext>
            </c:extLst>
          </c:dPt>
          <c:dLbls>
            <c:dLbl>
              <c:idx val="0"/>
              <c:layout>
                <c:manualLayout>
                  <c:x val="4.4786222745033778E-2"/>
                  <c:y val="5.01720276851438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CA-4E76-AC12-275B74A39CDD}"/>
                </c:ext>
              </c:extLst>
            </c:dLbl>
            <c:dLbl>
              <c:idx val="1"/>
              <c:layout>
                <c:manualLayout>
                  <c:x val="-3.1750218722659665E-2"/>
                  <c:y val="0.125576698745990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FCA-4E76-AC12-275B74A39CDD}"/>
                </c:ext>
              </c:extLst>
            </c:dLbl>
            <c:dLbl>
              <c:idx val="2"/>
              <c:layout>
                <c:manualLayout>
                  <c:x val="-0.13080008748906385"/>
                  <c:y val="0.170568314377369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FCA-4E76-AC12-275B74A39CDD}"/>
                </c:ext>
              </c:extLst>
            </c:dLbl>
            <c:dLbl>
              <c:idx val="3"/>
              <c:layout>
                <c:manualLayout>
                  <c:x val="0.32730722299278403"/>
                  <c:y val="8.7282639266297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FCA-4E76-AC12-275B74A39CDD}"/>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strRef>
              <c:f>'Papildoma informacija'!$A$2:$A$5</c:f>
              <c:strCache>
                <c:ptCount val="4"/>
                <c:pt idx="0">
                  <c:v>Luminor investicijų valdymas UAB </c:v>
                </c:pt>
                <c:pt idx="1">
                  <c:v>UAB „INVL Asset Management“</c:v>
                </c:pt>
                <c:pt idx="2">
                  <c:v>UAB „SEB investicijų valdymas“</c:v>
                </c:pt>
                <c:pt idx="3">
                  <c:v>UAB „Swedbank investicijų valdymas“</c:v>
                </c:pt>
              </c:strCache>
            </c:strRef>
          </c:cat>
          <c:val>
            <c:numRef>
              <c:f>'Papildoma informacija'!$C$2:$C$5</c:f>
              <c:numCache>
                <c:formatCode>_-* #\ ##0\ _€_-;\-* #\ ##0\ _€_-;_-* "-"??\ _€_-;_-@_-</c:formatCode>
                <c:ptCount val="4"/>
                <c:pt idx="0">
                  <c:v>38804</c:v>
                </c:pt>
                <c:pt idx="1">
                  <c:v>23464</c:v>
                </c:pt>
                <c:pt idx="2">
                  <c:v>13138</c:v>
                </c:pt>
                <c:pt idx="3">
                  <c:v>1191</c:v>
                </c:pt>
              </c:numCache>
            </c:numRef>
          </c:val>
          <c:extLst>
            <c:ext xmlns:c16="http://schemas.microsoft.com/office/drawing/2014/chart" uri="{C3380CC4-5D6E-409C-BE32-E72D297353CC}">
              <c16:uniqueId val="{00000008-1FCA-4E76-AC12-275B74A39CDD}"/>
            </c:ext>
          </c:extLst>
        </c:ser>
        <c:dLbls>
          <c:showLegendKey val="0"/>
          <c:showVal val="0"/>
          <c:showCatName val="1"/>
          <c:showSerName val="0"/>
          <c:showPercent val="1"/>
          <c:showBubbleSize val="0"/>
          <c:showLeaderLines val="1"/>
        </c:dLbls>
        <c:firstSliceAng val="0"/>
      </c:pieChart>
    </c:plotArea>
    <c:plotVisOnly val="1"/>
    <c:dispBlanksAs val="gap"/>
    <c:showDLblsOverMax val="0"/>
  </c:chart>
  <c:txPr>
    <a:bodyPr/>
    <a:lstStyle/>
    <a:p>
      <a:pPr>
        <a:defRPr sz="8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lt-LT"/>
              <a:t>Grynųjų aktyvų vertė ir dalyvių skaičius</a:t>
            </a:r>
          </a:p>
        </c:rich>
      </c:tx>
      <c:layout>
        <c:manualLayout>
          <c:xMode val="edge"/>
          <c:yMode val="edge"/>
          <c:x val="0.41877623411894899"/>
          <c:y val="8.1174827824552681E-2"/>
        </c:manualLayout>
      </c:layout>
      <c:overlay val="0"/>
    </c:title>
    <c:autoTitleDeleted val="0"/>
    <c:plotArea>
      <c:layout>
        <c:manualLayout>
          <c:layoutTarget val="inner"/>
          <c:xMode val="edge"/>
          <c:yMode val="edge"/>
          <c:x val="0.18863976999492119"/>
          <c:y val="0.16651391228766224"/>
          <c:w val="0.7434348510574762"/>
          <c:h val="0.54340188962361491"/>
        </c:manualLayout>
      </c:layout>
      <c:barChart>
        <c:barDir val="col"/>
        <c:grouping val="clustered"/>
        <c:varyColors val="0"/>
        <c:ser>
          <c:idx val="1"/>
          <c:order val="1"/>
          <c:tx>
            <c:strRef>
              <c:f>'Papildoma informacija'!$C$21</c:f>
              <c:strCache>
                <c:ptCount val="1"/>
                <c:pt idx="0">
                  <c:v>Dalyvių skaičius (skalė dešinėje)</c:v>
                </c:pt>
              </c:strCache>
            </c:strRef>
          </c:tx>
          <c:spPr>
            <a:solidFill>
              <a:srgbClr val="00B07D"/>
            </a:solidFill>
          </c:spPr>
          <c:invertIfNegative val="0"/>
          <c:cat>
            <c:strRef>
              <c:f>'Papildoma informacija'!$A$22:$A$37</c:f>
              <c:strCache>
                <c:ptCount val="16"/>
                <c:pt idx="0">
                  <c:v>INVL STABILO III 58+ / INVL Stabilus</c:v>
                </c:pt>
                <c:pt idx="1">
                  <c:v>INVL Apdairus</c:v>
                </c:pt>
                <c:pt idx="2">
                  <c:v>INVL Medio III 47+</c:v>
                </c:pt>
                <c:pt idx="3">
                  <c:v>INVL Drąsus</c:v>
                </c:pt>
                <c:pt idx="4">
                  <c:v>INVL Extremo III 16+</c:v>
                </c:pt>
                <c:pt idx="5">
                  <c:v>Luminor pensija 1 plius</c:v>
                </c:pt>
                <c:pt idx="6">
                  <c:v>Luminor pensija 2 plius</c:v>
                </c:pt>
                <c:pt idx="7">
                  <c:v>Luminor pensija 3 plius</c:v>
                </c:pt>
                <c:pt idx="8">
                  <c:v>Luminor pensija darbuotojui 1 plius</c:v>
                </c:pt>
                <c:pt idx="9">
                  <c:v>Luminor pensija darbuotojui 2 plius</c:v>
                </c:pt>
                <c:pt idx="10">
                  <c:v>SEB pensija 50+</c:v>
                </c:pt>
                <c:pt idx="11">
                  <c:v>SEB pensija 58+</c:v>
                </c:pt>
                <c:pt idx="12">
                  <c:v>SEB pensija 18+</c:v>
                </c:pt>
                <c:pt idx="13">
                  <c:v>Swedbank Pensijų fondas 30</c:v>
                </c:pt>
                <c:pt idx="14">
                  <c:v>Swedbank Pensijų fondas 60</c:v>
                </c:pt>
                <c:pt idx="15">
                  <c:v>Swedbank Pensijų fondas 100</c:v>
                </c:pt>
              </c:strCache>
            </c:strRef>
          </c:cat>
          <c:val>
            <c:numRef>
              <c:f>'Papildoma informacija'!$C$22:$C$37</c:f>
              <c:numCache>
                <c:formatCode>_-* #\ ##0\ _€_-;\-* #\ ##0\ _€_-;_-* "-"??\ _€_-;_-@_-</c:formatCode>
                <c:ptCount val="16"/>
                <c:pt idx="0">
                  <c:v>3135</c:v>
                </c:pt>
                <c:pt idx="1">
                  <c:v>1339</c:v>
                </c:pt>
                <c:pt idx="2">
                  <c:v>4081</c:v>
                </c:pt>
                <c:pt idx="3">
                  <c:v>2664</c:v>
                </c:pt>
                <c:pt idx="4">
                  <c:v>12245</c:v>
                </c:pt>
                <c:pt idx="5">
                  <c:v>5347</c:v>
                </c:pt>
                <c:pt idx="6">
                  <c:v>26833</c:v>
                </c:pt>
                <c:pt idx="7">
                  <c:v>5112</c:v>
                </c:pt>
                <c:pt idx="8">
                  <c:v>455</c:v>
                </c:pt>
                <c:pt idx="9">
                  <c:v>1057</c:v>
                </c:pt>
                <c:pt idx="10">
                  <c:v>146</c:v>
                </c:pt>
                <c:pt idx="11">
                  <c:v>2122</c:v>
                </c:pt>
                <c:pt idx="12">
                  <c:v>10870</c:v>
                </c:pt>
                <c:pt idx="13">
                  <c:v>98</c:v>
                </c:pt>
                <c:pt idx="14">
                  <c:v>268</c:v>
                </c:pt>
                <c:pt idx="15">
                  <c:v>825</c:v>
                </c:pt>
              </c:numCache>
            </c:numRef>
          </c:val>
          <c:extLst>
            <c:ext xmlns:c16="http://schemas.microsoft.com/office/drawing/2014/chart" uri="{C3380CC4-5D6E-409C-BE32-E72D297353CC}">
              <c16:uniqueId val="{00000000-6E48-4638-BEFE-4972150D0F6F}"/>
            </c:ext>
          </c:extLst>
        </c:ser>
        <c:dLbls>
          <c:showLegendKey val="0"/>
          <c:showVal val="0"/>
          <c:showCatName val="0"/>
          <c:showSerName val="0"/>
          <c:showPercent val="0"/>
          <c:showBubbleSize val="0"/>
        </c:dLbls>
        <c:gapWidth val="150"/>
        <c:axId val="384150528"/>
        <c:axId val="383981184"/>
      </c:barChart>
      <c:lineChart>
        <c:grouping val="standard"/>
        <c:varyColors val="0"/>
        <c:ser>
          <c:idx val="0"/>
          <c:order val="0"/>
          <c:tx>
            <c:strRef>
              <c:f>'Papildoma informacija'!$B$21</c:f>
              <c:strCache>
                <c:ptCount val="1"/>
                <c:pt idx="0">
                  <c:v>Grynųjų aktyvų vertė, mln. (skalė kairėje)</c:v>
                </c:pt>
              </c:strCache>
            </c:strRef>
          </c:tx>
          <c:spPr>
            <a:ln>
              <a:solidFill>
                <a:srgbClr val="FCAF17"/>
              </a:solidFill>
            </a:ln>
          </c:spPr>
          <c:marker>
            <c:symbol val="none"/>
          </c:marker>
          <c:cat>
            <c:strRef>
              <c:f>'Papildoma informacija'!$A$22:$A$37</c:f>
              <c:strCache>
                <c:ptCount val="16"/>
                <c:pt idx="0">
                  <c:v>INVL STABILO III 58+ / INVL Stabilus</c:v>
                </c:pt>
                <c:pt idx="1">
                  <c:v>INVL Apdairus</c:v>
                </c:pt>
                <c:pt idx="2">
                  <c:v>INVL Medio III 47+</c:v>
                </c:pt>
                <c:pt idx="3">
                  <c:v>INVL Drąsus</c:v>
                </c:pt>
                <c:pt idx="4">
                  <c:v>INVL Extremo III 16+</c:v>
                </c:pt>
                <c:pt idx="5">
                  <c:v>Luminor pensija 1 plius</c:v>
                </c:pt>
                <c:pt idx="6">
                  <c:v>Luminor pensija 2 plius</c:v>
                </c:pt>
                <c:pt idx="7">
                  <c:v>Luminor pensija 3 plius</c:v>
                </c:pt>
                <c:pt idx="8">
                  <c:v>Luminor pensija darbuotojui 1 plius</c:v>
                </c:pt>
                <c:pt idx="9">
                  <c:v>Luminor pensija darbuotojui 2 plius</c:v>
                </c:pt>
                <c:pt idx="10">
                  <c:v>SEB pensija 50+</c:v>
                </c:pt>
                <c:pt idx="11">
                  <c:v>SEB pensija 58+</c:v>
                </c:pt>
                <c:pt idx="12">
                  <c:v>SEB pensija 18+</c:v>
                </c:pt>
                <c:pt idx="13">
                  <c:v>Swedbank Pensijų fondas 30</c:v>
                </c:pt>
                <c:pt idx="14">
                  <c:v>Swedbank Pensijų fondas 60</c:v>
                </c:pt>
                <c:pt idx="15">
                  <c:v>Swedbank Pensijų fondas 100</c:v>
                </c:pt>
              </c:strCache>
            </c:strRef>
          </c:cat>
          <c:val>
            <c:numRef>
              <c:f>'Papildoma informacija'!$B$22:$B$37</c:f>
              <c:numCache>
                <c:formatCode>0.00</c:formatCode>
                <c:ptCount val="16"/>
                <c:pt idx="0">
                  <c:v>13.995296</c:v>
                </c:pt>
                <c:pt idx="1">
                  <c:v>3.1351330000000002</c:v>
                </c:pt>
                <c:pt idx="2">
                  <c:v>11.735611</c:v>
                </c:pt>
                <c:pt idx="3">
                  <c:v>5.339995</c:v>
                </c:pt>
                <c:pt idx="4">
                  <c:v>27.457647999999999</c:v>
                </c:pt>
                <c:pt idx="5">
                  <c:v>12.353073999999999</c:v>
                </c:pt>
                <c:pt idx="6">
                  <c:v>44.546714999999999</c:v>
                </c:pt>
                <c:pt idx="7">
                  <c:v>10.902934999999999</c:v>
                </c:pt>
                <c:pt idx="8">
                  <c:v>0.91961099999999996</c:v>
                </c:pt>
                <c:pt idx="9">
                  <c:v>2.9885760000000001</c:v>
                </c:pt>
                <c:pt idx="10">
                  <c:v>0.39807700000000001</c:v>
                </c:pt>
                <c:pt idx="11">
                  <c:v>9.5895779999999995</c:v>
                </c:pt>
                <c:pt idx="12">
                  <c:v>35.927126000000001</c:v>
                </c:pt>
                <c:pt idx="13">
                  <c:v>0.17034299999999999</c:v>
                </c:pt>
                <c:pt idx="14">
                  <c:v>0.53281199999999995</c:v>
                </c:pt>
                <c:pt idx="15">
                  <c:v>1.590182</c:v>
                </c:pt>
              </c:numCache>
            </c:numRef>
          </c:val>
          <c:smooth val="0"/>
          <c:extLst>
            <c:ext xmlns:c16="http://schemas.microsoft.com/office/drawing/2014/chart" uri="{C3380CC4-5D6E-409C-BE32-E72D297353CC}">
              <c16:uniqueId val="{00000001-6E48-4638-BEFE-4972150D0F6F}"/>
            </c:ext>
          </c:extLst>
        </c:ser>
        <c:dLbls>
          <c:showLegendKey val="0"/>
          <c:showVal val="0"/>
          <c:showCatName val="0"/>
          <c:showSerName val="0"/>
          <c:showPercent val="0"/>
          <c:showBubbleSize val="0"/>
        </c:dLbls>
        <c:marker val="1"/>
        <c:smooth val="0"/>
        <c:axId val="384148992"/>
        <c:axId val="383980608"/>
      </c:lineChart>
      <c:catAx>
        <c:axId val="384148992"/>
        <c:scaling>
          <c:orientation val="minMax"/>
        </c:scaling>
        <c:delete val="0"/>
        <c:axPos val="b"/>
        <c:numFmt formatCode="General" sourceLinked="0"/>
        <c:majorTickMark val="none"/>
        <c:minorTickMark val="none"/>
        <c:tickLblPos val="nextTo"/>
        <c:crossAx val="383980608"/>
        <c:crosses val="autoZero"/>
        <c:auto val="1"/>
        <c:lblAlgn val="ctr"/>
        <c:lblOffset val="100"/>
        <c:noMultiLvlLbl val="0"/>
      </c:catAx>
      <c:valAx>
        <c:axId val="383980608"/>
        <c:scaling>
          <c:orientation val="minMax"/>
        </c:scaling>
        <c:delete val="0"/>
        <c:axPos val="l"/>
        <c:majorGridlines/>
        <c:title>
          <c:tx>
            <c:rich>
              <a:bodyPr/>
              <a:lstStyle/>
              <a:p>
                <a:pPr>
                  <a:defRPr/>
                </a:pPr>
                <a:r>
                  <a:rPr lang="lt-LT"/>
                  <a:t>Grynųmų aktyvų vertė, mln.</a:t>
                </a:r>
              </a:p>
            </c:rich>
          </c:tx>
          <c:layout>
            <c:manualLayout>
              <c:xMode val="edge"/>
              <c:yMode val="edge"/>
              <c:x val="0.12184539651090991"/>
              <c:y val="0.26832800626359354"/>
            </c:manualLayout>
          </c:layout>
          <c:overlay val="0"/>
        </c:title>
        <c:numFmt formatCode="0.00" sourceLinked="1"/>
        <c:majorTickMark val="none"/>
        <c:minorTickMark val="none"/>
        <c:tickLblPos val="nextTo"/>
        <c:crossAx val="384148992"/>
        <c:crosses val="autoZero"/>
        <c:crossBetween val="between"/>
      </c:valAx>
      <c:valAx>
        <c:axId val="383981184"/>
        <c:scaling>
          <c:orientation val="minMax"/>
        </c:scaling>
        <c:delete val="0"/>
        <c:axPos val="r"/>
        <c:numFmt formatCode="_-* #\ ##0\ _€_-;\-* #\ ##0\ _€_-;_-* &quot;-&quot;??\ _€_-;_-@_-" sourceLinked="1"/>
        <c:majorTickMark val="out"/>
        <c:minorTickMark val="none"/>
        <c:tickLblPos val="nextTo"/>
        <c:crossAx val="384150528"/>
        <c:crosses val="max"/>
        <c:crossBetween val="between"/>
      </c:valAx>
      <c:catAx>
        <c:axId val="384150528"/>
        <c:scaling>
          <c:orientation val="minMax"/>
        </c:scaling>
        <c:delete val="1"/>
        <c:axPos val="b"/>
        <c:numFmt formatCode="General" sourceLinked="1"/>
        <c:majorTickMark val="out"/>
        <c:minorTickMark val="none"/>
        <c:tickLblPos val="nextTo"/>
        <c:crossAx val="383981184"/>
        <c:crosses val="autoZero"/>
        <c:auto val="1"/>
        <c:lblAlgn val="ctr"/>
        <c:lblOffset val="100"/>
        <c:noMultiLvlLbl val="0"/>
      </c:catAx>
      <c:dTable>
        <c:showHorzBorder val="1"/>
        <c:showVertBorder val="1"/>
        <c:showOutline val="1"/>
        <c:showKeys val="1"/>
      </c:dTable>
    </c:plotArea>
    <c:plotVisOnly val="1"/>
    <c:dispBlanksAs val="gap"/>
    <c:showDLblsOverMax val="0"/>
  </c:chart>
  <c:txPr>
    <a:bodyPr/>
    <a:lstStyle/>
    <a:p>
      <a:pPr>
        <a:defRPr sz="8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44824</xdr:rowOff>
    </xdr:from>
    <xdr:to>
      <xdr:col>1</xdr:col>
      <xdr:colOff>1963271</xdr:colOff>
      <xdr:row>18</xdr:row>
      <xdr:rowOff>155089</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2008094</xdr:colOff>
      <xdr:row>6</xdr:row>
      <xdr:rowOff>44823</xdr:rowOff>
    </xdr:from>
    <xdr:to>
      <xdr:col>6</xdr:col>
      <xdr:colOff>21963</xdr:colOff>
      <xdr:row>18</xdr:row>
      <xdr:rowOff>150162</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53788</xdr:rowOff>
    </xdr:from>
    <xdr:to>
      <xdr:col>13</xdr:col>
      <xdr:colOff>394446</xdr:colOff>
      <xdr:row>41</xdr:row>
      <xdr:rowOff>134470</xdr:rowOff>
    </xdr:to>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0.97885</cdr:x>
      <cdr:y>0.26328</cdr:y>
    </cdr:from>
    <cdr:to>
      <cdr:x>1</cdr:x>
      <cdr:y>0.62878</cdr:y>
    </cdr:to>
    <cdr:sp macro="" textlink="">
      <cdr:nvSpPr>
        <cdr:cNvPr id="2" name="TextBox 1"/>
        <cdr:cNvSpPr txBox="1"/>
      </cdr:nvSpPr>
      <cdr:spPr>
        <a:xfrm xmlns:a="http://schemas.openxmlformats.org/drawingml/2006/main" rot="16200000">
          <a:off x="12604853" y="1760230"/>
          <a:ext cx="1559661" cy="2861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lt-LT" sz="800" b="1">
              <a:latin typeface="Verdana" panose="020B0604030504040204" pitchFamily="34" charset="0"/>
              <a:ea typeface="Verdana" panose="020B0604030504040204" pitchFamily="34" charset="0"/>
            </a:rPr>
            <a:t>Dalyvių</a:t>
          </a:r>
          <a:r>
            <a:rPr lang="lt-LT" sz="800" b="1" baseline="0">
              <a:latin typeface="Verdana" panose="020B0604030504040204" pitchFamily="34" charset="0"/>
              <a:ea typeface="Verdana" panose="020B0604030504040204" pitchFamily="34" charset="0"/>
            </a:rPr>
            <a:t> skaičius</a:t>
          </a:r>
          <a:endParaRPr lang="lt-LT" sz="800" b="1">
            <a:latin typeface="Verdana" panose="020B0604030504040204" pitchFamily="34" charset="0"/>
            <a:ea typeface="Verdana" panose="020B0604030504040204" pitchFamily="34"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5"/>
  <sheetViews>
    <sheetView showGridLines="0" tabSelected="1" topLeftCell="D1" zoomScale="70" zoomScaleNormal="70" workbookViewId="0">
      <selection activeCell="F34" sqref="F34"/>
    </sheetView>
  </sheetViews>
  <sheetFormatPr defaultRowHeight="12.6" x14ac:dyDescent="0.2"/>
  <cols>
    <col min="1" max="1" width="41" style="2" customWidth="1"/>
    <col min="2" max="2" width="7.77734375" style="2" bestFit="1" customWidth="1"/>
    <col min="3" max="3" width="44.44140625" style="2" customWidth="1"/>
    <col min="4" max="4" width="15.21875" style="1" customWidth="1"/>
    <col min="5" max="5" width="18.77734375" style="1" customWidth="1"/>
    <col min="6" max="6" width="16.77734375" style="1" customWidth="1"/>
    <col min="7" max="7" width="11.88671875" style="1" customWidth="1"/>
    <col min="8" max="8" width="2" style="1" customWidth="1"/>
    <col min="9" max="9" width="10.77734375" style="2" customWidth="1"/>
    <col min="10" max="10" width="15.77734375" style="2" customWidth="1"/>
    <col min="11" max="11" width="18.88671875" style="2" customWidth="1"/>
    <col min="12" max="13" width="17.77734375" style="2" customWidth="1"/>
    <col min="14" max="14" width="2" style="1" customWidth="1"/>
    <col min="15" max="15" width="18.88671875" style="2" customWidth="1"/>
    <col min="16" max="16" width="18.44140625" style="2" customWidth="1"/>
    <col min="17" max="17" width="2" style="1" customWidth="1"/>
    <col min="18" max="18" width="19.21875" style="2" customWidth="1"/>
    <col min="19" max="19" width="17.88671875" style="2" customWidth="1"/>
    <col min="20" max="20" width="2" style="2" customWidth="1"/>
    <col min="21" max="23" width="13.33203125" style="1" customWidth="1"/>
    <col min="24" max="16384" width="8.88671875" style="1"/>
  </cols>
  <sheetData>
    <row r="1" spans="1:23" ht="12.6" customHeight="1" x14ac:dyDescent="0.2">
      <c r="A1" s="63">
        <v>44286</v>
      </c>
      <c r="B1" s="19"/>
      <c r="C1" s="20"/>
      <c r="D1" s="21"/>
      <c r="E1" s="22"/>
      <c r="F1" s="22"/>
      <c r="G1" s="22"/>
      <c r="H1" s="22"/>
      <c r="I1" s="71" t="s">
        <v>30</v>
      </c>
      <c r="J1" s="72"/>
      <c r="K1" s="72"/>
      <c r="L1" s="72"/>
      <c r="M1" s="73"/>
      <c r="N1" s="22"/>
      <c r="O1" s="70" t="s">
        <v>72</v>
      </c>
      <c r="P1" s="70"/>
      <c r="Q1" s="22"/>
      <c r="R1" s="74" t="s">
        <v>74</v>
      </c>
      <c r="S1" s="75"/>
      <c r="U1" s="76" t="s">
        <v>98</v>
      </c>
      <c r="V1" s="77"/>
      <c r="W1" s="77"/>
    </row>
    <row r="2" spans="1:23" ht="75.599999999999994" x14ac:dyDescent="0.2">
      <c r="A2" s="23" t="s">
        <v>0</v>
      </c>
      <c r="B2" s="23" t="s">
        <v>1</v>
      </c>
      <c r="C2" s="23" t="s">
        <v>2</v>
      </c>
      <c r="D2" s="24" t="s">
        <v>50</v>
      </c>
      <c r="E2" s="24" t="s">
        <v>38</v>
      </c>
      <c r="F2" s="24" t="s">
        <v>77</v>
      </c>
      <c r="G2" s="25" t="s">
        <v>17</v>
      </c>
      <c r="H2" s="22"/>
      <c r="I2" s="25" t="s">
        <v>68</v>
      </c>
      <c r="J2" s="25" t="s">
        <v>70</v>
      </c>
      <c r="K2" s="25" t="s">
        <v>80</v>
      </c>
      <c r="L2" s="25" t="s">
        <v>81</v>
      </c>
      <c r="M2" s="59" t="s">
        <v>82</v>
      </c>
      <c r="N2" s="22"/>
      <c r="O2" s="25" t="s">
        <v>44</v>
      </c>
      <c r="P2" s="25" t="s">
        <v>45</v>
      </c>
      <c r="Q2" s="22"/>
      <c r="R2" s="25" t="s">
        <v>46</v>
      </c>
      <c r="S2" s="25" t="s">
        <v>47</v>
      </c>
      <c r="U2" s="24" t="s">
        <v>94</v>
      </c>
      <c r="V2" s="24" t="s">
        <v>95</v>
      </c>
      <c r="W2" s="24" t="s">
        <v>96</v>
      </c>
    </row>
    <row r="3" spans="1:23" s="27" customFormat="1" x14ac:dyDescent="0.2">
      <c r="A3" s="26" t="s">
        <v>16</v>
      </c>
      <c r="B3" s="26"/>
      <c r="C3" s="26"/>
      <c r="E3" s="28"/>
      <c r="G3" s="51" t="s">
        <v>76</v>
      </c>
      <c r="I3" s="29">
        <v>-0.98596206434123523</v>
      </c>
      <c r="J3" s="29">
        <v>1.2654446638949466</v>
      </c>
      <c r="K3" s="29">
        <v>1.3042519047217684</v>
      </c>
      <c r="L3" s="29">
        <v>2.7450469937907007</v>
      </c>
      <c r="M3" s="29">
        <v>3.4909421216980752</v>
      </c>
      <c r="O3" s="29">
        <v>1.9185703550175208</v>
      </c>
      <c r="P3" s="29">
        <v>1.8045095239193094</v>
      </c>
      <c r="R3" s="6"/>
      <c r="S3" s="6"/>
      <c r="T3" s="6"/>
    </row>
    <row r="4" spans="1:23" x14ac:dyDescent="0.2">
      <c r="A4" s="30" t="s">
        <v>3</v>
      </c>
      <c r="B4" s="30" t="s">
        <v>26</v>
      </c>
      <c r="C4" s="30" t="s">
        <v>5</v>
      </c>
      <c r="D4" s="64" t="s">
        <v>84</v>
      </c>
      <c r="E4" s="32">
        <v>0</v>
      </c>
      <c r="F4" s="31">
        <v>12.353073999999999</v>
      </c>
      <c r="G4" s="33">
        <v>5347</v>
      </c>
      <c r="H4" s="34"/>
      <c r="I4" s="35">
        <v>-1.0930771778734805</v>
      </c>
      <c r="J4" s="35">
        <v>0.41648386960058126</v>
      </c>
      <c r="K4" s="35">
        <v>2.0105892651445245E-2</v>
      </c>
      <c r="L4" s="35" t="s">
        <v>58</v>
      </c>
      <c r="M4" s="35" t="s">
        <v>58</v>
      </c>
      <c r="N4" s="34"/>
      <c r="O4" s="35">
        <v>0.73375047650738878</v>
      </c>
      <c r="P4" s="35">
        <v>0.65515982798041161</v>
      </c>
      <c r="Q4" s="34"/>
      <c r="R4" s="35">
        <v>1.3096372165307362</v>
      </c>
      <c r="S4" s="35" t="s">
        <v>58</v>
      </c>
      <c r="U4" s="35">
        <v>0.74</v>
      </c>
      <c r="V4" s="35">
        <v>0.92</v>
      </c>
      <c r="W4" s="35" t="s">
        <v>58</v>
      </c>
    </row>
    <row r="5" spans="1:23" x14ac:dyDescent="0.2">
      <c r="A5" s="30" t="s">
        <v>36</v>
      </c>
      <c r="B5" s="30" t="s">
        <v>24</v>
      </c>
      <c r="C5" s="30" t="s">
        <v>4</v>
      </c>
      <c r="D5" s="64" t="s">
        <v>85</v>
      </c>
      <c r="E5" s="32">
        <v>0</v>
      </c>
      <c r="F5" s="31">
        <v>13.995296</v>
      </c>
      <c r="G5" s="33">
        <v>3135</v>
      </c>
      <c r="H5" s="34"/>
      <c r="I5" s="35">
        <v>-1.0823702073014196</v>
      </c>
      <c r="J5" s="35">
        <v>1.3460223138275884</v>
      </c>
      <c r="K5" s="35">
        <v>2.141358317894948</v>
      </c>
      <c r="L5" s="35">
        <v>3.200194234419107</v>
      </c>
      <c r="M5" s="35">
        <v>4.1435135524118705</v>
      </c>
      <c r="N5" s="34"/>
      <c r="O5" s="35">
        <v>1.9734399722827645</v>
      </c>
      <c r="P5" s="35">
        <v>2.1322913242231234</v>
      </c>
      <c r="Q5" s="34"/>
      <c r="R5" s="35">
        <v>3.3010474629845223</v>
      </c>
      <c r="S5" s="35">
        <v>3.2885667109251151</v>
      </c>
      <c r="U5" s="35">
        <v>1.1100000000000001</v>
      </c>
      <c r="V5" s="35" t="s">
        <v>58</v>
      </c>
      <c r="W5" s="35">
        <v>1.18</v>
      </c>
    </row>
    <row r="6" spans="1:23" x14ac:dyDescent="0.2">
      <c r="A6" s="30" t="s">
        <v>37</v>
      </c>
      <c r="B6" s="30" t="s">
        <v>18</v>
      </c>
      <c r="C6" s="30" t="s">
        <v>67</v>
      </c>
      <c r="D6" s="64" t="s">
        <v>86</v>
      </c>
      <c r="E6" s="32" t="s">
        <v>39</v>
      </c>
      <c r="F6" s="31">
        <v>9.5895779999999995</v>
      </c>
      <c r="G6" s="33">
        <v>2122</v>
      </c>
      <c r="H6" s="34"/>
      <c r="I6" s="35">
        <v>-0.70727812000913604</v>
      </c>
      <c r="J6" s="35">
        <v>2.241459192712103</v>
      </c>
      <c r="K6" s="35">
        <v>1.7367629785200789</v>
      </c>
      <c r="L6" s="35">
        <v>2.0807924920620779</v>
      </c>
      <c r="M6" s="35">
        <v>2.5385612834606608</v>
      </c>
      <c r="N6" s="34"/>
      <c r="O6" s="35">
        <v>3.3647498533096121</v>
      </c>
      <c r="P6" s="35">
        <v>2.8067015418731689</v>
      </c>
      <c r="Q6" s="34"/>
      <c r="R6" s="35">
        <v>2.7501933042319444</v>
      </c>
      <c r="S6" s="35">
        <v>2.6301228629408802</v>
      </c>
      <c r="U6" s="35">
        <v>0.71</v>
      </c>
      <c r="V6" s="35">
        <v>0.93</v>
      </c>
      <c r="W6" s="35" t="s">
        <v>58</v>
      </c>
    </row>
    <row r="7" spans="1:23" x14ac:dyDescent="0.2">
      <c r="A7" s="6"/>
      <c r="B7" s="6"/>
      <c r="C7" s="6"/>
      <c r="D7" s="65"/>
      <c r="E7" s="37"/>
      <c r="F7" s="36"/>
      <c r="G7" s="38"/>
      <c r="H7" s="34"/>
      <c r="I7" s="39"/>
      <c r="J7" s="39"/>
      <c r="K7" s="39"/>
      <c r="L7" s="39"/>
      <c r="M7" s="39"/>
      <c r="N7" s="34"/>
      <c r="O7" s="39"/>
      <c r="P7" s="39"/>
      <c r="Q7" s="34"/>
      <c r="R7" s="39"/>
      <c r="S7" s="39"/>
      <c r="U7" s="39"/>
      <c r="V7" s="39"/>
      <c r="W7" s="39"/>
    </row>
    <row r="8" spans="1:23" s="27" customFormat="1" x14ac:dyDescent="0.2">
      <c r="A8" s="40" t="s">
        <v>14</v>
      </c>
      <c r="B8" s="26"/>
      <c r="C8" s="26"/>
      <c r="D8" s="66"/>
      <c r="E8" s="41"/>
      <c r="F8" s="42"/>
      <c r="G8" s="51" t="s">
        <v>76</v>
      </c>
      <c r="H8" s="43"/>
      <c r="I8" s="29">
        <v>2.3428920902878798</v>
      </c>
      <c r="J8" s="29">
        <v>5.387961677348545</v>
      </c>
      <c r="K8" s="29">
        <v>4.7765568866818686</v>
      </c>
      <c r="L8" s="29">
        <v>4.3372894213080375</v>
      </c>
      <c r="M8" s="29">
        <v>3.4662557480519491</v>
      </c>
      <c r="N8" s="43"/>
      <c r="O8" s="29">
        <v>6.3012233358689294</v>
      </c>
      <c r="P8" s="29">
        <v>5.9232319578591275</v>
      </c>
      <c r="Q8" s="43"/>
      <c r="R8" s="44"/>
      <c r="S8" s="44"/>
      <c r="T8" s="6"/>
      <c r="U8" s="44"/>
      <c r="V8" s="44"/>
      <c r="W8" s="44"/>
    </row>
    <row r="9" spans="1:23" x14ac:dyDescent="0.2">
      <c r="A9" s="30" t="s">
        <v>3</v>
      </c>
      <c r="B9" s="30" t="s">
        <v>25</v>
      </c>
      <c r="C9" s="30" t="s">
        <v>6</v>
      </c>
      <c r="D9" s="64" t="s">
        <v>86</v>
      </c>
      <c r="E9" s="32" t="s">
        <v>40</v>
      </c>
      <c r="F9" s="31">
        <v>44.546714999999999</v>
      </c>
      <c r="G9" s="33">
        <v>26833</v>
      </c>
      <c r="H9" s="34"/>
      <c r="I9" s="35">
        <v>2.1320366560688475</v>
      </c>
      <c r="J9" s="35">
        <v>5.1295421127159457</v>
      </c>
      <c r="K9" s="35">
        <v>4.3394690393906199</v>
      </c>
      <c r="L9" s="35">
        <v>4.0233021174319372</v>
      </c>
      <c r="M9" s="35">
        <v>3.4662557480519496</v>
      </c>
      <c r="N9" s="34"/>
      <c r="O9" s="35">
        <v>5.9038901030253887</v>
      </c>
      <c r="P9" s="35">
        <v>5.4016371835132082</v>
      </c>
      <c r="Q9" s="34"/>
      <c r="R9" s="35">
        <v>4.9961533706076091</v>
      </c>
      <c r="S9" s="35">
        <v>5.3861566171435111</v>
      </c>
      <c r="U9" s="35">
        <v>1.07</v>
      </c>
      <c r="V9" s="35">
        <v>1.53</v>
      </c>
      <c r="W9" s="35" t="s">
        <v>58</v>
      </c>
    </row>
    <row r="10" spans="1:23" x14ac:dyDescent="0.2">
      <c r="A10" s="30" t="s">
        <v>3</v>
      </c>
      <c r="B10" s="30" t="s">
        <v>28</v>
      </c>
      <c r="C10" s="30" t="s">
        <v>9</v>
      </c>
      <c r="D10" s="64" t="s">
        <v>87</v>
      </c>
      <c r="E10" s="32" t="s">
        <v>41</v>
      </c>
      <c r="F10" s="31">
        <v>0.91961099999999996</v>
      </c>
      <c r="G10" s="33">
        <v>455</v>
      </c>
      <c r="H10" s="34"/>
      <c r="I10" s="35">
        <v>0.63734862970044048</v>
      </c>
      <c r="J10" s="35">
        <v>3.0002062400068308</v>
      </c>
      <c r="K10" s="35">
        <v>2.2898645370193149</v>
      </c>
      <c r="L10" s="35" t="s">
        <v>58</v>
      </c>
      <c r="M10" s="35" t="s">
        <v>58</v>
      </c>
      <c r="N10" s="34"/>
      <c r="O10" s="35">
        <v>3.3508756864813583</v>
      </c>
      <c r="P10" s="35">
        <v>3.0491892577956481</v>
      </c>
      <c r="Q10" s="34"/>
      <c r="R10" s="35">
        <v>2.9762245527899287</v>
      </c>
      <c r="S10" s="35" t="s">
        <v>58</v>
      </c>
      <c r="U10" s="35">
        <v>1.1499999999999999</v>
      </c>
      <c r="V10" s="35">
        <v>1.49</v>
      </c>
      <c r="W10" s="35" t="s">
        <v>58</v>
      </c>
    </row>
    <row r="11" spans="1:23" x14ac:dyDescent="0.2">
      <c r="A11" s="30" t="s">
        <v>3</v>
      </c>
      <c r="B11" s="30" t="s">
        <v>29</v>
      </c>
      <c r="C11" s="30" t="s">
        <v>10</v>
      </c>
      <c r="D11" s="64" t="s">
        <v>87</v>
      </c>
      <c r="E11" s="32" t="s">
        <v>40</v>
      </c>
      <c r="F11" s="31">
        <v>2.9885760000000001</v>
      </c>
      <c r="G11" s="33">
        <v>1057</v>
      </c>
      <c r="H11" s="34"/>
      <c r="I11" s="35">
        <v>2.457296973329326</v>
      </c>
      <c r="J11" s="35">
        <v>5.4477199742283045</v>
      </c>
      <c r="K11" s="35">
        <v>4.4208040450132824</v>
      </c>
      <c r="L11" s="35" t="s">
        <v>58</v>
      </c>
      <c r="M11" s="35" t="s">
        <v>58</v>
      </c>
      <c r="N11" s="34"/>
      <c r="O11" s="35">
        <v>5.9043373272458899</v>
      </c>
      <c r="P11" s="35">
        <v>5.401923579989143</v>
      </c>
      <c r="Q11" s="34"/>
      <c r="R11" s="35">
        <v>5.2585033978211415</v>
      </c>
      <c r="S11" s="35" t="s">
        <v>58</v>
      </c>
      <c r="U11" s="35">
        <v>0.99</v>
      </c>
      <c r="V11" s="35">
        <v>1.43</v>
      </c>
      <c r="W11" s="35" t="s">
        <v>58</v>
      </c>
    </row>
    <row r="12" spans="1:23" x14ac:dyDescent="0.2">
      <c r="A12" s="30" t="s">
        <v>36</v>
      </c>
      <c r="B12" s="30" t="s">
        <v>22</v>
      </c>
      <c r="C12" s="30" t="s">
        <v>8</v>
      </c>
      <c r="D12" s="64" t="s">
        <v>88</v>
      </c>
      <c r="E12" s="32" t="s">
        <v>42</v>
      </c>
      <c r="F12" s="31">
        <v>3.1351330000000002</v>
      </c>
      <c r="G12" s="33">
        <v>1339</v>
      </c>
      <c r="H12" s="34"/>
      <c r="I12" s="35">
        <v>1.2856775520699193</v>
      </c>
      <c r="J12" s="35">
        <v>5.4424692831218646</v>
      </c>
      <c r="K12" s="35">
        <v>5.0293479517927064</v>
      </c>
      <c r="L12" s="35" t="s">
        <v>58</v>
      </c>
      <c r="M12" s="35" t="s">
        <v>58</v>
      </c>
      <c r="N12" s="34"/>
      <c r="O12" s="35">
        <v>6.1821042752850275</v>
      </c>
      <c r="P12" s="35">
        <v>7.8293344370727214</v>
      </c>
      <c r="Q12" s="34"/>
      <c r="R12" s="35">
        <v>7.9653610975541591</v>
      </c>
      <c r="S12" s="35" t="s">
        <v>58</v>
      </c>
      <c r="U12" s="35">
        <v>1.8</v>
      </c>
      <c r="V12" s="35" t="s">
        <v>58</v>
      </c>
      <c r="W12" s="35">
        <v>2.16</v>
      </c>
    </row>
    <row r="13" spans="1:23" x14ac:dyDescent="0.2">
      <c r="A13" s="30" t="s">
        <v>36</v>
      </c>
      <c r="B13" s="30" t="s">
        <v>23</v>
      </c>
      <c r="C13" s="30" t="s">
        <v>7</v>
      </c>
      <c r="D13" s="64" t="s">
        <v>89</v>
      </c>
      <c r="E13" s="32" t="s">
        <v>42</v>
      </c>
      <c r="F13" s="31">
        <v>11.735611</v>
      </c>
      <c r="G13" s="33">
        <v>4081</v>
      </c>
      <c r="H13" s="34"/>
      <c r="I13" s="35">
        <v>3.4406025333789669</v>
      </c>
      <c r="J13" s="35">
        <v>6.5262124302181812</v>
      </c>
      <c r="K13" s="35">
        <v>6.6536025893573214</v>
      </c>
      <c r="L13" s="35">
        <v>5.5291406968306367</v>
      </c>
      <c r="M13" s="35" t="s">
        <v>58</v>
      </c>
      <c r="N13" s="34"/>
      <c r="O13" s="35">
        <v>8.1735281126362516</v>
      </c>
      <c r="P13" s="35">
        <v>7.7518900449806249</v>
      </c>
      <c r="Q13" s="34"/>
      <c r="R13" s="35">
        <v>6.7839330661447317</v>
      </c>
      <c r="S13" s="35">
        <v>7.054807181947635</v>
      </c>
      <c r="U13" s="35">
        <v>1.01</v>
      </c>
      <c r="V13" s="35" t="s">
        <v>58</v>
      </c>
      <c r="W13" s="35">
        <v>1.23</v>
      </c>
    </row>
    <row r="14" spans="1:23" x14ac:dyDescent="0.2">
      <c r="A14" s="30" t="s">
        <v>57</v>
      </c>
      <c r="B14" s="30" t="s">
        <v>52</v>
      </c>
      <c r="C14" s="58" t="s">
        <v>56</v>
      </c>
      <c r="D14" s="64" t="s">
        <v>90</v>
      </c>
      <c r="E14" s="32" t="s">
        <v>62</v>
      </c>
      <c r="F14" s="31">
        <v>0.17034299999999999</v>
      </c>
      <c r="G14" s="33">
        <v>98</v>
      </c>
      <c r="H14" s="34"/>
      <c r="I14" s="35">
        <v>1.303466254706942</v>
      </c>
      <c r="J14" s="68" t="s">
        <v>58</v>
      </c>
      <c r="K14" s="68" t="s">
        <v>58</v>
      </c>
      <c r="L14" s="68" t="s">
        <v>58</v>
      </c>
      <c r="M14" s="68" t="s">
        <v>58</v>
      </c>
      <c r="N14" s="34"/>
      <c r="O14" s="68" t="s">
        <v>58</v>
      </c>
      <c r="P14" s="68" t="s">
        <v>58</v>
      </c>
      <c r="Q14" s="34"/>
      <c r="R14" s="68" t="s">
        <v>58</v>
      </c>
      <c r="S14" s="68" t="s">
        <v>58</v>
      </c>
      <c r="U14" s="68">
        <v>1.32</v>
      </c>
      <c r="V14" s="68">
        <v>1.3916999999999999</v>
      </c>
      <c r="W14" s="68" t="s">
        <v>58</v>
      </c>
    </row>
    <row r="15" spans="1:23" x14ac:dyDescent="0.2">
      <c r="A15" s="30" t="s">
        <v>57</v>
      </c>
      <c r="B15" s="30" t="s">
        <v>53</v>
      </c>
      <c r="C15" s="30" t="s">
        <v>55</v>
      </c>
      <c r="D15" s="64" t="s">
        <v>90</v>
      </c>
      <c r="E15" s="32" t="s">
        <v>63</v>
      </c>
      <c r="F15" s="31">
        <v>0.53281199999999995</v>
      </c>
      <c r="G15" s="33">
        <v>268</v>
      </c>
      <c r="H15" s="34"/>
      <c r="I15" s="35">
        <v>3.7216367606569989</v>
      </c>
      <c r="J15" s="68" t="s">
        <v>58</v>
      </c>
      <c r="K15" s="68" t="s">
        <v>58</v>
      </c>
      <c r="L15" s="68" t="s">
        <v>58</v>
      </c>
      <c r="M15" s="68" t="s">
        <v>58</v>
      </c>
      <c r="N15" s="34"/>
      <c r="O15" s="68" t="s">
        <v>58</v>
      </c>
      <c r="P15" s="68" t="s">
        <v>58</v>
      </c>
      <c r="Q15" s="34"/>
      <c r="R15" s="68" t="s">
        <v>58</v>
      </c>
      <c r="S15" s="68" t="s">
        <v>58</v>
      </c>
      <c r="U15" s="68">
        <v>1.04</v>
      </c>
      <c r="V15" s="68">
        <v>1.1533</v>
      </c>
      <c r="W15" s="68" t="s">
        <v>58</v>
      </c>
    </row>
    <row r="16" spans="1:23" x14ac:dyDescent="0.2">
      <c r="A16" s="30" t="s">
        <v>37</v>
      </c>
      <c r="B16" s="30" t="s">
        <v>64</v>
      </c>
      <c r="C16" s="30" t="s">
        <v>65</v>
      </c>
      <c r="D16" s="64" t="s">
        <v>91</v>
      </c>
      <c r="E16" s="32" t="s">
        <v>79</v>
      </c>
      <c r="F16" s="31">
        <v>0.39807700000000001</v>
      </c>
      <c r="G16" s="33">
        <v>146</v>
      </c>
      <c r="H16" s="34"/>
      <c r="I16" s="35">
        <v>3.5841052722707989</v>
      </c>
      <c r="J16" s="68" t="s">
        <v>58</v>
      </c>
      <c r="K16" s="68" t="s">
        <v>58</v>
      </c>
      <c r="L16" s="68" t="s">
        <v>58</v>
      </c>
      <c r="M16" s="68" t="s">
        <v>58</v>
      </c>
      <c r="N16" s="34"/>
      <c r="O16" s="68" t="s">
        <v>58</v>
      </c>
      <c r="P16" s="68" t="s">
        <v>58</v>
      </c>
      <c r="Q16" s="34"/>
      <c r="R16" s="68" t="s">
        <v>58</v>
      </c>
      <c r="S16" s="68" t="s">
        <v>58</v>
      </c>
      <c r="U16" s="68">
        <v>0.6</v>
      </c>
      <c r="V16" s="68">
        <v>0.81</v>
      </c>
      <c r="W16" s="68" t="s">
        <v>58</v>
      </c>
    </row>
    <row r="17" spans="1:23" x14ac:dyDescent="0.2">
      <c r="A17" s="6"/>
      <c r="B17" s="6"/>
      <c r="C17" s="6"/>
      <c r="D17" s="65"/>
      <c r="E17" s="37"/>
      <c r="F17" s="36"/>
      <c r="G17" s="52"/>
      <c r="H17" s="34"/>
      <c r="I17" s="39"/>
      <c r="J17" s="39"/>
      <c r="K17" s="39"/>
      <c r="L17" s="39"/>
      <c r="M17" s="39"/>
      <c r="N17" s="34"/>
      <c r="O17" s="39"/>
      <c r="P17" s="39"/>
      <c r="Q17" s="34"/>
      <c r="R17" s="39"/>
      <c r="S17" s="39"/>
      <c r="U17" s="39"/>
      <c r="V17" s="39"/>
      <c r="W17" s="39"/>
    </row>
    <row r="18" spans="1:23" s="27" customFormat="1" x14ac:dyDescent="0.2">
      <c r="A18" s="26" t="s">
        <v>15</v>
      </c>
      <c r="B18" s="26"/>
      <c r="C18" s="26"/>
      <c r="D18" s="67"/>
      <c r="E18" s="41"/>
      <c r="F18" s="42"/>
      <c r="G18" s="51" t="s">
        <v>76</v>
      </c>
      <c r="H18" s="43"/>
      <c r="I18" s="29">
        <v>8.5227612926362735</v>
      </c>
      <c r="J18" s="29">
        <v>10.807222724370936</v>
      </c>
      <c r="K18" s="29">
        <v>10.059143731214636</v>
      </c>
      <c r="L18" s="29">
        <v>7.1050055686446969</v>
      </c>
      <c r="M18" s="29">
        <v>3.4008919103664228</v>
      </c>
      <c r="N18" s="43"/>
      <c r="O18" s="29">
        <v>12.452168507929029</v>
      </c>
      <c r="P18" s="29">
        <v>11.585549469985155</v>
      </c>
      <c r="Q18" s="43"/>
      <c r="R18" s="44"/>
      <c r="S18" s="44"/>
      <c r="T18" s="6"/>
      <c r="U18" s="44"/>
      <c r="V18" s="44"/>
      <c r="W18" s="44"/>
    </row>
    <row r="19" spans="1:23" x14ac:dyDescent="0.2">
      <c r="A19" s="30" t="s">
        <v>3</v>
      </c>
      <c r="B19" s="30" t="s">
        <v>27</v>
      </c>
      <c r="C19" s="30" t="s">
        <v>11</v>
      </c>
      <c r="D19" s="64" t="s">
        <v>89</v>
      </c>
      <c r="E19" s="32" t="s">
        <v>43</v>
      </c>
      <c r="F19" s="31">
        <v>10.902934999999999</v>
      </c>
      <c r="G19" s="33">
        <v>5112</v>
      </c>
      <c r="H19" s="34"/>
      <c r="I19" s="35">
        <v>7.3479897009308903</v>
      </c>
      <c r="J19" s="35">
        <v>12.221991833953005</v>
      </c>
      <c r="K19" s="35">
        <v>10.831714382565782</v>
      </c>
      <c r="L19" s="35">
        <v>7.6513987127732275</v>
      </c>
      <c r="M19" s="35" t="s">
        <v>58</v>
      </c>
      <c r="N19" s="34"/>
      <c r="O19" s="35">
        <v>13.087822981894615</v>
      </c>
      <c r="P19" s="35">
        <v>12.149593469953146</v>
      </c>
      <c r="Q19" s="34"/>
      <c r="R19" s="35">
        <v>12.53785071758845</v>
      </c>
      <c r="S19" s="35">
        <v>12.036846482161938</v>
      </c>
      <c r="U19" s="35">
        <v>1.1000000000000001</v>
      </c>
      <c r="V19" s="35">
        <v>1.86</v>
      </c>
      <c r="W19" s="35" t="s">
        <v>58</v>
      </c>
    </row>
    <row r="20" spans="1:23" x14ac:dyDescent="0.2">
      <c r="A20" s="30" t="s">
        <v>36</v>
      </c>
      <c r="B20" s="30" t="s">
        <v>20</v>
      </c>
      <c r="C20" s="30" t="s">
        <v>12</v>
      </c>
      <c r="D20" s="64" t="s">
        <v>85</v>
      </c>
      <c r="E20" s="32" t="s">
        <v>43</v>
      </c>
      <c r="F20" s="31">
        <v>5.339995</v>
      </c>
      <c r="G20" s="33">
        <v>2664</v>
      </c>
      <c r="H20" s="34"/>
      <c r="I20" s="35">
        <v>8.3401249660418397</v>
      </c>
      <c r="J20" s="35">
        <v>8.0546724701383567</v>
      </c>
      <c r="K20" s="35">
        <v>8.9909722164419836</v>
      </c>
      <c r="L20" s="35">
        <v>4.8776419771529689</v>
      </c>
      <c r="M20" s="35">
        <v>0.30698715881514183</v>
      </c>
      <c r="N20" s="34"/>
      <c r="O20" s="35">
        <v>6.2020173589667715</v>
      </c>
      <c r="P20" s="35">
        <v>9.5466389515384442</v>
      </c>
      <c r="Q20" s="34"/>
      <c r="R20" s="35">
        <v>11.019828565641642</v>
      </c>
      <c r="S20" s="35">
        <v>12.393491843603369</v>
      </c>
      <c r="U20" s="35">
        <v>1.73</v>
      </c>
      <c r="V20" s="35" t="s">
        <v>58</v>
      </c>
      <c r="W20" s="35">
        <v>2.1</v>
      </c>
    </row>
    <row r="21" spans="1:23" x14ac:dyDescent="0.2">
      <c r="A21" s="30" t="s">
        <v>36</v>
      </c>
      <c r="B21" s="30" t="s">
        <v>21</v>
      </c>
      <c r="C21" s="30" t="s">
        <v>13</v>
      </c>
      <c r="D21" s="64" t="s">
        <v>89</v>
      </c>
      <c r="E21" s="32" t="s">
        <v>43</v>
      </c>
      <c r="F21" s="31">
        <v>27.457647999999999</v>
      </c>
      <c r="G21" s="33">
        <v>12245</v>
      </c>
      <c r="H21" s="34"/>
      <c r="I21" s="35">
        <v>9.1114883984154016</v>
      </c>
      <c r="J21" s="35">
        <v>11.150982841491764</v>
      </c>
      <c r="K21" s="35">
        <v>11.013085120121314</v>
      </c>
      <c r="L21" s="35">
        <v>7.940162933871675</v>
      </c>
      <c r="M21" s="35" t="s">
        <v>58</v>
      </c>
      <c r="N21" s="34"/>
      <c r="O21" s="35">
        <v>12.940448610621713</v>
      </c>
      <c r="P21" s="35">
        <v>12.090603070813689</v>
      </c>
      <c r="Q21" s="34"/>
      <c r="R21" s="35">
        <v>11.528765547348572</v>
      </c>
      <c r="S21" s="35">
        <v>11.30985461455014</v>
      </c>
      <c r="U21" s="35">
        <v>1.01</v>
      </c>
      <c r="V21" s="35" t="s">
        <v>58</v>
      </c>
      <c r="W21" s="35">
        <v>1.28</v>
      </c>
    </row>
    <row r="22" spans="1:23" x14ac:dyDescent="0.2">
      <c r="A22" s="30" t="s">
        <v>37</v>
      </c>
      <c r="B22" s="30" t="s">
        <v>19</v>
      </c>
      <c r="C22" s="30" t="s">
        <v>66</v>
      </c>
      <c r="D22" s="64" t="s">
        <v>86</v>
      </c>
      <c r="E22" s="32" t="s">
        <v>43</v>
      </c>
      <c r="F22" s="31">
        <v>35.927126000000001</v>
      </c>
      <c r="G22" s="33">
        <v>10870</v>
      </c>
      <c r="H22" s="34"/>
      <c r="I22" s="35">
        <v>8.5032472436187945</v>
      </c>
      <c r="J22" s="35">
        <v>10.524278429320088</v>
      </c>
      <c r="K22" s="35">
        <v>9.2543968133623302</v>
      </c>
      <c r="L22" s="35">
        <v>6.6319748159999969</v>
      </c>
      <c r="M22" s="35">
        <v>3.8607515691590599</v>
      </c>
      <c r="N22" s="34"/>
      <c r="O22" s="35">
        <v>12.815076837625572</v>
      </c>
      <c r="P22" s="35">
        <v>11.331436544628403</v>
      </c>
      <c r="Q22" s="34"/>
      <c r="R22" s="35">
        <v>10.990855778894765</v>
      </c>
      <c r="S22" s="35">
        <v>11.090183841852804</v>
      </c>
      <c r="U22" s="35">
        <v>0.94</v>
      </c>
      <c r="V22" s="35">
        <v>1.18</v>
      </c>
      <c r="W22" s="35" t="s">
        <v>58</v>
      </c>
    </row>
    <row r="23" spans="1:23" x14ac:dyDescent="0.2">
      <c r="A23" s="30" t="s">
        <v>57</v>
      </c>
      <c r="B23" s="30" t="s">
        <v>51</v>
      </c>
      <c r="C23" s="30" t="s">
        <v>54</v>
      </c>
      <c r="D23" s="64" t="s">
        <v>92</v>
      </c>
      <c r="E23" s="32" t="s">
        <v>43</v>
      </c>
      <c r="F23" s="31">
        <v>1.590182</v>
      </c>
      <c r="G23" s="33">
        <v>825</v>
      </c>
      <c r="H23" s="34"/>
      <c r="I23" s="35">
        <v>7.4661259102221322</v>
      </c>
      <c r="J23" s="68" t="s">
        <v>58</v>
      </c>
      <c r="K23" s="68" t="s">
        <v>58</v>
      </c>
      <c r="L23" s="68" t="s">
        <v>58</v>
      </c>
      <c r="M23" s="68" t="s">
        <v>58</v>
      </c>
      <c r="N23" s="34"/>
      <c r="O23" s="68" t="s">
        <v>58</v>
      </c>
      <c r="P23" s="68" t="s">
        <v>58</v>
      </c>
      <c r="Q23" s="34"/>
      <c r="R23" s="68" t="s">
        <v>58</v>
      </c>
      <c r="S23" s="68" t="s">
        <v>58</v>
      </c>
      <c r="U23" s="68">
        <v>0.89</v>
      </c>
      <c r="V23" s="68">
        <v>1.0646</v>
      </c>
      <c r="W23" s="68" t="s">
        <v>58</v>
      </c>
    </row>
    <row r="24" spans="1:23" x14ac:dyDescent="0.2">
      <c r="D24" s="7"/>
      <c r="E24" s="8"/>
      <c r="F24" s="7"/>
      <c r="G24" s="9"/>
      <c r="H24" s="3"/>
      <c r="I24" s="4"/>
      <c r="J24" s="4"/>
      <c r="K24" s="4"/>
      <c r="L24" s="4"/>
      <c r="M24" s="4"/>
      <c r="N24" s="3"/>
      <c r="O24" s="4"/>
      <c r="P24" s="4"/>
      <c r="Q24" s="3"/>
      <c r="R24" s="4"/>
      <c r="S24" s="4"/>
    </row>
    <row r="26" spans="1:23" s="18" customFormat="1" x14ac:dyDescent="0.3">
      <c r="A26" s="5"/>
      <c r="B26" s="5"/>
      <c r="C26" s="5"/>
      <c r="D26" s="45"/>
      <c r="E26" s="46"/>
      <c r="F26" s="47"/>
      <c r="G26" s="48" t="s">
        <v>83</v>
      </c>
      <c r="H26" s="47"/>
      <c r="I26" s="49">
        <v>4.4579521025081394</v>
      </c>
      <c r="J26" s="49">
        <v>6.9719879305004362</v>
      </c>
      <c r="K26" s="49">
        <v>6.430369839220937</v>
      </c>
      <c r="L26" s="49">
        <v>5.4836210000630139</v>
      </c>
      <c r="M26" s="49">
        <v>3.4469214031878082</v>
      </c>
      <c r="N26" s="49"/>
      <c r="O26" s="49">
        <v>8.1586758238773065</v>
      </c>
      <c r="P26" s="49">
        <v>7.6162092772602383</v>
      </c>
      <c r="Q26" s="47"/>
      <c r="R26" s="50"/>
      <c r="S26" s="50"/>
      <c r="T26" s="5"/>
    </row>
    <row r="28" spans="1:23" x14ac:dyDescent="0.2">
      <c r="A28" s="17" t="s">
        <v>34</v>
      </c>
      <c r="B28" s="17"/>
      <c r="C28" s="17"/>
      <c r="D28" s="17"/>
      <c r="E28" s="17"/>
      <c r="F28" s="17"/>
      <c r="G28" s="17"/>
      <c r="H28" s="17"/>
      <c r="I28" s="17"/>
      <c r="J28" s="17"/>
      <c r="K28" s="17"/>
      <c r="L28" s="17"/>
      <c r="M28" s="17"/>
    </row>
    <row r="29" spans="1:23" x14ac:dyDescent="0.2">
      <c r="A29" s="17" t="s">
        <v>69</v>
      </c>
      <c r="B29" s="17"/>
      <c r="C29" s="17"/>
      <c r="D29" s="17"/>
      <c r="E29" s="17"/>
      <c r="F29" s="17"/>
      <c r="G29" s="17"/>
      <c r="H29" s="17"/>
      <c r="I29" s="17"/>
      <c r="J29" s="17"/>
      <c r="K29" s="17"/>
      <c r="L29" s="17"/>
      <c r="M29" s="17"/>
    </row>
    <row r="30" spans="1:23" x14ac:dyDescent="0.2">
      <c r="A30" s="17" t="s">
        <v>71</v>
      </c>
      <c r="B30" s="17"/>
      <c r="C30" s="17"/>
      <c r="D30" s="17"/>
      <c r="E30" s="17"/>
      <c r="F30" s="17"/>
      <c r="G30" s="17"/>
      <c r="H30" s="17"/>
      <c r="I30" s="17"/>
      <c r="J30" s="17"/>
      <c r="K30" s="17"/>
      <c r="L30" s="17"/>
      <c r="M30" s="17"/>
    </row>
    <row r="31" spans="1:23" x14ac:dyDescent="0.2">
      <c r="A31" s="17" t="s">
        <v>73</v>
      </c>
      <c r="B31" s="17"/>
      <c r="C31" s="17"/>
      <c r="D31" s="17"/>
      <c r="E31" s="17"/>
      <c r="F31" s="17"/>
      <c r="G31" s="17"/>
      <c r="H31" s="17"/>
      <c r="I31" s="17"/>
      <c r="J31" s="17"/>
      <c r="K31" s="17"/>
      <c r="L31" s="17"/>
      <c r="M31" s="17"/>
    </row>
    <row r="32" spans="1:23" x14ac:dyDescent="0.2">
      <c r="A32" s="17" t="s">
        <v>75</v>
      </c>
      <c r="B32" s="17"/>
      <c r="C32" s="17"/>
      <c r="D32" s="17"/>
      <c r="E32" s="17"/>
      <c r="F32" s="17"/>
      <c r="G32" s="17"/>
      <c r="H32" s="17"/>
      <c r="I32" s="17"/>
      <c r="J32" s="17"/>
      <c r="K32" s="17"/>
      <c r="L32" s="17"/>
      <c r="M32" s="17"/>
    </row>
    <row r="33" spans="1:13" x14ac:dyDescent="0.2">
      <c r="A33" s="69" t="s">
        <v>93</v>
      </c>
      <c r="B33" s="17"/>
      <c r="C33" s="17"/>
      <c r="D33" s="17"/>
      <c r="E33" s="17"/>
      <c r="F33" s="17"/>
      <c r="G33" s="17"/>
      <c r="H33" s="17"/>
      <c r="I33" s="17"/>
      <c r="J33" s="17"/>
      <c r="K33" s="17"/>
      <c r="L33" s="17"/>
      <c r="M33" s="17"/>
    </row>
    <row r="34" spans="1:13" x14ac:dyDescent="0.2">
      <c r="A34" s="17" t="s">
        <v>78</v>
      </c>
    </row>
    <row r="35" spans="1:13" x14ac:dyDescent="0.2">
      <c r="A35" s="1" t="s">
        <v>97</v>
      </c>
    </row>
  </sheetData>
  <mergeCells count="4">
    <mergeCell ref="O1:P1"/>
    <mergeCell ref="I1:M1"/>
    <mergeCell ref="R1:S1"/>
    <mergeCell ref="U1:W1"/>
  </mergeCells>
  <conditionalFormatting sqref="I4:L6">
    <cfRule type="cellIs" dxfId="91" priority="131" operator="greaterThanOrEqual">
      <formula>0</formula>
    </cfRule>
    <cfRule type="cellIs" dxfId="90" priority="132" operator="lessThan">
      <formula>0</formula>
    </cfRule>
  </conditionalFormatting>
  <conditionalFormatting sqref="I9:L15 I16">
    <cfRule type="cellIs" dxfId="89" priority="129" operator="greaterThanOrEqual">
      <formula>0</formula>
    </cfRule>
    <cfRule type="cellIs" dxfId="88" priority="130" operator="lessThan">
      <formula>0</formula>
    </cfRule>
  </conditionalFormatting>
  <conditionalFormatting sqref="I19:L22">
    <cfRule type="cellIs" dxfId="87" priority="127" operator="greaterThanOrEqual">
      <formula>0</formula>
    </cfRule>
    <cfRule type="cellIs" dxfId="86" priority="128" operator="lessThan">
      <formula>0</formula>
    </cfRule>
  </conditionalFormatting>
  <conditionalFormatting sqref="O4:P6">
    <cfRule type="cellIs" dxfId="85" priority="125" operator="greaterThanOrEqual">
      <formula>0</formula>
    </cfRule>
    <cfRule type="cellIs" dxfId="84" priority="126" operator="lessThan">
      <formula>0</formula>
    </cfRule>
  </conditionalFormatting>
  <conditionalFormatting sqref="O9:P13">
    <cfRule type="cellIs" dxfId="83" priority="123" operator="greaterThanOrEqual">
      <formula>0</formula>
    </cfRule>
    <cfRule type="cellIs" dxfId="82" priority="124" operator="lessThan">
      <formula>0</formula>
    </cfRule>
  </conditionalFormatting>
  <conditionalFormatting sqref="O19:P22">
    <cfRule type="cellIs" dxfId="81" priority="121" operator="greaterThanOrEqual">
      <formula>0</formula>
    </cfRule>
    <cfRule type="cellIs" dxfId="80" priority="122" operator="lessThan">
      <formula>0</formula>
    </cfRule>
  </conditionalFormatting>
  <conditionalFormatting sqref="R4:S6">
    <cfRule type="cellIs" dxfId="79" priority="119" operator="greaterThanOrEqual">
      <formula>0</formula>
    </cfRule>
    <cfRule type="cellIs" dxfId="78" priority="120" operator="lessThan">
      <formula>0</formula>
    </cfRule>
  </conditionalFormatting>
  <conditionalFormatting sqref="R9:S13">
    <cfRule type="cellIs" dxfId="77" priority="117" operator="greaterThanOrEqual">
      <formula>0</formula>
    </cfRule>
    <cfRule type="cellIs" dxfId="76" priority="118" operator="lessThan">
      <formula>0</formula>
    </cfRule>
  </conditionalFormatting>
  <conditionalFormatting sqref="R19:S22">
    <cfRule type="cellIs" dxfId="75" priority="115" operator="greaterThanOrEqual">
      <formula>0</formula>
    </cfRule>
    <cfRule type="cellIs" dxfId="74" priority="116" operator="lessThan">
      <formula>0</formula>
    </cfRule>
  </conditionalFormatting>
  <conditionalFormatting sqref="R14:S15">
    <cfRule type="cellIs" dxfId="73" priority="79" operator="greaterThanOrEqual">
      <formula>0</formula>
    </cfRule>
    <cfRule type="cellIs" dxfId="72" priority="80" operator="lessThan">
      <formula>0</formula>
    </cfRule>
  </conditionalFormatting>
  <conditionalFormatting sqref="O14:P15">
    <cfRule type="cellIs" dxfId="71" priority="81" operator="greaterThanOrEqual">
      <formula>0</formula>
    </cfRule>
    <cfRule type="cellIs" dxfId="70" priority="82" operator="lessThan">
      <formula>0</formula>
    </cfRule>
  </conditionalFormatting>
  <conditionalFormatting sqref="O23:P23">
    <cfRule type="cellIs" dxfId="69" priority="77" operator="greaterThanOrEqual">
      <formula>0</formula>
    </cfRule>
    <cfRule type="cellIs" dxfId="68" priority="78" operator="lessThan">
      <formula>0</formula>
    </cfRule>
  </conditionalFormatting>
  <conditionalFormatting sqref="R23:S23">
    <cfRule type="cellIs" dxfId="67" priority="75" operator="greaterThanOrEqual">
      <formula>0</formula>
    </cfRule>
    <cfRule type="cellIs" dxfId="66" priority="76" operator="lessThan">
      <formula>0</formula>
    </cfRule>
  </conditionalFormatting>
  <conditionalFormatting sqref="J23:L23">
    <cfRule type="cellIs" dxfId="65" priority="73" operator="greaterThanOrEqual">
      <formula>0</formula>
    </cfRule>
    <cfRule type="cellIs" dxfId="64" priority="74" operator="lessThan">
      <formula>0</formula>
    </cfRule>
  </conditionalFormatting>
  <conditionalFormatting sqref="I23">
    <cfRule type="cellIs" dxfId="63" priority="69" operator="greaterThanOrEqual">
      <formula>0</formula>
    </cfRule>
    <cfRule type="cellIs" dxfId="62" priority="70" operator="lessThan">
      <formula>0</formula>
    </cfRule>
  </conditionalFormatting>
  <conditionalFormatting sqref="M5:M6">
    <cfRule type="cellIs" dxfId="61" priority="67" operator="greaterThanOrEqual">
      <formula>0</formula>
    </cfRule>
    <cfRule type="cellIs" dxfId="60" priority="68" operator="lessThan">
      <formula>0</formula>
    </cfRule>
  </conditionalFormatting>
  <conditionalFormatting sqref="M9">
    <cfRule type="cellIs" dxfId="59" priority="65" operator="greaterThanOrEqual">
      <formula>0</formula>
    </cfRule>
    <cfRule type="cellIs" dxfId="58" priority="66" operator="lessThan">
      <formula>0</formula>
    </cfRule>
  </conditionalFormatting>
  <conditionalFormatting sqref="M22">
    <cfRule type="cellIs" dxfId="57" priority="63" operator="greaterThanOrEqual">
      <formula>0</formula>
    </cfRule>
    <cfRule type="cellIs" dxfId="56" priority="64" operator="lessThan">
      <formula>0</formula>
    </cfRule>
  </conditionalFormatting>
  <conditionalFormatting sqref="M16">
    <cfRule type="cellIs" dxfId="55" priority="43" operator="greaterThanOrEqual">
      <formula>0</formula>
    </cfRule>
    <cfRule type="cellIs" dxfId="54" priority="44" operator="lessThan">
      <formula>0</formula>
    </cfRule>
  </conditionalFormatting>
  <conditionalFormatting sqref="J16:L16">
    <cfRule type="cellIs" dxfId="53" priority="45" operator="greaterThanOrEqual">
      <formula>0</formula>
    </cfRule>
    <cfRule type="cellIs" dxfId="52" priority="46" operator="lessThan">
      <formula>0</formula>
    </cfRule>
  </conditionalFormatting>
  <conditionalFormatting sqref="M14:M15">
    <cfRule type="cellIs" dxfId="51" priority="47" operator="greaterThanOrEqual">
      <formula>0</formula>
    </cfRule>
    <cfRule type="cellIs" dxfId="50" priority="48" operator="lessThan">
      <formula>0</formula>
    </cfRule>
  </conditionalFormatting>
  <conditionalFormatting sqref="R16:S16">
    <cfRule type="cellIs" dxfId="49" priority="49" operator="greaterThanOrEqual">
      <formula>0</formula>
    </cfRule>
    <cfRule type="cellIs" dxfId="48" priority="50" operator="lessThan">
      <formula>0</formula>
    </cfRule>
  </conditionalFormatting>
  <conditionalFormatting sqref="O16:P16">
    <cfRule type="cellIs" dxfId="47" priority="51" operator="greaterThanOrEqual">
      <formula>0</formula>
    </cfRule>
    <cfRule type="cellIs" dxfId="46" priority="52" operator="lessThan">
      <formula>0</formula>
    </cfRule>
  </conditionalFormatting>
  <conditionalFormatting sqref="M23">
    <cfRule type="cellIs" dxfId="45" priority="41" operator="greaterThanOrEqual">
      <formula>0</formula>
    </cfRule>
    <cfRule type="cellIs" dxfId="44" priority="42" operator="lessThan">
      <formula>0</formula>
    </cfRule>
  </conditionalFormatting>
  <conditionalFormatting sqref="M4">
    <cfRule type="cellIs" dxfId="43" priority="39" operator="greaterThanOrEqual">
      <formula>0</formula>
    </cfRule>
    <cfRule type="cellIs" dxfId="42" priority="40" operator="lessThan">
      <formula>0</formula>
    </cfRule>
  </conditionalFormatting>
  <conditionalFormatting sqref="M10">
    <cfRule type="cellIs" dxfId="41" priority="37" operator="greaterThanOrEqual">
      <formula>0</formula>
    </cfRule>
    <cfRule type="cellIs" dxfId="40" priority="38" operator="lessThan">
      <formula>0</formula>
    </cfRule>
  </conditionalFormatting>
  <conditionalFormatting sqref="M11">
    <cfRule type="cellIs" dxfId="39" priority="35" operator="greaterThanOrEqual">
      <formula>0</formula>
    </cfRule>
    <cfRule type="cellIs" dxfId="38" priority="36" operator="lessThan">
      <formula>0</formula>
    </cfRule>
  </conditionalFormatting>
  <conditionalFormatting sqref="M12">
    <cfRule type="cellIs" dxfId="37" priority="33" operator="greaterThanOrEqual">
      <formula>0</formula>
    </cfRule>
    <cfRule type="cellIs" dxfId="36" priority="34" operator="lessThan">
      <formula>0</formula>
    </cfRule>
  </conditionalFormatting>
  <conditionalFormatting sqref="M13">
    <cfRule type="cellIs" dxfId="35" priority="31" operator="greaterThanOrEqual">
      <formula>0</formula>
    </cfRule>
    <cfRule type="cellIs" dxfId="34" priority="32" operator="lessThan">
      <formula>0</formula>
    </cfRule>
  </conditionalFormatting>
  <conditionalFormatting sqref="M19">
    <cfRule type="cellIs" dxfId="33" priority="29" operator="greaterThanOrEqual">
      <formula>0</formula>
    </cfRule>
    <cfRule type="cellIs" dxfId="32" priority="30" operator="lessThan">
      <formula>0</formula>
    </cfRule>
  </conditionalFormatting>
  <conditionalFormatting sqref="M20">
    <cfRule type="cellIs" dxfId="31" priority="27" operator="greaterThanOrEqual">
      <formula>0</formula>
    </cfRule>
    <cfRule type="cellIs" dxfId="30" priority="28" operator="lessThan">
      <formula>0</formula>
    </cfRule>
  </conditionalFormatting>
  <conditionalFormatting sqref="M21">
    <cfRule type="cellIs" dxfId="29" priority="25" operator="greaterThanOrEqual">
      <formula>0</formula>
    </cfRule>
    <cfRule type="cellIs" dxfId="28" priority="26" operator="lessThan">
      <formula>0</formula>
    </cfRule>
  </conditionalFormatting>
  <conditionalFormatting sqref="I27:S1048576">
    <cfRule type="duplicateValues" dxfId="27" priority="169"/>
  </conditionalFormatting>
  <conditionalFormatting sqref="U4:V6">
    <cfRule type="cellIs" dxfId="23" priority="23" operator="greaterThanOrEqual">
      <formula>0</formula>
    </cfRule>
    <cfRule type="cellIs" dxfId="22" priority="24" operator="lessThan">
      <formula>0</formula>
    </cfRule>
  </conditionalFormatting>
  <conditionalFormatting sqref="U9:V13">
    <cfRule type="cellIs" dxfId="21" priority="21" operator="greaterThanOrEqual">
      <formula>0</formula>
    </cfRule>
    <cfRule type="cellIs" dxfId="20" priority="22" operator="lessThan">
      <formula>0</formula>
    </cfRule>
  </conditionalFormatting>
  <conditionalFormatting sqref="U19:V22">
    <cfRule type="cellIs" dxfId="19" priority="19" operator="greaterThanOrEqual">
      <formula>0</formula>
    </cfRule>
    <cfRule type="cellIs" dxfId="18" priority="20" operator="lessThan">
      <formula>0</formula>
    </cfRule>
  </conditionalFormatting>
  <conditionalFormatting sqref="U14:V15">
    <cfRule type="cellIs" dxfId="17" priority="17" operator="greaterThanOrEqual">
      <formula>0</formula>
    </cfRule>
    <cfRule type="cellIs" dxfId="16" priority="18" operator="lessThan">
      <formula>0</formula>
    </cfRule>
  </conditionalFormatting>
  <conditionalFormatting sqref="U23:V23">
    <cfRule type="cellIs" dxfId="15" priority="15" operator="greaterThanOrEqual">
      <formula>0</formula>
    </cfRule>
    <cfRule type="cellIs" dxfId="14" priority="16" operator="lessThan">
      <formula>0</formula>
    </cfRule>
  </conditionalFormatting>
  <conditionalFormatting sqref="U16:V16">
    <cfRule type="cellIs" dxfId="13" priority="13" operator="greaterThanOrEqual">
      <formula>0</formula>
    </cfRule>
    <cfRule type="cellIs" dxfId="12" priority="14" operator="lessThan">
      <formula>0</formula>
    </cfRule>
  </conditionalFormatting>
  <conditionalFormatting sqref="W4:W6">
    <cfRule type="cellIs" dxfId="11" priority="11" operator="greaterThanOrEqual">
      <formula>0</formula>
    </cfRule>
    <cfRule type="cellIs" dxfId="10" priority="12" operator="lessThan">
      <formula>0</formula>
    </cfRule>
  </conditionalFormatting>
  <conditionalFormatting sqref="W9:W13">
    <cfRule type="cellIs" dxfId="9" priority="9" operator="greaterThanOrEqual">
      <formula>0</formula>
    </cfRule>
    <cfRule type="cellIs" dxfId="8" priority="10" operator="lessThan">
      <formula>0</formula>
    </cfRule>
  </conditionalFormatting>
  <conditionalFormatting sqref="W19:W22">
    <cfRule type="cellIs" dxfId="7" priority="7" operator="greaterThanOrEqual">
      <formula>0</formula>
    </cfRule>
    <cfRule type="cellIs" dxfId="6" priority="8" operator="lessThan">
      <formula>0</formula>
    </cfRule>
  </conditionalFormatting>
  <conditionalFormatting sqref="W14:W15">
    <cfRule type="cellIs" dxfId="5" priority="5" operator="greaterThanOrEqual">
      <formula>0</formula>
    </cfRule>
    <cfRule type="cellIs" dxfId="4" priority="6" operator="lessThan">
      <formula>0</formula>
    </cfRule>
  </conditionalFormatting>
  <conditionalFormatting sqref="W23">
    <cfRule type="cellIs" dxfId="3" priority="3" operator="greaterThanOrEqual">
      <formula>0</formula>
    </cfRule>
    <cfRule type="cellIs" dxfId="2" priority="4" operator="lessThan">
      <formula>0</formula>
    </cfRule>
  </conditionalFormatting>
  <conditionalFormatting sqref="W16">
    <cfRule type="cellIs" dxfId="1" priority="1" operator="greaterThanOrEqual">
      <formula>0</formula>
    </cfRule>
    <cfRule type="cellIs" dxfId="0" priority="2" operator="less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8"/>
  <sheetViews>
    <sheetView showGridLines="0" zoomScale="85" zoomScaleNormal="85" workbookViewId="0">
      <selection activeCell="N14" sqref="N14"/>
    </sheetView>
  </sheetViews>
  <sheetFormatPr defaultRowHeight="14.4" x14ac:dyDescent="0.3"/>
  <cols>
    <col min="1" max="1" width="40.5546875" customWidth="1"/>
    <col min="2" max="2" width="32.44140625" bestFit="1" customWidth="1"/>
    <col min="3" max="3" width="19.6640625" bestFit="1" customWidth="1"/>
    <col min="4" max="4" width="18.88671875" bestFit="1" customWidth="1"/>
    <col min="6" max="6" width="9.6640625" customWidth="1"/>
    <col min="16" max="16" width="10.6640625" customWidth="1"/>
  </cols>
  <sheetData>
    <row r="1" spans="1:20" s="11" customFormat="1" ht="13.8" x14ac:dyDescent="0.25">
      <c r="A1" s="23" t="s">
        <v>32</v>
      </c>
      <c r="B1" s="23" t="s">
        <v>31</v>
      </c>
      <c r="C1" s="23" t="s">
        <v>17</v>
      </c>
      <c r="E1" s="12"/>
      <c r="G1" s="13"/>
      <c r="I1" s="14"/>
      <c r="J1" s="14"/>
      <c r="K1" s="14"/>
      <c r="L1" s="14"/>
      <c r="N1" s="14"/>
      <c r="O1" s="14"/>
      <c r="Q1" s="15"/>
      <c r="R1" s="15"/>
      <c r="S1" s="15"/>
      <c r="T1" s="15"/>
    </row>
    <row r="2" spans="1:20" s="10" customFormat="1" x14ac:dyDescent="0.3">
      <c r="A2" s="30" t="s">
        <v>3</v>
      </c>
      <c r="B2" s="53">
        <v>71.71091100000001</v>
      </c>
      <c r="C2" s="54">
        <v>38804</v>
      </c>
      <c r="G2" s="6"/>
      <c r="H2" s="6"/>
      <c r="I2" s="6"/>
    </row>
    <row r="3" spans="1:20" s="10" customFormat="1" x14ac:dyDescent="0.3">
      <c r="A3" s="30" t="s">
        <v>36</v>
      </c>
      <c r="B3" s="53">
        <v>61.663682999999999</v>
      </c>
      <c r="C3" s="54">
        <v>23464</v>
      </c>
      <c r="G3" s="6"/>
      <c r="H3" s="6"/>
      <c r="I3" s="6"/>
    </row>
    <row r="4" spans="1:20" s="10" customFormat="1" x14ac:dyDescent="0.3">
      <c r="A4" s="30" t="s">
        <v>37</v>
      </c>
      <c r="B4" s="53">
        <v>45.914781000000005</v>
      </c>
      <c r="C4" s="54">
        <v>13138</v>
      </c>
      <c r="E4" s="6"/>
      <c r="F4" s="6"/>
      <c r="G4" s="6"/>
      <c r="H4" s="6"/>
      <c r="I4" s="6"/>
      <c r="O4" s="6"/>
      <c r="P4" s="62"/>
    </row>
    <row r="5" spans="1:20" s="10" customFormat="1" x14ac:dyDescent="0.3">
      <c r="A5" s="30" t="s">
        <v>57</v>
      </c>
      <c r="B5" s="53">
        <v>2.2933370000000002</v>
      </c>
      <c r="C5" s="54">
        <v>1191</v>
      </c>
      <c r="E5" s="6"/>
      <c r="F5" s="6"/>
      <c r="G5" s="6"/>
      <c r="H5" s="6"/>
      <c r="I5" s="6"/>
      <c r="O5" s="60"/>
      <c r="P5" s="62"/>
    </row>
    <row r="6" spans="1:20" s="11" customFormat="1" ht="13.8" x14ac:dyDescent="0.25">
      <c r="A6" s="57" t="s">
        <v>35</v>
      </c>
      <c r="B6" s="55">
        <v>181.58271200000001</v>
      </c>
      <c r="C6" s="56">
        <v>76597</v>
      </c>
      <c r="E6" s="12"/>
      <c r="G6" s="13"/>
      <c r="I6" s="14"/>
      <c r="J6" s="14"/>
      <c r="K6" s="14"/>
      <c r="L6" s="14"/>
      <c r="N6" s="14"/>
      <c r="O6" s="61"/>
      <c r="P6" s="61"/>
      <c r="Q6" s="15"/>
      <c r="R6" s="15"/>
      <c r="S6" s="15"/>
      <c r="T6" s="15"/>
    </row>
    <row r="7" spans="1:20" s="10" customFormat="1" x14ac:dyDescent="0.3">
      <c r="B7" s="16"/>
      <c r="E7" s="6"/>
      <c r="F7" s="6"/>
      <c r="G7" s="6"/>
      <c r="H7" s="6"/>
      <c r="I7" s="6"/>
    </row>
    <row r="8" spans="1:20" s="11" customFormat="1" ht="22.8" customHeight="1" x14ac:dyDescent="0.25">
      <c r="E8" s="12"/>
      <c r="G8" s="13"/>
      <c r="I8" s="14"/>
      <c r="J8" s="14"/>
      <c r="K8" s="14"/>
      <c r="L8" s="14"/>
      <c r="N8" s="14"/>
      <c r="O8" s="14"/>
      <c r="Q8" s="15"/>
      <c r="R8" s="15"/>
      <c r="S8" s="15"/>
      <c r="T8" s="15"/>
    </row>
    <row r="9" spans="1:20" s="10" customFormat="1" x14ac:dyDescent="0.3"/>
    <row r="10" spans="1:20" s="10" customFormat="1" x14ac:dyDescent="0.3"/>
    <row r="11" spans="1:20" s="10" customFormat="1" x14ac:dyDescent="0.3"/>
    <row r="12" spans="1:20" s="10" customFormat="1" x14ac:dyDescent="0.3"/>
    <row r="13" spans="1:20" s="10" customFormat="1" x14ac:dyDescent="0.3"/>
    <row r="14" spans="1:20" s="10" customFormat="1" x14ac:dyDescent="0.3"/>
    <row r="15" spans="1:20" s="10" customFormat="1" x14ac:dyDescent="0.3"/>
    <row r="16" spans="1:20" s="10" customFormat="1" x14ac:dyDescent="0.3"/>
    <row r="17" spans="1:3" s="10" customFormat="1" x14ac:dyDescent="0.3"/>
    <row r="18" spans="1:3" s="10" customFormat="1" x14ac:dyDescent="0.3"/>
    <row r="19" spans="1:3" s="10" customFormat="1" x14ac:dyDescent="0.3"/>
    <row r="20" spans="1:3" s="10" customFormat="1" x14ac:dyDescent="0.3"/>
    <row r="21" spans="1:3" ht="33" customHeight="1" x14ac:dyDescent="0.3">
      <c r="A21" s="23" t="s">
        <v>33</v>
      </c>
      <c r="B21" s="23" t="s">
        <v>48</v>
      </c>
      <c r="C21" s="23" t="s">
        <v>49</v>
      </c>
    </row>
    <row r="22" spans="1:3" x14ac:dyDescent="0.3">
      <c r="A22" s="30" t="s">
        <v>4</v>
      </c>
      <c r="B22" s="53">
        <v>13.995296</v>
      </c>
      <c r="C22" s="54">
        <v>3135</v>
      </c>
    </row>
    <row r="23" spans="1:3" x14ac:dyDescent="0.3">
      <c r="A23" s="30" t="s">
        <v>8</v>
      </c>
      <c r="B23" s="53">
        <v>3.1351330000000002</v>
      </c>
      <c r="C23" s="54">
        <v>1339</v>
      </c>
    </row>
    <row r="24" spans="1:3" x14ac:dyDescent="0.3">
      <c r="A24" s="30" t="s">
        <v>7</v>
      </c>
      <c r="B24" s="53">
        <v>11.735611</v>
      </c>
      <c r="C24" s="54">
        <v>4081</v>
      </c>
    </row>
    <row r="25" spans="1:3" x14ac:dyDescent="0.3">
      <c r="A25" s="30" t="s">
        <v>12</v>
      </c>
      <c r="B25" s="53">
        <v>5.339995</v>
      </c>
      <c r="C25" s="54">
        <v>2664</v>
      </c>
    </row>
    <row r="26" spans="1:3" x14ac:dyDescent="0.3">
      <c r="A26" s="30" t="s">
        <v>13</v>
      </c>
      <c r="B26" s="53">
        <v>27.457647999999999</v>
      </c>
      <c r="C26" s="54">
        <v>12245</v>
      </c>
    </row>
    <row r="27" spans="1:3" x14ac:dyDescent="0.3">
      <c r="A27" s="30" t="s">
        <v>5</v>
      </c>
      <c r="B27" s="53">
        <v>12.353073999999999</v>
      </c>
      <c r="C27" s="54">
        <v>5347</v>
      </c>
    </row>
    <row r="28" spans="1:3" x14ac:dyDescent="0.3">
      <c r="A28" s="30" t="s">
        <v>6</v>
      </c>
      <c r="B28" s="53">
        <v>44.546714999999999</v>
      </c>
      <c r="C28" s="54">
        <v>26833</v>
      </c>
    </row>
    <row r="29" spans="1:3" x14ac:dyDescent="0.3">
      <c r="A29" s="30" t="s">
        <v>11</v>
      </c>
      <c r="B29" s="53">
        <v>10.902934999999999</v>
      </c>
      <c r="C29" s="54">
        <v>5112</v>
      </c>
    </row>
    <row r="30" spans="1:3" x14ac:dyDescent="0.3">
      <c r="A30" s="30" t="s">
        <v>9</v>
      </c>
      <c r="B30" s="53">
        <v>0.91961099999999996</v>
      </c>
      <c r="C30" s="54">
        <v>455</v>
      </c>
    </row>
    <row r="31" spans="1:3" x14ac:dyDescent="0.3">
      <c r="A31" s="30" t="s">
        <v>10</v>
      </c>
      <c r="B31" s="53">
        <v>2.9885760000000001</v>
      </c>
      <c r="C31" s="54">
        <v>1057</v>
      </c>
    </row>
    <row r="32" spans="1:3" x14ac:dyDescent="0.3">
      <c r="A32" s="30" t="s">
        <v>65</v>
      </c>
      <c r="B32" s="53">
        <v>0.39807700000000001</v>
      </c>
      <c r="C32" s="54">
        <v>146</v>
      </c>
    </row>
    <row r="33" spans="1:3" x14ac:dyDescent="0.3">
      <c r="A33" s="30" t="s">
        <v>67</v>
      </c>
      <c r="B33" s="53">
        <v>9.5895779999999995</v>
      </c>
      <c r="C33" s="54">
        <v>2122</v>
      </c>
    </row>
    <row r="34" spans="1:3" x14ac:dyDescent="0.3">
      <c r="A34" s="30" t="s">
        <v>66</v>
      </c>
      <c r="B34" s="53">
        <v>35.927126000000001</v>
      </c>
      <c r="C34" s="54">
        <v>10870</v>
      </c>
    </row>
    <row r="35" spans="1:3" x14ac:dyDescent="0.3">
      <c r="A35" s="30" t="s">
        <v>59</v>
      </c>
      <c r="B35" s="53">
        <v>0.17034299999999999</v>
      </c>
      <c r="C35" s="54">
        <v>98</v>
      </c>
    </row>
    <row r="36" spans="1:3" x14ac:dyDescent="0.3">
      <c r="A36" s="30" t="s">
        <v>61</v>
      </c>
      <c r="B36" s="53">
        <v>0.53281199999999995</v>
      </c>
      <c r="C36" s="54">
        <v>268</v>
      </c>
    </row>
    <row r="37" spans="1:3" x14ac:dyDescent="0.3">
      <c r="A37" s="30" t="s">
        <v>60</v>
      </c>
      <c r="B37" s="53">
        <v>1.590182</v>
      </c>
      <c r="C37" s="54">
        <v>825</v>
      </c>
    </row>
    <row r="38" spans="1:3" x14ac:dyDescent="0.3">
      <c r="A38" s="57" t="s">
        <v>35</v>
      </c>
      <c r="B38" s="55">
        <v>181.58271200000001</v>
      </c>
      <c r="C38" s="56">
        <v>76597</v>
      </c>
    </row>
  </sheetData>
  <conditionalFormatting sqref="I1:R1">
    <cfRule type="duplicateValues" dxfId="26" priority="6"/>
  </conditionalFormatting>
  <conditionalFormatting sqref="I8:R8">
    <cfRule type="duplicateValues" dxfId="25" priority="5"/>
  </conditionalFormatting>
  <conditionalFormatting sqref="I6:R6">
    <cfRule type="duplicateValues" dxfId="24"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2021-03-31</vt:lpstr>
      <vt:lpstr>Papildoma informacija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2021-05-03T08:23:19Z</dcterms:modified>
</cp:coreProperties>
</file>