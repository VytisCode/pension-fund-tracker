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864A31D-BA16-4D6F-91FC-694D5D4B435F}" xr6:coauthVersionLast="47" xr6:coauthVersionMax="47" xr10:uidLastSave="{00000000-0000-0000-0000-000000000000}"/>
  <bookViews>
    <workbookView xWindow="-110" yWindow="-110" windowWidth="19420" windowHeight="11500" tabRatio="803" xr2:uid="{00000000-000D-0000-FFFF-FFFF00000000}"/>
  </bookViews>
  <sheets>
    <sheet name="2023-12-31" sheetId="2" r:id="rId1"/>
    <sheet name="Papildoma informacija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3" i="12" l="1"/>
  <c r="A24" i="12"/>
  <c r="A25" i="12"/>
  <c r="A26" i="12"/>
  <c r="A27" i="12"/>
  <c r="A28" i="12"/>
  <c r="A29" i="12"/>
  <c r="A30" i="12"/>
  <c r="A32" i="12"/>
  <c r="A33" i="12"/>
  <c r="A34" i="12"/>
  <c r="B42" i="12" l="1"/>
  <c r="C43" i="12"/>
  <c r="C42" i="12"/>
  <c r="B40" i="12"/>
  <c r="B37" i="12"/>
  <c r="B41" i="12"/>
  <c r="B31" i="12"/>
  <c r="B39" i="12"/>
  <c r="C30" i="12"/>
  <c r="C28" i="12"/>
  <c r="C35" i="12"/>
  <c r="C37" i="12"/>
  <c r="C34" i="12"/>
  <c r="C25" i="12"/>
  <c r="C29" i="12"/>
  <c r="C31" i="12"/>
  <c r="C32" i="12"/>
  <c r="C36" i="12"/>
  <c r="C27" i="12"/>
  <c r="C24" i="12"/>
  <c r="C33" i="12"/>
  <c r="C41" i="12"/>
  <c r="C39" i="12"/>
  <c r="C26" i="12"/>
  <c r="C23" i="12"/>
  <c r="C40" i="12"/>
  <c r="C38" i="12"/>
  <c r="B34" i="12"/>
  <c r="B26" i="12"/>
  <c r="B25" i="12"/>
  <c r="B27" i="12"/>
  <c r="B33" i="12"/>
  <c r="B43" i="12" l="1"/>
  <c r="B24" i="12"/>
  <c r="B35" i="12"/>
  <c r="B23" i="12"/>
  <c r="B32" i="12"/>
  <c r="B38" i="12"/>
  <c r="C44" i="12"/>
  <c r="B36" i="12"/>
  <c r="B29" i="12"/>
  <c r="B28" i="12"/>
  <c r="B30" i="12"/>
  <c r="B44" i="12" l="1"/>
</calcChain>
</file>

<file path=xl/sharedStrings.xml><?xml version="1.0" encoding="utf-8"?>
<sst xmlns="http://schemas.openxmlformats.org/spreadsheetml/2006/main" count="235" uniqueCount="112">
  <si>
    <t xml:space="preserve">Pensijų kaupimo bendrovės pavadinimas
</t>
  </si>
  <si>
    <t xml:space="preserve">Fondo kodas
</t>
  </si>
  <si>
    <t xml:space="preserve">Pensijų fondo pavadinimas
</t>
  </si>
  <si>
    <t xml:space="preserve">Luminor investicijų valdymas UAB </t>
  </si>
  <si>
    <t>INVL STABILO III 58+ / INVL Stabilus</t>
  </si>
  <si>
    <t>INVL Medio III 47+</t>
  </si>
  <si>
    <t>INVL Apdairus</t>
  </si>
  <si>
    <t>INVL Drąsus</t>
  </si>
  <si>
    <t>INVL Extremo III 16+</t>
  </si>
  <si>
    <t>Mišraus investavimo pensijų fondai</t>
  </si>
  <si>
    <t>Akcijų pensijų fondai</t>
  </si>
  <si>
    <t>Obligacijų pensijų fondai</t>
  </si>
  <si>
    <t>Dalyvių skaičius</t>
  </si>
  <si>
    <t>S017</t>
  </si>
  <si>
    <t>S018</t>
  </si>
  <si>
    <t>S021</t>
  </si>
  <si>
    <t>S033</t>
  </si>
  <si>
    <t>S039</t>
  </si>
  <si>
    <t>S032</t>
  </si>
  <si>
    <t>S022</t>
  </si>
  <si>
    <t>S019</t>
  </si>
  <si>
    <t>S040</t>
  </si>
  <si>
    <t>S028</t>
  </si>
  <si>
    <t>FONDŲ GRĄŽA</t>
  </si>
  <si>
    <t>Grynųjų aktyvų vertė, mln.</t>
  </si>
  <si>
    <t>Pensijų kaupimo bendrovė</t>
  </si>
  <si>
    <t>Fondas</t>
  </si>
  <si>
    <r>
      <rPr>
        <b/>
        <i/>
        <u/>
        <sz val="10"/>
        <color theme="1"/>
        <rFont val="Verdana"/>
        <family val="2"/>
        <charset val="186"/>
      </rPr>
      <t xml:space="preserve">Pastaba: </t>
    </r>
    <r>
      <rPr>
        <sz val="10"/>
        <color theme="1"/>
        <rFont val="Verdana"/>
        <family val="2"/>
        <charset val="186"/>
      </rPr>
      <t>praeities rezultatai negarantuoja, kad tokie patys ar panašūs rezultatai bus ir ateityje.</t>
    </r>
  </si>
  <si>
    <t>IŠ VISO:</t>
  </si>
  <si>
    <t>UAB „SEB investicijų valdymas“</t>
  </si>
  <si>
    <t>Rizikingų aktyvų dalis fonde (investicijų į akcijas dalis), proc.</t>
  </si>
  <si>
    <t>iki 8</t>
  </si>
  <si>
    <t>iki 50</t>
  </si>
  <si>
    <t>iki 70</t>
  </si>
  <si>
    <t>iki 100</t>
  </si>
  <si>
    <t>vidutinė metinė lyginamojo indekso grąža per praėjusius 3 metus, proc.</t>
  </si>
  <si>
    <t>vidutinė metinė lyginamojo indekso grąža per praėjusius 5 metus, proc.</t>
  </si>
  <si>
    <t>standartinis nuokrypis per praėjusius 5 metus, proc.</t>
  </si>
  <si>
    <t>standartinis nuokrypis per praėjusius 10 metų, proc.</t>
  </si>
  <si>
    <t>Grynųjų aktyvų vertė, mln. (skalė kairėje)</t>
  </si>
  <si>
    <t>Dalyvių skaičius (skalė dešinėje)</t>
  </si>
  <si>
    <t>Veiklos 
laikotarpis</t>
  </si>
  <si>
    <t>S048</t>
  </si>
  <si>
    <t>S046</t>
  </si>
  <si>
    <t>S047</t>
  </si>
  <si>
    <t>UAB „Swedbank investicijų valdymas“</t>
  </si>
  <si>
    <t>-</t>
  </si>
  <si>
    <t>iki 30</t>
  </si>
  <si>
    <t>iki 60</t>
  </si>
  <si>
    <t>S049</t>
  </si>
  <si>
    <t>SEB pensija 50+</t>
  </si>
  <si>
    <t>SEB pensija 18+</t>
  </si>
  <si>
    <t>SEB pensija 58+</t>
  </si>
  <si>
    <t>grąža [1] nuo metų pradžios, proc.</t>
  </si>
  <si>
    <t>[1] Apskaitos vieneto vertės pokytis. Juo atsižvelgiama į atskaitymus nuo turto, tačiau neatsižvelgiama į atskaitymus nuo įmokų, dėl to grynoji grąža yra mažesnė.</t>
  </si>
  <si>
    <t>vidutinė metinė grąža [2] per praėjusius 3 metus, proc.</t>
  </si>
  <si>
    <t>[2] Apskaičiuota remiantis apskaitos vieneto vertės pokyčiu per nurodytą laikotarpį. Vidutinė metinė grąža gauta taikant geometrinį vidurkį.</t>
  </si>
  <si>
    <t>LYGINAMOJO INDEKSO GRĄŽA [3]</t>
  </si>
  <si>
    <t xml:space="preserve">[3] Lyginamasis indeksas apibrėžiamas kaip pensijų kaupimo bendrovės pasirinktas orientacinis investicijų portfelis, atitinkantis fondo investavimo strategiją, su kurio vertės pokyčio reikšme lyginama fondo investicijų portfelio investicijų grąža. </t>
  </si>
  <si>
    <t>RIZIKOS RODIKLIAI [4]</t>
  </si>
  <si>
    <t xml:space="preserve">[4] Rodikliui apskaičiuoti naudoti mėnesiniai apskaitos vieneto verčių pokyčiai, rezultatas perskaičiuotas į metinį. Standartinis nuokrypis parodo, kaip intensyviai per laikotarpį svyruoja fondo investicinio vieneto vertė. Kuo šis rodiklis didesnis, tuo didesnė rizika. </t>
  </si>
  <si>
    <t>Svertinis vidurkis [5]:</t>
  </si>
  <si>
    <t>Grynųjų aktyvų [6] vertė, mln. Eur</t>
  </si>
  <si>
    <t>[6] Grynieji aktyvai – pensijų fondą sudarančio turto vertės ir  įsipareigojimų skirtumas.</t>
  </si>
  <si>
    <t>40-60</t>
  </si>
  <si>
    <t>vidutinė metinė grąža [2] per praėjusius 5 metus, proc.</t>
  </si>
  <si>
    <t>vidutinė metinė grąža [2] per praėjusius 10 metų, proc.</t>
  </si>
  <si>
    <t>vidutinė metinė grąža [2] per praėjusius 15 metų, proc.</t>
  </si>
  <si>
    <t>Visų pensijų fondų svertinis vidurkis [5]:</t>
  </si>
  <si>
    <t>S050</t>
  </si>
  <si>
    <t>Luminor tvari ateitis index</t>
  </si>
  <si>
    <t>S051</t>
  </si>
  <si>
    <t>Pensijos fondas 60+ (apriboto nutraukimo)</t>
  </si>
  <si>
    <t>Pensijos fondas 18+ (apriboto nutraukimo)</t>
  </si>
  <si>
    <t>S052</t>
  </si>
  <si>
    <t>S053</t>
  </si>
  <si>
    <t>S054</t>
  </si>
  <si>
    <t>SEB index. Klimato ateitis</t>
  </si>
  <si>
    <t>Pensijos fondas 50+ (apriboto nutraukimo)</t>
  </si>
  <si>
    <t>Swedbank Pensijos fondas 60+ (apriboto nutraukimo)</t>
  </si>
  <si>
    <t>Swedbank Pensijos fondas 50+ (apriboto nutraukimo)</t>
  </si>
  <si>
    <t>Swedbank Pensijos fondas 60+</t>
  </si>
  <si>
    <t>Swedbank Pensijos fondas 50+</t>
  </si>
  <si>
    <t>Swedbank Pensijos fondas 18+ (apriboto nutraukimo)</t>
  </si>
  <si>
    <t>Swedbank Pensijos fondas 18+</t>
  </si>
  <si>
    <t>Goindex pasaulio akcijų</t>
  </si>
  <si>
    <t>Goindex subalansuotas</t>
  </si>
  <si>
    <t>Goindex, UAB</t>
  </si>
  <si>
    <t>S056</t>
  </si>
  <si>
    <t>S057</t>
  </si>
  <si>
    <t>Pensijos fondas 60+</t>
  </si>
  <si>
    <t>Pensijos fondas 50+</t>
  </si>
  <si>
    <t>Pensijos fondas 18+</t>
  </si>
  <si>
    <t>vidutinė metinė grąža [2] per praėjusius 1 metus, proc.</t>
  </si>
  <si>
    <t>Luminor ateitis 58 +</t>
  </si>
  <si>
    <t>Luminor ateitis 50 – 58</t>
  </si>
  <si>
    <t>Luminor ateitis 16 – 50</t>
  </si>
  <si>
    <t>10 m. 2 mėn.</t>
  </si>
  <si>
    <t xml:space="preserve">19 m. </t>
  </si>
  <si>
    <t>19 m. 2 mėn.</t>
  </si>
  <si>
    <t>10 m. 7 mėn.</t>
  </si>
  <si>
    <t>16 m. 3 mėn.</t>
  </si>
  <si>
    <t xml:space="preserve">4 m. </t>
  </si>
  <si>
    <t>1 m. 8 mėn.</t>
  </si>
  <si>
    <t>3 m. 9 mėn.</t>
  </si>
  <si>
    <t>1 m. 5 mėn.</t>
  </si>
  <si>
    <t>1 m. 11 mėn.</t>
  </si>
  <si>
    <t>2 m. 7 mėn.</t>
  </si>
  <si>
    <r>
      <t xml:space="preserve">[5] Svertiniam vidurkiui apskaičiuoti naudotas </t>
    </r>
    <r>
      <rPr>
        <b/>
        <sz val="10"/>
        <rFont val="Verdana"/>
        <family val="2"/>
        <charset val="186"/>
      </rPr>
      <t xml:space="preserve">2023-12-29 </t>
    </r>
    <r>
      <rPr>
        <sz val="10"/>
        <rFont val="Verdana"/>
        <family val="2"/>
        <charset val="186"/>
      </rPr>
      <t>dienos fondų grynųjų aktyvų dydis.</t>
    </r>
  </si>
  <si>
    <t>UAB „SB Asset Management“</t>
  </si>
  <si>
    <t>UAB „SB Asset Management“ [7]</t>
  </si>
  <si>
    <t>[7] Nuo 2023-12-01 UAB „INVL Asset Management“ pensijų fondus valdo UAB „SB Asset Management“.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</si>
</sst>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€_-;\-* #,##0.00\ _€_-;_-* &quot;-&quot;??\ _€_-;_-@_-"/>
    <numFmt numFmtId="165" formatCode="_-* #,##0\ _€_-;\-* #,##0\ _€_-;_-* &quot;-&quot;??\ _€_-;_-@_-"/>
    <numFmt numFmtId="166" formatCode="0.0%"/>
    <numFmt numFmtId="167" formatCode="yy\ &quot;m.&quot;\ mm\ &quot;mėn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  <charset val="186"/>
    </font>
    <font>
      <sz val="10"/>
      <color theme="1"/>
      <name val="Verdana"/>
      <family val="2"/>
      <charset val="186"/>
    </font>
    <font>
      <b/>
      <sz val="11"/>
      <color theme="1"/>
      <name val="Verdana"/>
      <family val="2"/>
      <charset val="186"/>
    </font>
    <font>
      <b/>
      <i/>
      <u/>
      <sz val="10"/>
      <color rgb="FFFF0000"/>
      <name val="Verdana"/>
      <family val="2"/>
      <charset val="186"/>
    </font>
    <font>
      <sz val="11"/>
      <color theme="1"/>
      <name val="Verdana"/>
      <family val="2"/>
      <charset val="186"/>
    </font>
    <font>
      <b/>
      <i/>
      <u/>
      <sz val="10"/>
      <color theme="1"/>
      <name val="Verdana"/>
      <family val="2"/>
      <charset val="186"/>
    </font>
    <font>
      <b/>
      <sz val="10"/>
      <color theme="0"/>
      <name val="Verdana"/>
      <family val="2"/>
      <charset val="186"/>
    </font>
    <font>
      <sz val="10"/>
      <color theme="0"/>
      <name val="Verdana"/>
      <family val="2"/>
      <charset val="186"/>
    </font>
    <font>
      <b/>
      <sz val="10"/>
      <name val="Verdana"/>
      <family val="2"/>
      <charset val="186"/>
    </font>
    <font>
      <sz val="10"/>
      <name val="Verdana"/>
      <family val="2"/>
      <charset val="186"/>
    </font>
    <font>
      <b/>
      <sz val="10"/>
      <color theme="0"/>
      <name val="Verdana"/>
      <family val="2"/>
    </font>
    <font>
      <sz val="10"/>
      <color rgb="FFFF0000"/>
      <name val="Verdana"/>
      <family val="2"/>
      <charset val="186"/>
    </font>
    <font>
      <sz val="10"/>
      <color rgb="FFC00000"/>
      <name val="Verdana"/>
      <family val="2"/>
      <charset val="186"/>
    </font>
    <font>
      <sz val="8"/>
      <name val="Calibri"/>
      <family val="2"/>
      <scheme val="minor"/>
    </font>
    <font>
      <sz val="1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7D"/>
        <bgColor indexed="64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 wrapText="1"/>
    </xf>
    <xf numFmtId="0" fontId="3" fillId="0" borderId="0" xfId="0" applyFont="1" applyFill="1" applyAlignment="1">
      <alignment vertical="center" wrapText="1"/>
    </xf>
    <xf numFmtId="0" fontId="3" fillId="0" borderId="0" xfId="0" applyFont="1" applyFill="1" applyAlignment="1">
      <alignment wrapText="1"/>
    </xf>
    <xf numFmtId="2" fontId="3" fillId="0" borderId="0" xfId="0" applyNumberFormat="1" applyFont="1" applyBorder="1" applyAlignment="1">
      <alignment horizontal="center" vertical="center"/>
    </xf>
    <xf numFmtId="9" fontId="3" fillId="0" borderId="0" xfId="2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Fill="1"/>
    <xf numFmtId="0" fontId="6" fillId="0" borderId="0" xfId="0" applyFont="1" applyFill="1" applyAlignment="1"/>
    <xf numFmtId="9" fontId="6" fillId="0" borderId="0" xfId="2" applyFont="1" applyFill="1" applyAlignment="1">
      <alignment horizontal="center"/>
    </xf>
    <xf numFmtId="0" fontId="4" fillId="0" borderId="0" xfId="0" applyFont="1" applyFill="1" applyAlignment="1">
      <alignment horizontal="right"/>
    </xf>
    <xf numFmtId="2" fontId="4" fillId="0" borderId="0" xfId="0" applyNumberFormat="1" applyFont="1" applyFill="1" applyAlignment="1">
      <alignment wrapText="1"/>
    </xf>
    <xf numFmtId="0" fontId="6" fillId="0" borderId="0" xfId="0" applyFont="1" applyFill="1" applyAlignment="1">
      <alignment wrapText="1"/>
    </xf>
    <xf numFmtId="2" fontId="0" fillId="0" borderId="0" xfId="0" applyNumberFormat="1" applyFill="1"/>
    <xf numFmtId="0" fontId="3" fillId="0" borderId="0" xfId="0" applyFont="1" applyAlignment="1"/>
    <xf numFmtId="0" fontId="3" fillId="0" borderId="0" xfId="0" applyFont="1" applyFill="1" applyAlignment="1">
      <alignment vertical="center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/>
    <xf numFmtId="0" fontId="8" fillId="3" borderId="1" xfId="0" applyFont="1" applyFill="1" applyBorder="1" applyAlignment="1">
      <alignment horizontal="left" wrapText="1"/>
    </xf>
    <xf numFmtId="0" fontId="8" fillId="3" borderId="1" xfId="0" applyFont="1" applyFill="1" applyBorder="1" applyAlignment="1">
      <alignment horizontal="center" vertic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wrapText="1"/>
    </xf>
    <xf numFmtId="0" fontId="3" fillId="0" borderId="0" xfId="0" applyFont="1" applyFill="1" applyAlignment="1"/>
    <xf numFmtId="9" fontId="3" fillId="0" borderId="0" xfId="2" applyFont="1" applyFill="1" applyAlignment="1">
      <alignment horizontal="center"/>
    </xf>
    <xf numFmtId="2" fontId="2" fillId="0" borderId="0" xfId="0" applyNumberFormat="1" applyFont="1" applyFill="1" applyAlignment="1">
      <alignment wrapText="1"/>
    </xf>
    <xf numFmtId="0" fontId="3" fillId="0" borderId="2" xfId="0" applyFont="1" applyFill="1" applyBorder="1" applyAlignment="1">
      <alignment wrapText="1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2" xfId="2" applyNumberFormat="1" applyFont="1" applyFill="1" applyBorder="1" applyAlignment="1">
      <alignment horizontal="center" vertical="center"/>
    </xf>
    <xf numFmtId="165" fontId="3" fillId="0" borderId="2" xfId="1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2" fontId="3" fillId="0" borderId="0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/>
    <xf numFmtId="0" fontId="3" fillId="0" borderId="0" xfId="2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wrapText="1"/>
    </xf>
    <xf numFmtId="0" fontId="8" fillId="3" borderId="0" xfId="0" applyFont="1" applyFill="1" applyAlignment="1">
      <alignment vertical="center"/>
    </xf>
    <xf numFmtId="9" fontId="8" fillId="3" borderId="0" xfId="2" applyFont="1" applyFill="1" applyBorder="1" applyAlignment="1">
      <alignment vertical="center"/>
    </xf>
    <xf numFmtId="0" fontId="9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2" fontId="8" fillId="3" borderId="0" xfId="0" applyNumberFormat="1" applyFont="1" applyFill="1" applyAlignment="1">
      <alignment vertical="center" wrapText="1"/>
    </xf>
    <xf numFmtId="0" fontId="9" fillId="3" borderId="0" xfId="0" applyFont="1" applyFill="1" applyAlignment="1">
      <alignment vertical="center" wrapText="1"/>
    </xf>
    <xf numFmtId="0" fontId="10" fillId="0" borderId="0" xfId="0" applyFont="1" applyFill="1" applyAlignment="1">
      <alignment horizontal="right"/>
    </xf>
    <xf numFmtId="0" fontId="11" fillId="0" borderId="0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wrapText="1"/>
    </xf>
    <xf numFmtId="165" fontId="3" fillId="0" borderId="2" xfId="1" applyNumberFormat="1" applyFont="1" applyFill="1" applyBorder="1" applyAlignment="1">
      <alignment wrapText="1"/>
    </xf>
    <xf numFmtId="2" fontId="8" fillId="3" borderId="1" xfId="0" applyNumberFormat="1" applyFont="1" applyFill="1" applyBorder="1" applyAlignment="1">
      <alignment horizontal="right" wrapText="1"/>
    </xf>
    <xf numFmtId="165" fontId="8" fillId="3" borderId="1" xfId="1" applyNumberFormat="1" applyFont="1" applyFill="1" applyBorder="1" applyAlignment="1">
      <alignment horizontal="left" wrapText="1"/>
    </xf>
    <xf numFmtId="0" fontId="12" fillId="3" borderId="1" xfId="0" applyFont="1" applyFill="1" applyBorder="1" applyAlignment="1">
      <alignment horizontal="right" wrapText="1"/>
    </xf>
    <xf numFmtId="14" fontId="3" fillId="0" borderId="2" xfId="0" applyNumberFormat="1" applyFont="1" applyFill="1" applyBorder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2" fontId="3" fillId="0" borderId="0" xfId="0" applyNumberFormat="1" applyFont="1" applyFill="1" applyAlignment="1">
      <alignment wrapText="1"/>
    </xf>
    <xf numFmtId="166" fontId="4" fillId="0" borderId="0" xfId="2" applyNumberFormat="1" applyFont="1" applyFill="1" applyAlignment="1">
      <alignment wrapText="1"/>
    </xf>
    <xf numFmtId="165" fontId="3" fillId="0" borderId="0" xfId="1" applyNumberFormat="1" applyFont="1" applyFill="1" applyAlignment="1">
      <alignment wrapText="1"/>
    </xf>
    <xf numFmtId="2" fontId="14" fillId="0" borderId="2" xfId="0" applyNumberFormat="1" applyFont="1" applyFill="1" applyBorder="1" applyAlignment="1">
      <alignment horizontal="center" vertical="center" wrapText="1"/>
    </xf>
    <xf numFmtId="0" fontId="13" fillId="0" borderId="0" xfId="0" applyFont="1" applyAlignment="1"/>
    <xf numFmtId="165" fontId="8" fillId="3" borderId="1" xfId="1" applyNumberFormat="1" applyFont="1" applyFill="1" applyBorder="1" applyAlignment="1">
      <alignment horizontal="right" wrapText="1"/>
    </xf>
    <xf numFmtId="167" fontId="3" fillId="0" borderId="0" xfId="2" applyNumberFormat="1" applyFont="1" applyAlignment="1">
      <alignment wrapText="1"/>
    </xf>
    <xf numFmtId="165" fontId="8" fillId="3" borderId="1" xfId="1" applyNumberFormat="1" applyFont="1" applyFill="1" applyBorder="1" applyAlignment="1">
      <alignment horizontal="center" vertical="center" wrapText="1"/>
    </xf>
    <xf numFmtId="0" fontId="11" fillId="0" borderId="0" xfId="0" applyFont="1" applyAlignment="1"/>
    <xf numFmtId="14" fontId="16" fillId="2" borderId="1" xfId="0" applyNumberFormat="1" applyFont="1" applyFill="1" applyBorder="1" applyAlignment="1">
      <alignment horizontal="left" wrapText="1"/>
    </xf>
    <xf numFmtId="2" fontId="11" fillId="0" borderId="2" xfId="0" applyNumberFormat="1" applyFont="1" applyFill="1" applyBorder="1" applyAlignment="1">
      <alignment horizontal="left" vertical="center"/>
    </xf>
    <xf numFmtId="2" fontId="11" fillId="0" borderId="0" xfId="0" applyNumberFormat="1" applyFont="1" applyFill="1" applyBorder="1" applyAlignment="1">
      <alignment horizontal="left" vertical="center"/>
    </xf>
    <xf numFmtId="0" fontId="11" fillId="0" borderId="0" xfId="0" applyNumberFormat="1" applyFont="1" applyFill="1" applyAlignment="1">
      <alignment horizontal="left"/>
    </xf>
    <xf numFmtId="2" fontId="11" fillId="0" borderId="0" xfId="0" applyNumberFormat="1" applyFont="1" applyFill="1" applyAlignment="1">
      <alignment horizontal="left"/>
    </xf>
    <xf numFmtId="2" fontId="14" fillId="2" borderId="2" xfId="0" applyNumberFormat="1" applyFont="1" applyFill="1" applyBorder="1" applyAlignment="1">
      <alignment horizontal="center" vertical="center" wrapText="1"/>
    </xf>
    <xf numFmtId="2" fontId="3" fillId="2" borderId="2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3" fillId="2" borderId="0" xfId="0" applyNumberFormat="1" applyFont="1" applyFill="1" applyBorder="1" applyAlignment="1">
      <alignment horizontal="center" vertical="center" wrapText="1"/>
    </xf>
    <xf numFmtId="2" fontId="2" fillId="2" borderId="0" xfId="0" applyNumberFormat="1" applyFont="1" applyFill="1" applyAlignment="1">
      <alignment wrapText="1"/>
    </xf>
    <xf numFmtId="0" fontId="3" fillId="2" borderId="0" xfId="0" applyFont="1" applyFill="1" applyAlignment="1">
      <alignment horizontal="center"/>
    </xf>
    <xf numFmtId="2" fontId="3" fillId="2" borderId="0" xfId="0" applyNumberFormat="1" applyFont="1" applyFill="1" applyAlignment="1">
      <alignment horizontal="center" wrapText="1"/>
    </xf>
    <xf numFmtId="165" fontId="8" fillId="3" borderId="1" xfId="1" applyNumberFormat="1" applyFont="1" applyFill="1" applyBorder="1" applyAlignment="1">
      <alignment horizontal="center" vertical="center" wrapText="1"/>
    </xf>
    <xf numFmtId="165" fontId="8" fillId="3" borderId="3" xfId="1" applyNumberFormat="1" applyFont="1" applyFill="1" applyBorder="1" applyAlignment="1">
      <alignment horizontal="center" vertical="center" wrapText="1"/>
    </xf>
    <xf numFmtId="165" fontId="8" fillId="3" borderId="4" xfId="1" applyNumberFormat="1" applyFont="1" applyFill="1" applyBorder="1" applyAlignment="1">
      <alignment horizontal="center" vertical="center" wrapText="1"/>
    </xf>
    <xf numFmtId="165" fontId="8" fillId="3" borderId="5" xfId="1" applyNumberFormat="1" applyFont="1" applyFill="1" applyBorder="1" applyAlignment="1">
      <alignment horizontal="center" vertical="center" wrapText="1"/>
    </xf>
    <xf numFmtId="165" fontId="8" fillId="3" borderId="6" xfId="1" applyNumberFormat="1" applyFont="1" applyFill="1" applyBorder="1" applyAlignment="1">
      <alignment horizontal="center" vertical="center" wrapText="1"/>
    </xf>
    <xf numFmtId="165" fontId="8" fillId="3" borderId="0" xfId="1" applyNumberFormat="1" applyFont="1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color rgb="FF9C0006"/>
      </font>
      <fill>
        <patternFill>
          <bgColor rgb="FFFFC7CE"/>
        </patternFill>
      </fill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22772D"/>
      </font>
    </dxf>
    <dxf>
      <font>
        <strike val="0"/>
        <color rgb="FFFF0000"/>
      </font>
    </dxf>
    <dxf>
      <font>
        <strike val="0"/>
        <color rgb="FFFF0000"/>
      </font>
    </dxf>
    <dxf>
      <font>
        <strike val="0"/>
        <color rgb="FF22772D"/>
      </font>
    </dxf>
  </dxfs>
  <tableStyles count="0" defaultTableStyle="TableStyleMedium2" defaultPivotStyle="PivotStyleMedium9"/>
  <colors>
    <mruColors>
      <color rgb="FFE31C48"/>
      <color rgb="FF99FFCC"/>
      <color rgb="FF903F98"/>
      <color rgb="FFFCAF17"/>
      <color rgb="FF00B07D"/>
      <color rgb="FF009900"/>
      <color rgb="FF9C5BCD"/>
      <color rgb="FF99FF99"/>
      <color rgb="FFC9FFC9"/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31901723414439737"/>
          <c:y val="0.27890440121027904"/>
          <c:w val="0.32982964070404208"/>
          <c:h val="0.66015875099340715"/>
        </c:manualLayout>
      </c:layout>
      <c:pieChart>
        <c:varyColors val="1"/>
        <c:ser>
          <c:idx val="0"/>
          <c:order val="0"/>
          <c:tx>
            <c:strRef>
              <c:f>'Papildoma informacija'!$B$1</c:f>
              <c:strCache>
                <c:ptCount val="1"/>
                <c:pt idx="0">
                  <c:v>Grynųjų aktyvų vertė, mln.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6445-422D-8956-308635099803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6445-422D-8956-308635099803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6445-422D-8956-308635099803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6445-422D-8956-308635099803}"/>
              </c:ext>
            </c:extLst>
          </c:dPt>
          <c:dLbls>
            <c:dLbl>
              <c:idx val="0"/>
              <c:layout>
                <c:manualLayout>
                  <c:x val="2.9465811910555754E-2"/>
                  <c:y val="0.11216546562327759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45-422D-8956-308635099803}"/>
                </c:ext>
              </c:extLst>
            </c:dLbl>
            <c:dLbl>
              <c:idx val="1"/>
              <c:layout>
                <c:manualLayout>
                  <c:x val="-0.17043661004209132"/>
                  <c:y val="-4.668568894765005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45-422D-8956-308635099803}"/>
                </c:ext>
              </c:extLst>
            </c:dLbl>
            <c:dLbl>
              <c:idx val="2"/>
              <c:layout>
                <c:manualLayout>
                  <c:x val="-3.4883117532413258E-2"/>
                  <c:y val="4.5141643017093919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445-422D-8956-308635099803}"/>
                </c:ext>
              </c:extLst>
            </c:dLbl>
            <c:dLbl>
              <c:idx val="3"/>
              <c:layout>
                <c:manualLayout>
                  <c:x val="-4.4193890683279113E-2"/>
                  <c:y val="3.801577056272798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45-422D-8956-308635099803}"/>
                </c:ext>
              </c:extLst>
            </c:dLbl>
            <c:dLbl>
              <c:idx val="4"/>
              <c:layout>
                <c:manualLayout>
                  <c:x val="0.1347623517688607"/>
                  <c:y val="-3.970220566383926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0E2-4EFC-A634-C5BC003C01E4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„SB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informacija'!$B$2:$B$6</c:f>
              <c:numCache>
                <c:formatCode>0.00</c:formatCode>
                <c:ptCount val="5"/>
                <c:pt idx="0">
                  <c:v>80.813496999999998</c:v>
                </c:pt>
                <c:pt idx="1">
                  <c:v>122.907747</c:v>
                </c:pt>
                <c:pt idx="2">
                  <c:v>68.40951299999999</c:v>
                </c:pt>
                <c:pt idx="3">
                  <c:v>19.215350000000001</c:v>
                </c:pt>
                <c:pt idx="4">
                  <c:v>2.557239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45-422D-8956-308635099803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31227850343659652"/>
          <c:y val="0.24712776148313875"/>
          <c:w val="0.36321609399685939"/>
          <c:h val="0.63822630680772852"/>
        </c:manualLayout>
      </c:layout>
      <c:pieChart>
        <c:varyColors val="1"/>
        <c:ser>
          <c:idx val="0"/>
          <c:order val="0"/>
          <c:tx>
            <c:strRef>
              <c:f>'Papildoma informacija'!$C$1</c:f>
              <c:strCache>
                <c:ptCount val="1"/>
                <c:pt idx="0">
                  <c:v>Dalyvių skaičius</c:v>
                </c:pt>
              </c:strCache>
            </c:strRef>
          </c:tx>
          <c:dPt>
            <c:idx val="0"/>
            <c:bubble3D val="0"/>
            <c:spPr>
              <a:solidFill>
                <a:srgbClr val="903F98"/>
              </a:solidFill>
            </c:spPr>
            <c:extLst>
              <c:ext xmlns:c16="http://schemas.microsoft.com/office/drawing/2014/chart" uri="{C3380CC4-5D6E-409C-BE32-E72D297353CC}">
                <c16:uniqueId val="{00000001-1FCA-4E76-AC12-275B74A39CDD}"/>
              </c:ext>
            </c:extLst>
          </c:dPt>
          <c:dPt>
            <c:idx val="1"/>
            <c:bubble3D val="0"/>
            <c:spPr>
              <a:solidFill>
                <a:srgbClr val="FCAF17"/>
              </a:solidFill>
            </c:spPr>
            <c:extLst>
              <c:ext xmlns:c16="http://schemas.microsoft.com/office/drawing/2014/chart" uri="{C3380CC4-5D6E-409C-BE32-E72D297353CC}">
                <c16:uniqueId val="{00000003-1FCA-4E76-AC12-275B74A39CDD}"/>
              </c:ext>
            </c:extLst>
          </c:dPt>
          <c:dPt>
            <c:idx val="2"/>
            <c:bubble3D val="0"/>
            <c:spPr>
              <a:solidFill>
                <a:srgbClr val="00B07D"/>
              </a:solidFill>
            </c:spPr>
            <c:extLst>
              <c:ext xmlns:c16="http://schemas.microsoft.com/office/drawing/2014/chart" uri="{C3380CC4-5D6E-409C-BE32-E72D297353CC}">
                <c16:uniqueId val="{00000005-1FCA-4E76-AC12-275B74A39CDD}"/>
              </c:ext>
            </c:extLst>
          </c:dPt>
          <c:dPt>
            <c:idx val="3"/>
            <c:bubble3D val="0"/>
            <c:spPr>
              <a:solidFill>
                <a:srgbClr val="E31C48"/>
              </a:solidFill>
            </c:spPr>
            <c:extLst>
              <c:ext xmlns:c16="http://schemas.microsoft.com/office/drawing/2014/chart" uri="{C3380CC4-5D6E-409C-BE32-E72D297353CC}">
                <c16:uniqueId val="{00000007-1FCA-4E76-AC12-275B74A39CDD}"/>
              </c:ext>
            </c:extLst>
          </c:dPt>
          <c:dLbls>
            <c:dLbl>
              <c:idx val="0"/>
              <c:layout>
                <c:manualLayout>
                  <c:x val="2.3966388601351762E-2"/>
                  <c:y val="-4.2472688630029185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FCA-4E76-AC12-275B74A39CDD}"/>
                </c:ext>
              </c:extLst>
            </c:dLbl>
            <c:dLbl>
              <c:idx val="1"/>
              <c:layout>
                <c:manualLayout>
                  <c:x val="0.24716930758457886"/>
                  <c:y val="-2.259468191547126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FCA-4E76-AC12-275B74A39CDD}"/>
                </c:ext>
              </c:extLst>
            </c:dLbl>
            <c:dLbl>
              <c:idx val="2"/>
              <c:layout>
                <c:manualLayout>
                  <c:x val="-0.13080008748906385"/>
                  <c:y val="0.170568314377369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FCA-4E76-AC12-275B74A39CDD}"/>
                </c:ext>
              </c:extLst>
            </c:dLbl>
            <c:dLbl>
              <c:idx val="3"/>
              <c:layout>
                <c:manualLayout>
                  <c:x val="-6.2319964027934556E-2"/>
                  <c:y val="3.83055488305227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FCA-4E76-AC12-275B74A39CDD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'Papildoma informacija'!$A$2:$A$6</c:f>
              <c:strCache>
                <c:ptCount val="5"/>
                <c:pt idx="0">
                  <c:v>Luminor investicijų valdymas UAB </c:v>
                </c:pt>
                <c:pt idx="1">
                  <c:v>UAB „SB Asset Management“</c:v>
                </c:pt>
                <c:pt idx="2">
                  <c:v>UAB „SEB investicijų valdymas“</c:v>
                </c:pt>
                <c:pt idx="3">
                  <c:v>UAB „Swedbank investicijų valdymas“</c:v>
                </c:pt>
                <c:pt idx="4">
                  <c:v>Goindex, UAB</c:v>
                </c:pt>
              </c:strCache>
            </c:strRef>
          </c:cat>
          <c:val>
            <c:numRef>
              <c:f>'Papildoma informacija'!$C$2:$C$6</c:f>
              <c:numCache>
                <c:formatCode>_-* #\ ##0\ _€_-;\-* #\ ##0\ _€_-;_-* "-"??\ _€_-;_-@_-</c:formatCode>
                <c:ptCount val="5"/>
                <c:pt idx="0">
                  <c:v>34375</c:v>
                </c:pt>
                <c:pt idx="1">
                  <c:v>33424</c:v>
                </c:pt>
                <c:pt idx="2">
                  <c:v>18886</c:v>
                </c:pt>
                <c:pt idx="3">
                  <c:v>30382</c:v>
                </c:pt>
                <c:pt idx="4">
                  <c:v>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FCA-4E76-AC12-275B74A39CDD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lt-LT"/>
              <a:t>Grynųjų aktyvų vertė ir dalyvių skaičius</a:t>
            </a:r>
          </a:p>
        </c:rich>
      </c:tx>
      <c:layout>
        <c:manualLayout>
          <c:xMode val="edge"/>
          <c:yMode val="edge"/>
          <c:x val="0.41877623411894899"/>
          <c:y val="8.11748278245526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232813591122453"/>
          <c:y val="0.16651391228766224"/>
          <c:w val="0.76300882871189213"/>
          <c:h val="0.54340188962361491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'Papildoma informacija'!$C$22</c:f>
              <c:strCache>
                <c:ptCount val="1"/>
                <c:pt idx="0">
                  <c:v>Dalyvių skaičius (skalė dešinėje)</c:v>
                </c:pt>
              </c:strCache>
            </c:strRef>
          </c:tx>
          <c:spPr>
            <a:solidFill>
              <a:srgbClr val="00B07D"/>
            </a:solidFill>
          </c:spPr>
          <c:invertIfNegative val="0"/>
          <c:cat>
            <c:strRef>
              <c:f>'Papildoma informacija'!$A$23:$A$43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informacija'!$C$23:$C$43</c:f>
              <c:numCache>
                <c:formatCode>_-* #\ ##0\ _€_-;\-* #\ ##0\ _€_-;_-* "-"??\ _€_-;_-@_-</c:formatCode>
                <c:ptCount val="21"/>
                <c:pt idx="0">
                  <c:v>3078</c:v>
                </c:pt>
                <c:pt idx="1">
                  <c:v>1582</c:v>
                </c:pt>
                <c:pt idx="2">
                  <c:v>5229</c:v>
                </c:pt>
                <c:pt idx="3">
                  <c:v>4337</c:v>
                </c:pt>
                <c:pt idx="4">
                  <c:v>19198</c:v>
                </c:pt>
                <c:pt idx="5">
                  <c:v>3903</c:v>
                </c:pt>
                <c:pt idx="6">
                  <c:v>24435</c:v>
                </c:pt>
                <c:pt idx="7">
                  <c:v>5138</c:v>
                </c:pt>
                <c:pt idx="8">
                  <c:v>899</c:v>
                </c:pt>
                <c:pt idx="9">
                  <c:v>1289</c:v>
                </c:pt>
                <c:pt idx="10">
                  <c:v>2139</c:v>
                </c:pt>
                <c:pt idx="11">
                  <c:v>13224</c:v>
                </c:pt>
                <c:pt idx="12">
                  <c:v>2234</c:v>
                </c:pt>
                <c:pt idx="13">
                  <c:v>146</c:v>
                </c:pt>
                <c:pt idx="14">
                  <c:v>763</c:v>
                </c:pt>
                <c:pt idx="15">
                  <c:v>1290</c:v>
                </c:pt>
                <c:pt idx="16">
                  <c:v>8418</c:v>
                </c:pt>
                <c:pt idx="17">
                  <c:v>1941</c:v>
                </c:pt>
                <c:pt idx="18">
                  <c:v>17824</c:v>
                </c:pt>
                <c:pt idx="19">
                  <c:v>901</c:v>
                </c:pt>
                <c:pt idx="20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84150528"/>
        <c:axId val="383981184"/>
      </c:barChart>
      <c:lineChart>
        <c:grouping val="standard"/>
        <c:varyColors val="0"/>
        <c:ser>
          <c:idx val="0"/>
          <c:order val="0"/>
          <c:tx>
            <c:strRef>
              <c:f>'Papildoma informacija'!$B$22</c:f>
              <c:strCache>
                <c:ptCount val="1"/>
                <c:pt idx="0">
                  <c:v>Grynųjų aktyvų vertė, mln. (skalė kairėje)</c:v>
                </c:pt>
              </c:strCache>
            </c:strRef>
          </c:tx>
          <c:spPr>
            <a:ln>
              <a:solidFill>
                <a:srgbClr val="FCAF17"/>
              </a:solidFill>
            </a:ln>
          </c:spPr>
          <c:marker>
            <c:symbol val="none"/>
          </c:marker>
          <c:cat>
            <c:strRef>
              <c:f>'Papildoma informacija'!$A$23:$A$43</c:f>
              <c:strCache>
                <c:ptCount val="21"/>
                <c:pt idx="0">
                  <c:v>INVL STABILO III 58+ / INVL Stabilus</c:v>
                </c:pt>
                <c:pt idx="1">
                  <c:v>INVL Apdairus</c:v>
                </c:pt>
                <c:pt idx="2">
                  <c:v>INVL Medio III 47+</c:v>
                </c:pt>
                <c:pt idx="3">
                  <c:v>INVL Drąsus</c:v>
                </c:pt>
                <c:pt idx="4">
                  <c:v>INVL Extremo III 16+</c:v>
                </c:pt>
                <c:pt idx="5">
                  <c:v>Luminor ateitis 58 +</c:v>
                </c:pt>
                <c:pt idx="6">
                  <c:v>Luminor ateitis 50 – 58</c:v>
                </c:pt>
                <c:pt idx="7">
                  <c:v>Luminor ateitis 16 – 50</c:v>
                </c:pt>
                <c:pt idx="8">
                  <c:v>Luminor tvari ateitis index</c:v>
                </c:pt>
                <c:pt idx="9">
                  <c:v>SEB pensija 50+</c:v>
                </c:pt>
                <c:pt idx="10">
                  <c:v>SEB pensija 58+</c:v>
                </c:pt>
                <c:pt idx="11">
                  <c:v>SEB pensija 18+</c:v>
                </c:pt>
                <c:pt idx="12">
                  <c:v>SEB index. Klimato ateitis</c:v>
                </c:pt>
                <c:pt idx="13">
                  <c:v>Swedbank Pensijos fondas 60+ (apriboto nutraukimo)</c:v>
                </c:pt>
                <c:pt idx="14">
                  <c:v>Swedbank Pensijos fondas 50+ (apriboto nutraukimo)</c:v>
                </c:pt>
                <c:pt idx="15">
                  <c:v>Swedbank Pensijos fondas 60+</c:v>
                </c:pt>
                <c:pt idx="16">
                  <c:v>Swedbank Pensijos fondas 50+</c:v>
                </c:pt>
                <c:pt idx="17">
                  <c:v>Swedbank Pensijos fondas 18+ (apriboto nutraukimo)</c:v>
                </c:pt>
                <c:pt idx="18">
                  <c:v>Swedbank Pensijos fondas 18+</c:v>
                </c:pt>
                <c:pt idx="19">
                  <c:v>Goindex pasaulio akcijų</c:v>
                </c:pt>
                <c:pt idx="20">
                  <c:v>Goindex subalansuotas</c:v>
                </c:pt>
              </c:strCache>
            </c:strRef>
          </c:cat>
          <c:val>
            <c:numRef>
              <c:f>'Papildoma informacija'!$B$23:$B$43</c:f>
              <c:numCache>
                <c:formatCode>0.00</c:formatCode>
                <c:ptCount val="21"/>
                <c:pt idx="0">
                  <c:v>12.829516</c:v>
                </c:pt>
                <c:pt idx="1">
                  <c:v>3.982583</c:v>
                </c:pt>
                <c:pt idx="2">
                  <c:v>22.255580999999999</c:v>
                </c:pt>
                <c:pt idx="3">
                  <c:v>12.116414000000001</c:v>
                </c:pt>
                <c:pt idx="4">
                  <c:v>71.723652999999999</c:v>
                </c:pt>
                <c:pt idx="5">
                  <c:v>10.177206999999999</c:v>
                </c:pt>
                <c:pt idx="6">
                  <c:v>52.347951000000002</c:v>
                </c:pt>
                <c:pt idx="7">
                  <c:v>15.451138</c:v>
                </c:pt>
                <c:pt idx="8">
                  <c:v>2.8372009999999999</c:v>
                </c:pt>
                <c:pt idx="9">
                  <c:v>2.3588290000000001</c:v>
                </c:pt>
                <c:pt idx="10">
                  <c:v>9.3309449999999998</c:v>
                </c:pt>
                <c:pt idx="11">
                  <c:v>53.176223999999998</c:v>
                </c:pt>
                <c:pt idx="12">
                  <c:v>3.5435150000000002</c:v>
                </c:pt>
                <c:pt idx="13">
                  <c:v>0.64137200000000005</c:v>
                </c:pt>
                <c:pt idx="14">
                  <c:v>2.1094750000000002</c:v>
                </c:pt>
                <c:pt idx="15">
                  <c:v>0.71231100000000003</c:v>
                </c:pt>
                <c:pt idx="16">
                  <c:v>2.9981450000000001</c:v>
                </c:pt>
                <c:pt idx="17">
                  <c:v>6.4928249999999998</c:v>
                </c:pt>
                <c:pt idx="18">
                  <c:v>6.2612220000000001</c:v>
                </c:pt>
                <c:pt idx="19">
                  <c:v>2.3436189999999999</c:v>
                </c:pt>
                <c:pt idx="20">
                  <c:v>0.21362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48-4638-BEFE-4972150D0F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84148992"/>
        <c:axId val="383980608"/>
      </c:lineChart>
      <c:catAx>
        <c:axId val="3841489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83980608"/>
        <c:crosses val="autoZero"/>
        <c:auto val="1"/>
        <c:lblAlgn val="ctr"/>
        <c:lblOffset val="100"/>
        <c:noMultiLvlLbl val="0"/>
      </c:catAx>
      <c:valAx>
        <c:axId val="38398060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lt-LT"/>
                  <a:t>Grynųmų aktyvų vertė, mln.</a:t>
                </a:r>
              </a:p>
            </c:rich>
          </c:tx>
          <c:layout>
            <c:manualLayout>
              <c:xMode val="edge"/>
              <c:yMode val="edge"/>
              <c:x val="0.12184539651090991"/>
              <c:y val="0.26832800626359354"/>
            </c:manualLayout>
          </c:layout>
          <c:overlay val="0"/>
        </c:title>
        <c:numFmt formatCode="0.00" sourceLinked="1"/>
        <c:majorTickMark val="none"/>
        <c:minorTickMark val="none"/>
        <c:tickLblPos val="nextTo"/>
        <c:crossAx val="384148992"/>
        <c:crosses val="autoZero"/>
        <c:crossBetween val="between"/>
      </c:valAx>
      <c:valAx>
        <c:axId val="383981184"/>
        <c:scaling>
          <c:orientation val="minMax"/>
        </c:scaling>
        <c:delete val="0"/>
        <c:axPos val="r"/>
        <c:numFmt formatCode="_-* #\ ##0\ _€_-;\-* #\ ##0\ _€_-;_-* &quot;-&quot;??\ _€_-;_-@_-" sourceLinked="1"/>
        <c:majorTickMark val="out"/>
        <c:minorTickMark val="none"/>
        <c:tickLblPos val="nextTo"/>
        <c:crossAx val="384150528"/>
        <c:crosses val="max"/>
        <c:crossBetween val="between"/>
      </c:valAx>
      <c:catAx>
        <c:axId val="3841505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3981184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</c:dTable>
    </c:plotArea>
    <c:plotVisOnly val="1"/>
    <c:dispBlanksAs val="gap"/>
    <c:showDLblsOverMax val="0"/>
  </c:chart>
  <c:txPr>
    <a:bodyPr/>
    <a:lstStyle/>
    <a:p>
      <a:pPr>
        <a:defRPr sz="800">
          <a:latin typeface="Verdana" panose="020B0604030504040204" pitchFamily="34" charset="0"/>
          <a:ea typeface="Verdana" panose="020B0604030504040204" pitchFamily="34" charset="0"/>
        </a:defRPr>
      </a:pPr>
      <a:endParaRPr lang="lt-LT"/>
    </a:p>
  </c:txPr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44824</xdr:rowOff>
    </xdr:from>
    <xdr:to>
      <xdr:col>1</xdr:col>
      <xdr:colOff>1963271</xdr:colOff>
      <xdr:row>19</xdr:row>
      <xdr:rowOff>155089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2008094</xdr:colOff>
      <xdr:row>7</xdr:row>
      <xdr:rowOff>44823</xdr:rowOff>
    </xdr:from>
    <xdr:to>
      <xdr:col>6</xdr:col>
      <xdr:colOff>21963</xdr:colOff>
      <xdr:row>19</xdr:row>
      <xdr:rowOff>150162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10433</xdr:colOff>
      <xdr:row>20</xdr:row>
      <xdr:rowOff>66475</xdr:rowOff>
    </xdr:from>
    <xdr:to>
      <xdr:col>16</xdr:col>
      <xdr:colOff>88355</xdr:colOff>
      <xdr:row>46</xdr:row>
      <xdr:rowOff>163285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0.97885</cdr:x>
      <cdr:y>0.26328</cdr:y>
    </cdr:from>
    <cdr:to>
      <cdr:x>1</cdr:x>
      <cdr:y>0.62878</cdr:y>
    </cdr:to>
    <cdr:sp macro="" textlink="">
      <cdr:nvSpPr>
        <cdr:cNvPr id="2" name="TextBox 1"/>
        <cdr:cNvSpPr txBox="1"/>
      </cdr:nvSpPr>
      <cdr:spPr>
        <a:xfrm xmlns:a="http://schemas.openxmlformats.org/drawingml/2006/main" rot="16200000">
          <a:off x="12604853" y="1760230"/>
          <a:ext cx="1559661" cy="286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lt-LT" sz="800" b="1">
              <a:latin typeface="Verdana" panose="020B0604030504040204" pitchFamily="34" charset="0"/>
              <a:ea typeface="Verdana" panose="020B0604030504040204" pitchFamily="34" charset="0"/>
            </a:rPr>
            <a:t>Dalyvių</a:t>
          </a:r>
          <a:r>
            <a:rPr lang="lt-LT" sz="800" b="1" baseline="0">
              <a:latin typeface="Verdana" panose="020B0604030504040204" pitchFamily="34" charset="0"/>
              <a:ea typeface="Verdana" panose="020B0604030504040204" pitchFamily="34" charset="0"/>
            </a:rPr>
            <a:t> skaičius</a:t>
          </a:r>
          <a:endParaRPr lang="lt-LT" sz="800" b="1">
            <a:latin typeface="Verdana" panose="020B0604030504040204" pitchFamily="34" charset="0"/>
            <a:ea typeface="Verdana" panose="020B060403050404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"/>
  <sheetViews>
    <sheetView showGridLines="0" tabSelected="1" zoomScale="85" zoomScaleNormal="85" workbookViewId="0">
      <selection activeCell="K28" sqref="K28"/>
    </sheetView>
  </sheetViews>
  <sheetFormatPr defaultColWidth="8.85546875" defaultRowHeight="12.75" x14ac:dyDescent="0.2"/>
  <cols>
    <col min="1" max="1" width="41" style="2" customWidth="1"/>
    <col min="2" max="2" width="7.85546875" style="2" bestFit="1" customWidth="1"/>
    <col min="3" max="3" width="44.42578125" style="2" customWidth="1"/>
    <col min="4" max="4" width="15.140625" style="1" customWidth="1"/>
    <col min="5" max="5" width="18.85546875" style="1" customWidth="1"/>
    <col min="6" max="6" width="16.85546875" style="1" customWidth="1"/>
    <col min="7" max="7" width="11.85546875" style="1" customWidth="1"/>
    <col min="8" max="8" width="2" style="1" customWidth="1"/>
    <col min="9" max="9" width="14.85546875" style="2" customWidth="1"/>
    <col min="10" max="10" width="17.7109375" style="2" customWidth="1"/>
    <col min="11" max="11" width="18.7109375" style="2" customWidth="1"/>
    <col min="12" max="12" width="19.5703125" style="2" customWidth="1"/>
    <col min="13" max="14" width="17.85546875" style="2" customWidth="1"/>
    <col min="15" max="15" width="2" style="1" customWidth="1"/>
    <col min="16" max="17" width="19.5703125" style="2" customWidth="1"/>
    <col min="18" max="18" width="2" style="1" customWidth="1"/>
    <col min="19" max="19" width="19.140625" style="2" customWidth="1"/>
    <col min="20" max="20" width="17.85546875" style="2" customWidth="1"/>
    <col min="21" max="21" width="9.85546875" style="2" bestFit="1" customWidth="1"/>
    <col min="22" max="22" width="5.5703125" style="1" bestFit="1" customWidth="1"/>
    <col min="23" max="23" width="9.85546875" style="1" bestFit="1" customWidth="1"/>
    <col min="24" max="16384" width="8.85546875" style="1"/>
  </cols>
  <sheetData>
    <row r="1" spans="1:21" x14ac:dyDescent="0.2">
      <c r="A1" s="69">
        <v>45291</v>
      </c>
      <c r="B1" s="19"/>
      <c r="C1" s="20"/>
      <c r="D1" s="21"/>
      <c r="E1" s="22"/>
      <c r="F1" s="22"/>
      <c r="G1" s="22"/>
      <c r="H1" s="22"/>
      <c r="I1" s="82" t="s">
        <v>23</v>
      </c>
      <c r="J1" s="83"/>
      <c r="K1" s="83"/>
      <c r="L1" s="83"/>
      <c r="M1" s="83"/>
      <c r="N1" s="84"/>
      <c r="O1" s="22"/>
      <c r="P1" s="81" t="s">
        <v>57</v>
      </c>
      <c r="Q1" s="81"/>
      <c r="R1" s="22"/>
      <c r="S1" s="85" t="s">
        <v>59</v>
      </c>
      <c r="T1" s="86"/>
    </row>
    <row r="2" spans="1:21" ht="63.75" x14ac:dyDescent="0.2">
      <c r="A2" s="23" t="s">
        <v>0</v>
      </c>
      <c r="B2" s="23" t="s">
        <v>1</v>
      </c>
      <c r="C2" s="23" t="s">
        <v>2</v>
      </c>
      <c r="D2" s="24" t="s">
        <v>41</v>
      </c>
      <c r="E2" s="24" t="s">
        <v>30</v>
      </c>
      <c r="F2" s="24" t="s">
        <v>62</v>
      </c>
      <c r="G2" s="25" t="s">
        <v>12</v>
      </c>
      <c r="H2" s="22"/>
      <c r="I2" s="25" t="s">
        <v>53</v>
      </c>
      <c r="J2" s="67" t="s">
        <v>93</v>
      </c>
      <c r="K2" s="25" t="s">
        <v>55</v>
      </c>
      <c r="L2" s="25" t="s">
        <v>65</v>
      </c>
      <c r="M2" s="25" t="s">
        <v>66</v>
      </c>
      <c r="N2" s="59" t="s">
        <v>67</v>
      </c>
      <c r="O2" s="22"/>
      <c r="P2" s="25" t="s">
        <v>35</v>
      </c>
      <c r="Q2" s="25" t="s">
        <v>36</v>
      </c>
      <c r="R2" s="22"/>
      <c r="S2" s="25" t="s">
        <v>37</v>
      </c>
      <c r="T2" s="25" t="s">
        <v>38</v>
      </c>
    </row>
    <row r="3" spans="1:21" s="27" customFormat="1" x14ac:dyDescent="0.2">
      <c r="A3" s="26" t="s">
        <v>11</v>
      </c>
      <c r="B3" s="26"/>
      <c r="C3" s="26"/>
      <c r="E3" s="28"/>
      <c r="G3" s="51" t="s">
        <v>61</v>
      </c>
      <c r="I3" s="29">
        <v>6.8539626870600383</v>
      </c>
      <c r="J3" s="29">
        <v>6.8539626870600383</v>
      </c>
      <c r="K3" s="29">
        <v>-2.4689991641606581</v>
      </c>
      <c r="L3" s="29">
        <v>-0.2049933386940884</v>
      </c>
      <c r="M3" s="29">
        <v>0.76357727655404384</v>
      </c>
      <c r="N3" s="29">
        <v>3.0101814018266269</v>
      </c>
      <c r="P3" s="29">
        <v>-2.9832603737799022</v>
      </c>
      <c r="Q3" s="29">
        <v>-0.36594722653772094</v>
      </c>
      <c r="S3" s="6"/>
      <c r="T3" s="6"/>
      <c r="U3" s="6"/>
    </row>
    <row r="4" spans="1:21" x14ac:dyDescent="0.2">
      <c r="A4" s="30" t="s">
        <v>3</v>
      </c>
      <c r="B4" s="30" t="s">
        <v>21</v>
      </c>
      <c r="C4" s="30" t="s">
        <v>94</v>
      </c>
      <c r="D4" s="70" t="s">
        <v>97</v>
      </c>
      <c r="E4" s="32">
        <v>0</v>
      </c>
      <c r="F4" s="31">
        <v>10.177206999999999</v>
      </c>
      <c r="G4" s="33">
        <v>3903</v>
      </c>
      <c r="H4" s="34"/>
      <c r="I4" s="35">
        <v>5.7466918714555781</v>
      </c>
      <c r="J4" s="35">
        <v>5.7466918714555781</v>
      </c>
      <c r="K4" s="35">
        <v>-2.5138054304638779</v>
      </c>
      <c r="L4" s="35">
        <v>-0.95182649058184188</v>
      </c>
      <c r="M4" s="35">
        <v>-0.28853889814599576</v>
      </c>
      <c r="N4" s="35" t="s">
        <v>46</v>
      </c>
      <c r="O4" s="34"/>
      <c r="P4" s="35">
        <v>-1.6631863172227757</v>
      </c>
      <c r="Q4" s="35">
        <v>-0.42617906193023192</v>
      </c>
      <c r="R4" s="34"/>
      <c r="S4" s="35">
        <v>2.7843262302782583</v>
      </c>
      <c r="T4" s="35">
        <v>2.0695814193005546</v>
      </c>
    </row>
    <row r="5" spans="1:21" x14ac:dyDescent="0.2">
      <c r="A5" s="30" t="s">
        <v>110</v>
      </c>
      <c r="B5" s="30" t="s">
        <v>19</v>
      </c>
      <c r="C5" s="30" t="s">
        <v>4</v>
      </c>
      <c r="D5" s="70" t="s">
        <v>98</v>
      </c>
      <c r="E5" s="32">
        <v>0</v>
      </c>
      <c r="F5" s="31">
        <v>12.829516</v>
      </c>
      <c r="G5" s="33">
        <v>3078</v>
      </c>
      <c r="H5" s="34"/>
      <c r="I5" s="35">
        <v>7.5715800636267261</v>
      </c>
      <c r="J5" s="35">
        <v>7.5715800636267261</v>
      </c>
      <c r="K5" s="35">
        <v>-2.3735072197624496</v>
      </c>
      <c r="L5" s="35">
        <v>0.12666285074893757</v>
      </c>
      <c r="M5" s="35">
        <v>1.1544210295463486</v>
      </c>
      <c r="N5" s="35">
        <v>3.3500273043071793</v>
      </c>
      <c r="O5" s="34"/>
      <c r="P5" s="35">
        <v>-5.0161799657281509</v>
      </c>
      <c r="Q5" s="35">
        <v>-1.4809370241905429</v>
      </c>
      <c r="R5" s="34"/>
      <c r="S5" s="35">
        <v>4.5508075461206676</v>
      </c>
      <c r="T5" s="35">
        <v>3.6512005038165172</v>
      </c>
    </row>
    <row r="6" spans="1:21" x14ac:dyDescent="0.2">
      <c r="A6" s="30" t="s">
        <v>29</v>
      </c>
      <c r="B6" s="30" t="s">
        <v>13</v>
      </c>
      <c r="C6" s="30" t="s">
        <v>52</v>
      </c>
      <c r="D6" s="70" t="s">
        <v>99</v>
      </c>
      <c r="E6" s="32" t="s">
        <v>31</v>
      </c>
      <c r="F6" s="31">
        <v>9.3309449999999998</v>
      </c>
      <c r="G6" s="33">
        <v>2139</v>
      </c>
      <c r="H6" s="34"/>
      <c r="I6" s="35">
        <v>7.0749736008447695</v>
      </c>
      <c r="J6" s="35">
        <v>7.0749736008447695</v>
      </c>
      <c r="K6" s="35">
        <v>-2.5514251972648005</v>
      </c>
      <c r="L6" s="35">
        <v>0.15356489868334489</v>
      </c>
      <c r="M6" s="35">
        <v>0.54089714195555416</v>
      </c>
      <c r="N6" s="35">
        <v>2.5429127121699313</v>
      </c>
      <c r="O6" s="34"/>
      <c r="P6" s="35">
        <v>-1.6279091737994134</v>
      </c>
      <c r="Q6" s="35">
        <v>1.2327945199416712</v>
      </c>
      <c r="R6" s="34"/>
      <c r="S6" s="35">
        <v>4.5783882957432223</v>
      </c>
      <c r="T6" s="35">
        <v>3.5372618404951441</v>
      </c>
    </row>
    <row r="7" spans="1:21" x14ac:dyDescent="0.2">
      <c r="A7" s="6"/>
      <c r="B7" s="6"/>
      <c r="C7" s="6"/>
      <c r="D7" s="71"/>
      <c r="E7" s="37"/>
      <c r="F7" s="36"/>
      <c r="G7" s="38"/>
      <c r="H7" s="34"/>
      <c r="I7" s="39"/>
      <c r="J7" s="39"/>
      <c r="K7" s="39"/>
      <c r="L7" s="39"/>
      <c r="M7" s="39"/>
      <c r="N7" s="39"/>
      <c r="O7" s="34"/>
      <c r="P7" s="39"/>
      <c r="Q7" s="39"/>
      <c r="R7" s="34"/>
      <c r="S7" s="39"/>
      <c r="T7" s="39"/>
    </row>
    <row r="8" spans="1:21" s="27" customFormat="1" x14ac:dyDescent="0.2">
      <c r="A8" s="40" t="s">
        <v>9</v>
      </c>
      <c r="B8" s="26"/>
      <c r="C8" s="26"/>
      <c r="D8" s="72"/>
      <c r="E8" s="41"/>
      <c r="F8" s="42"/>
      <c r="G8" s="51" t="s">
        <v>61</v>
      </c>
      <c r="H8" s="43"/>
      <c r="I8" s="29">
        <v>10.517066479927253</v>
      </c>
      <c r="J8" s="29">
        <v>10.542770086002941</v>
      </c>
      <c r="K8" s="29">
        <v>0.96096382470357578</v>
      </c>
      <c r="L8" s="29">
        <v>4.2541591360664581</v>
      </c>
      <c r="M8" s="29">
        <v>3.6335271573311254</v>
      </c>
      <c r="N8" s="29">
        <v>5.0217127113878517</v>
      </c>
      <c r="O8" s="43"/>
      <c r="P8" s="29">
        <v>1.6349996313984412</v>
      </c>
      <c r="Q8" s="29">
        <v>4.5265416516742336</v>
      </c>
      <c r="R8" s="43"/>
      <c r="S8" s="44"/>
      <c r="T8" s="44"/>
      <c r="U8" s="6"/>
    </row>
    <row r="9" spans="1:21" x14ac:dyDescent="0.2">
      <c r="A9" s="30" t="s">
        <v>3</v>
      </c>
      <c r="B9" s="30" t="s">
        <v>20</v>
      </c>
      <c r="C9" s="30" t="s">
        <v>95</v>
      </c>
      <c r="D9" s="70" t="s">
        <v>99</v>
      </c>
      <c r="E9" s="32" t="s">
        <v>32</v>
      </c>
      <c r="F9" s="31">
        <v>52.347951000000002</v>
      </c>
      <c r="G9" s="33">
        <v>24435</v>
      </c>
      <c r="H9" s="34"/>
      <c r="I9" s="35">
        <v>10.314720812182742</v>
      </c>
      <c r="J9" s="35">
        <v>10.314720812182742</v>
      </c>
      <c r="K9" s="35">
        <v>0.53327727495668942</v>
      </c>
      <c r="L9" s="35">
        <v>3.3712447843370796</v>
      </c>
      <c r="M9" s="35">
        <v>3.1403154966928248</v>
      </c>
      <c r="N9" s="35">
        <v>4.9493296287659971</v>
      </c>
      <c r="O9" s="34"/>
      <c r="P9" s="35">
        <v>2.3704106407250958</v>
      </c>
      <c r="Q9" s="35">
        <v>4.5131661614145058</v>
      </c>
      <c r="R9" s="34"/>
      <c r="S9" s="35">
        <v>6.5514853320537361</v>
      </c>
      <c r="T9" s="35">
        <v>5.6351815788500677</v>
      </c>
    </row>
    <row r="10" spans="1:21" x14ac:dyDescent="0.2">
      <c r="A10" s="30" t="s">
        <v>109</v>
      </c>
      <c r="B10" s="30" t="s">
        <v>17</v>
      </c>
      <c r="C10" s="30" t="s">
        <v>6</v>
      </c>
      <c r="D10" s="70" t="s">
        <v>100</v>
      </c>
      <c r="E10" s="32" t="s">
        <v>33</v>
      </c>
      <c r="F10" s="31">
        <v>3.982583</v>
      </c>
      <c r="G10" s="33">
        <v>1582</v>
      </c>
      <c r="H10" s="34"/>
      <c r="I10" s="35">
        <v>10.234171725932351</v>
      </c>
      <c r="J10" s="35">
        <v>10.234171725932351</v>
      </c>
      <c r="K10" s="35">
        <v>-0.65569998734027468</v>
      </c>
      <c r="L10" s="35">
        <v>3.2404686124213766</v>
      </c>
      <c r="M10" s="35">
        <v>2.774856895413591</v>
      </c>
      <c r="N10" s="35" t="s">
        <v>46</v>
      </c>
      <c r="O10" s="34"/>
      <c r="P10" s="35">
        <v>2.209596903348654E-2</v>
      </c>
      <c r="Q10" s="35">
        <v>4.1129318108226176</v>
      </c>
      <c r="R10" s="34"/>
      <c r="S10" s="35">
        <v>10.451808224068923</v>
      </c>
      <c r="T10" s="35">
        <v>8.3462093196519689</v>
      </c>
    </row>
    <row r="11" spans="1:21" x14ac:dyDescent="0.2">
      <c r="A11" s="30" t="s">
        <v>109</v>
      </c>
      <c r="B11" s="30" t="s">
        <v>18</v>
      </c>
      <c r="C11" s="30" t="s">
        <v>5</v>
      </c>
      <c r="D11" s="70" t="s">
        <v>101</v>
      </c>
      <c r="E11" s="32" t="s">
        <v>33</v>
      </c>
      <c r="F11" s="31">
        <v>22.255580999999999</v>
      </c>
      <c r="G11" s="33">
        <v>5229</v>
      </c>
      <c r="H11" s="34"/>
      <c r="I11" s="35">
        <v>10.81032947462155</v>
      </c>
      <c r="J11" s="35">
        <v>10.81032947462155</v>
      </c>
      <c r="K11" s="35">
        <v>2.1228245201218243</v>
      </c>
      <c r="L11" s="35">
        <v>5.009047478877493</v>
      </c>
      <c r="M11" s="35">
        <v>4.9472805673832276</v>
      </c>
      <c r="N11" s="35">
        <v>5.1919669079562469</v>
      </c>
      <c r="O11" s="34"/>
      <c r="P11" s="35">
        <v>3.8410408245570515E-2</v>
      </c>
      <c r="Q11" s="35">
        <v>4.6320169942198008</v>
      </c>
      <c r="R11" s="34"/>
      <c r="S11" s="35">
        <v>8.194749845641546</v>
      </c>
      <c r="T11" s="35">
        <v>7.0603706005754345</v>
      </c>
    </row>
    <row r="12" spans="1:21" x14ac:dyDescent="0.2">
      <c r="A12" s="30" t="s">
        <v>45</v>
      </c>
      <c r="B12" s="30" t="s">
        <v>43</v>
      </c>
      <c r="C12" s="58" t="s">
        <v>72</v>
      </c>
      <c r="D12" s="70" t="s">
        <v>102</v>
      </c>
      <c r="E12" s="32" t="s">
        <v>47</v>
      </c>
      <c r="F12" s="31">
        <v>0.64137200000000005</v>
      </c>
      <c r="G12" s="33">
        <v>146</v>
      </c>
      <c r="H12" s="34"/>
      <c r="I12" s="35">
        <v>8.980314089803155</v>
      </c>
      <c r="J12" s="35">
        <v>8.980314089803155</v>
      </c>
      <c r="K12" s="35">
        <v>-1.6458112507183986</v>
      </c>
      <c r="L12" s="35">
        <v>4.9472805673832276</v>
      </c>
      <c r="M12" s="74" t="s">
        <v>46</v>
      </c>
      <c r="N12" s="74" t="s">
        <v>46</v>
      </c>
      <c r="O12" s="34"/>
      <c r="P12" s="35">
        <v>-1.7967037846434164</v>
      </c>
      <c r="Q12" s="75" t="s">
        <v>46</v>
      </c>
      <c r="R12" s="76"/>
      <c r="S12" s="75">
        <v>7.0603706005754345</v>
      </c>
      <c r="T12" s="74" t="s">
        <v>46</v>
      </c>
    </row>
    <row r="13" spans="1:21" x14ac:dyDescent="0.2">
      <c r="A13" s="30" t="s">
        <v>45</v>
      </c>
      <c r="B13" s="30" t="s">
        <v>44</v>
      </c>
      <c r="C13" s="30" t="s">
        <v>78</v>
      </c>
      <c r="D13" s="70" t="s">
        <v>102</v>
      </c>
      <c r="E13" s="32" t="s">
        <v>48</v>
      </c>
      <c r="F13" s="31">
        <v>2.1094750000000002</v>
      </c>
      <c r="G13" s="33">
        <v>763</v>
      </c>
      <c r="H13" s="34"/>
      <c r="I13" s="35">
        <v>11.507456670697302</v>
      </c>
      <c r="J13" s="35">
        <v>11.507456670697302</v>
      </c>
      <c r="K13" s="35">
        <v>1.6590844043334219</v>
      </c>
      <c r="L13" s="35">
        <v>5.1919669079562469</v>
      </c>
      <c r="M13" s="74" t="s">
        <v>46</v>
      </c>
      <c r="N13" s="74" t="s">
        <v>46</v>
      </c>
      <c r="O13" s="34"/>
      <c r="P13" s="35">
        <v>1.8477750639196433</v>
      </c>
      <c r="Q13" s="75" t="s">
        <v>46</v>
      </c>
      <c r="R13" s="76"/>
      <c r="S13" s="74" t="s">
        <v>46</v>
      </c>
      <c r="T13" s="74" t="s">
        <v>46</v>
      </c>
    </row>
    <row r="14" spans="1:21" x14ac:dyDescent="0.2">
      <c r="A14" s="30" t="s">
        <v>45</v>
      </c>
      <c r="B14" s="30" t="s">
        <v>76</v>
      </c>
      <c r="C14" s="30" t="s">
        <v>90</v>
      </c>
      <c r="D14" s="70" t="s">
        <v>103</v>
      </c>
      <c r="E14" s="32" t="s">
        <v>47</v>
      </c>
      <c r="F14" s="31">
        <v>0.71231100000000003</v>
      </c>
      <c r="G14" s="33">
        <v>1290</v>
      </c>
      <c r="H14" s="34"/>
      <c r="I14" s="35">
        <v>8.2895013675573495</v>
      </c>
      <c r="J14" s="35">
        <v>8.2895013675573495</v>
      </c>
      <c r="K14" s="35" t="s">
        <v>46</v>
      </c>
      <c r="L14" s="35" t="s">
        <v>46</v>
      </c>
      <c r="M14" s="74" t="s">
        <v>46</v>
      </c>
      <c r="N14" s="74" t="s">
        <v>46</v>
      </c>
      <c r="O14" s="34"/>
      <c r="P14" s="35" t="s">
        <v>46</v>
      </c>
      <c r="Q14" s="74" t="s">
        <v>46</v>
      </c>
      <c r="R14" s="76"/>
      <c r="S14" s="74" t="s">
        <v>46</v>
      </c>
      <c r="T14" s="74" t="s">
        <v>46</v>
      </c>
    </row>
    <row r="15" spans="1:21" x14ac:dyDescent="0.2">
      <c r="A15" s="30" t="s">
        <v>45</v>
      </c>
      <c r="B15" s="30" t="s">
        <v>75</v>
      </c>
      <c r="C15" s="30" t="s">
        <v>91</v>
      </c>
      <c r="D15" s="70" t="s">
        <v>103</v>
      </c>
      <c r="E15" s="32" t="s">
        <v>48</v>
      </c>
      <c r="F15" s="31">
        <v>2.9981450000000001</v>
      </c>
      <c r="G15" s="33">
        <v>8418</v>
      </c>
      <c r="H15" s="34"/>
      <c r="I15" s="35">
        <v>11.533926465859157</v>
      </c>
      <c r="J15" s="35">
        <v>11.533926465859157</v>
      </c>
      <c r="K15" s="35" t="s">
        <v>46</v>
      </c>
      <c r="L15" s="35" t="s">
        <v>46</v>
      </c>
      <c r="M15" s="74" t="s">
        <v>46</v>
      </c>
      <c r="N15" s="74" t="s">
        <v>46</v>
      </c>
      <c r="O15" s="34"/>
      <c r="P15" s="35" t="s">
        <v>46</v>
      </c>
      <c r="Q15" s="74" t="s">
        <v>46</v>
      </c>
      <c r="R15" s="76"/>
      <c r="S15" s="74" t="s">
        <v>46</v>
      </c>
      <c r="T15" s="74" t="s">
        <v>46</v>
      </c>
    </row>
    <row r="16" spans="1:21" x14ac:dyDescent="0.2">
      <c r="A16" s="30" t="s">
        <v>29</v>
      </c>
      <c r="B16" s="30" t="s">
        <v>49</v>
      </c>
      <c r="C16" s="30" t="s">
        <v>50</v>
      </c>
      <c r="D16" s="70" t="s">
        <v>104</v>
      </c>
      <c r="E16" s="32" t="s">
        <v>64</v>
      </c>
      <c r="F16" s="31">
        <v>2.3588290000000001</v>
      </c>
      <c r="G16" s="33">
        <v>1289</v>
      </c>
      <c r="H16" s="34"/>
      <c r="I16" s="35">
        <v>11.493734787703946</v>
      </c>
      <c r="J16" s="35">
        <v>11.493734787703946</v>
      </c>
      <c r="K16" s="35">
        <v>2.3041608858011875</v>
      </c>
      <c r="L16" s="35">
        <v>8.194749845641546</v>
      </c>
      <c r="M16" s="74" t="s">
        <v>46</v>
      </c>
      <c r="N16" s="74" t="s">
        <v>46</v>
      </c>
      <c r="O16" s="34"/>
      <c r="P16" s="35">
        <v>3.8443323268680496</v>
      </c>
      <c r="Q16" s="74" t="s">
        <v>46</v>
      </c>
      <c r="R16" s="76"/>
      <c r="S16" s="74" t="s">
        <v>46</v>
      </c>
      <c r="T16" s="74" t="s">
        <v>46</v>
      </c>
    </row>
    <row r="17" spans="1:21" x14ac:dyDescent="0.2">
      <c r="A17" s="30" t="s">
        <v>87</v>
      </c>
      <c r="B17" s="30" t="s">
        <v>89</v>
      </c>
      <c r="C17" s="30" t="s">
        <v>86</v>
      </c>
      <c r="D17" s="70" t="s">
        <v>105</v>
      </c>
      <c r="E17" s="32" t="s">
        <v>48</v>
      </c>
      <c r="F17" s="31">
        <v>0.21362</v>
      </c>
      <c r="G17" s="33">
        <v>98</v>
      </c>
      <c r="H17" s="34"/>
      <c r="I17" s="35">
        <v>12.028877800191108</v>
      </c>
      <c r="J17" s="35">
        <v>12.028877800191108</v>
      </c>
      <c r="K17" s="35" t="s">
        <v>46</v>
      </c>
      <c r="L17" s="35" t="s">
        <v>46</v>
      </c>
      <c r="M17" s="74" t="s">
        <v>46</v>
      </c>
      <c r="N17" s="74" t="s">
        <v>46</v>
      </c>
      <c r="O17" s="34"/>
      <c r="P17" s="35" t="s">
        <v>46</v>
      </c>
      <c r="Q17" s="74" t="s">
        <v>46</v>
      </c>
      <c r="R17" s="76"/>
      <c r="S17" s="74" t="s">
        <v>46</v>
      </c>
      <c r="T17" s="74" t="s">
        <v>46</v>
      </c>
    </row>
    <row r="18" spans="1:21" x14ac:dyDescent="0.2">
      <c r="A18" s="6"/>
      <c r="B18" s="6"/>
      <c r="C18" s="6"/>
      <c r="D18" s="71"/>
      <c r="E18" s="37"/>
      <c r="F18" s="36"/>
      <c r="G18" s="52"/>
      <c r="H18" s="34"/>
      <c r="I18" s="39"/>
      <c r="J18" s="39"/>
      <c r="K18" s="39"/>
      <c r="L18" s="39"/>
      <c r="M18" s="39"/>
      <c r="N18" s="39"/>
      <c r="O18" s="34"/>
      <c r="P18" s="39"/>
      <c r="Q18" s="77"/>
      <c r="R18" s="76"/>
      <c r="S18" s="77"/>
      <c r="T18" s="77"/>
    </row>
    <row r="19" spans="1:21" s="27" customFormat="1" x14ac:dyDescent="0.2">
      <c r="A19" s="26" t="s">
        <v>10</v>
      </c>
      <c r="B19" s="26"/>
      <c r="C19" s="26"/>
      <c r="D19" s="73"/>
      <c r="E19" s="41"/>
      <c r="F19" s="42"/>
      <c r="G19" s="51" t="s">
        <v>61</v>
      </c>
      <c r="H19" s="43"/>
      <c r="I19" s="29">
        <v>14.5498167665596</v>
      </c>
      <c r="J19" s="29">
        <v>14.748527672423947</v>
      </c>
      <c r="K19" s="29">
        <v>7.7630348465964785</v>
      </c>
      <c r="L19" s="29">
        <v>6.890425100557243</v>
      </c>
      <c r="M19" s="29">
        <v>7.5885671715605545</v>
      </c>
      <c r="N19" s="29">
        <v>7.9472249140913629</v>
      </c>
      <c r="O19" s="43"/>
      <c r="P19" s="29">
        <v>8.745585707277522</v>
      </c>
      <c r="Q19" s="78">
        <v>11.673437794481242</v>
      </c>
      <c r="R19" s="79"/>
      <c r="S19" s="80"/>
      <c r="T19" s="80"/>
      <c r="U19" s="6"/>
    </row>
    <row r="20" spans="1:21" x14ac:dyDescent="0.2">
      <c r="A20" s="30" t="s">
        <v>3</v>
      </c>
      <c r="B20" s="30" t="s">
        <v>22</v>
      </c>
      <c r="C20" s="30" t="s">
        <v>96</v>
      </c>
      <c r="D20" s="70" t="s">
        <v>101</v>
      </c>
      <c r="E20" s="32" t="s">
        <v>34</v>
      </c>
      <c r="F20" s="31">
        <v>15.451138</v>
      </c>
      <c r="G20" s="33">
        <v>5138</v>
      </c>
      <c r="H20" s="34"/>
      <c r="I20" s="35">
        <v>14.45710857828435</v>
      </c>
      <c r="J20" s="35">
        <v>14.45710857828435</v>
      </c>
      <c r="K20" s="35">
        <v>4.2712911965145484</v>
      </c>
      <c r="L20" s="35">
        <v>9.5123101426859655</v>
      </c>
      <c r="M20" s="35">
        <v>7.0804638075629756</v>
      </c>
      <c r="N20" s="35">
        <v>8.1653943946222505</v>
      </c>
      <c r="O20" s="34"/>
      <c r="P20" s="35">
        <v>7.7239251324106917</v>
      </c>
      <c r="Q20" s="75">
        <v>11.224383494283785</v>
      </c>
      <c r="R20" s="76"/>
      <c r="S20" s="75">
        <v>14.365176452315525</v>
      </c>
      <c r="T20" s="75">
        <v>12.265810359576555</v>
      </c>
    </row>
    <row r="21" spans="1:21" x14ac:dyDescent="0.2">
      <c r="A21" s="30" t="s">
        <v>109</v>
      </c>
      <c r="B21" s="30" t="s">
        <v>15</v>
      </c>
      <c r="C21" s="30" t="s">
        <v>7</v>
      </c>
      <c r="D21" s="70" t="s">
        <v>98</v>
      </c>
      <c r="E21" s="32" t="s">
        <v>34</v>
      </c>
      <c r="F21" s="31">
        <v>12.116414000000001</v>
      </c>
      <c r="G21" s="33">
        <v>4337</v>
      </c>
      <c r="H21" s="34"/>
      <c r="I21" s="35">
        <v>15.485687470671049</v>
      </c>
      <c r="J21" s="35">
        <v>15.485687470671049</v>
      </c>
      <c r="K21" s="35">
        <v>10.168794507371492</v>
      </c>
      <c r="L21" s="35">
        <v>9.9724844555861161</v>
      </c>
      <c r="M21" s="35">
        <v>7.0475638396237494</v>
      </c>
      <c r="N21" s="35">
        <v>8.2246653424243874</v>
      </c>
      <c r="O21" s="34"/>
      <c r="P21" s="35">
        <v>13.071274343086458</v>
      </c>
      <c r="Q21" s="75">
        <v>12.013994648092208</v>
      </c>
      <c r="R21" s="76"/>
      <c r="S21" s="75">
        <v>12.546707084430746</v>
      </c>
      <c r="T21" s="75">
        <v>10.631625839086304</v>
      </c>
    </row>
    <row r="22" spans="1:21" x14ac:dyDescent="0.2">
      <c r="A22" s="30" t="s">
        <v>109</v>
      </c>
      <c r="B22" s="30" t="s">
        <v>16</v>
      </c>
      <c r="C22" s="30" t="s">
        <v>8</v>
      </c>
      <c r="D22" s="70" t="s">
        <v>101</v>
      </c>
      <c r="E22" s="32" t="s">
        <v>34</v>
      </c>
      <c r="F22" s="31">
        <v>71.723652999999999</v>
      </c>
      <c r="G22" s="33">
        <v>19198</v>
      </c>
      <c r="H22" s="34"/>
      <c r="I22" s="35">
        <v>12.978778467908892</v>
      </c>
      <c r="J22" s="35">
        <v>12.978778467908892</v>
      </c>
      <c r="K22" s="35">
        <v>7.2973878285166105</v>
      </c>
      <c r="L22" s="35">
        <v>9.9443428924130828</v>
      </c>
      <c r="M22" s="35">
        <v>8.3206779035133636</v>
      </c>
      <c r="N22" s="35">
        <v>7.6517505611943371</v>
      </c>
      <c r="O22" s="34"/>
      <c r="P22" s="35">
        <v>7.9501952731905634</v>
      </c>
      <c r="Q22" s="75">
        <v>11.360514532001286</v>
      </c>
      <c r="R22" s="76"/>
      <c r="S22" s="75">
        <v>12.984795462893983</v>
      </c>
      <c r="T22" s="75">
        <v>11.403021280150453</v>
      </c>
    </row>
    <row r="23" spans="1:21" x14ac:dyDescent="0.2">
      <c r="A23" s="30" t="s">
        <v>29</v>
      </c>
      <c r="B23" s="30" t="s">
        <v>14</v>
      </c>
      <c r="C23" s="30" t="s">
        <v>51</v>
      </c>
      <c r="D23" s="70" t="s">
        <v>99</v>
      </c>
      <c r="E23" s="32" t="s">
        <v>34</v>
      </c>
      <c r="F23" s="31">
        <v>53.176223999999998</v>
      </c>
      <c r="G23" s="33">
        <v>13224</v>
      </c>
      <c r="H23" s="34"/>
      <c r="I23" s="35">
        <v>15.525900416128579</v>
      </c>
      <c r="J23" s="35">
        <v>15.525900416128579</v>
      </c>
      <c r="K23" s="35">
        <v>6.7354649493540197</v>
      </c>
      <c r="L23" s="35" t="s">
        <v>46</v>
      </c>
      <c r="M23" s="35">
        <v>6.8720089489300307</v>
      </c>
      <c r="N23" s="35">
        <v>8.2191500157400732</v>
      </c>
      <c r="O23" s="34"/>
      <c r="P23" s="35">
        <v>9.2614688510902496</v>
      </c>
      <c r="Q23" s="75">
        <v>12.148388246523423</v>
      </c>
      <c r="R23" s="76"/>
      <c r="S23" s="75">
        <v>13.389982159568806</v>
      </c>
      <c r="T23" s="75">
        <v>11.360066708245808</v>
      </c>
    </row>
    <row r="24" spans="1:21" x14ac:dyDescent="0.2">
      <c r="A24" s="30" t="s">
        <v>29</v>
      </c>
      <c r="B24" s="30" t="s">
        <v>71</v>
      </c>
      <c r="C24" s="30" t="s">
        <v>77</v>
      </c>
      <c r="D24" s="70" t="s">
        <v>106</v>
      </c>
      <c r="E24" s="32" t="s">
        <v>34</v>
      </c>
      <c r="F24" s="31">
        <v>3.5435150000000002</v>
      </c>
      <c r="G24" s="33">
        <v>2234</v>
      </c>
      <c r="H24" s="34"/>
      <c r="I24" s="63">
        <v>19.941811128621655</v>
      </c>
      <c r="J24" s="63">
        <v>19.941811128621655</v>
      </c>
      <c r="K24" s="35">
        <v>9.6298593557379917</v>
      </c>
      <c r="L24" s="35" t="s">
        <v>46</v>
      </c>
      <c r="M24" s="74" t="s">
        <v>46</v>
      </c>
      <c r="N24" s="74" t="s">
        <v>46</v>
      </c>
      <c r="O24" s="34"/>
      <c r="P24" s="35" t="s">
        <v>46</v>
      </c>
      <c r="Q24" s="75" t="s">
        <v>46</v>
      </c>
      <c r="R24" s="76"/>
      <c r="S24" s="75">
        <v>11.360066708245808</v>
      </c>
      <c r="T24" s="74" t="s">
        <v>46</v>
      </c>
    </row>
    <row r="25" spans="1:21" x14ac:dyDescent="0.2">
      <c r="A25" s="30" t="s">
        <v>45</v>
      </c>
      <c r="B25" s="30" t="s">
        <v>42</v>
      </c>
      <c r="C25" s="30" t="s">
        <v>73</v>
      </c>
      <c r="D25" s="70" t="s">
        <v>102</v>
      </c>
      <c r="E25" s="32" t="s">
        <v>34</v>
      </c>
      <c r="F25" s="31">
        <v>6.4928249999999998</v>
      </c>
      <c r="G25" s="33">
        <v>1941</v>
      </c>
      <c r="H25" s="34"/>
      <c r="I25" s="35">
        <v>16.34098472565919</v>
      </c>
      <c r="J25" s="35">
        <v>16.34098472565919</v>
      </c>
      <c r="K25" s="35">
        <v>7.9140172740721493</v>
      </c>
      <c r="L25" s="35">
        <v>8.2191500157400732</v>
      </c>
      <c r="M25" s="74" t="s">
        <v>46</v>
      </c>
      <c r="N25" s="74" t="s">
        <v>46</v>
      </c>
      <c r="O25" s="34"/>
      <c r="P25" s="35">
        <v>7.6658667968853234</v>
      </c>
      <c r="Q25" s="75" t="s">
        <v>46</v>
      </c>
      <c r="R25" s="76"/>
      <c r="S25" s="74" t="s">
        <v>46</v>
      </c>
      <c r="T25" s="74" t="s">
        <v>46</v>
      </c>
    </row>
    <row r="26" spans="1:21" x14ac:dyDescent="0.2">
      <c r="A26" s="30" t="s">
        <v>45</v>
      </c>
      <c r="B26" s="30" t="s">
        <v>74</v>
      </c>
      <c r="C26" s="30" t="s">
        <v>92</v>
      </c>
      <c r="D26" s="70" t="s">
        <v>103</v>
      </c>
      <c r="E26" s="32" t="s">
        <v>34</v>
      </c>
      <c r="F26" s="31">
        <v>6.2612220000000001</v>
      </c>
      <c r="G26" s="33">
        <v>17824</v>
      </c>
      <c r="H26" s="34"/>
      <c r="I26" s="35">
        <v>15.93746607317339</v>
      </c>
      <c r="J26" s="35">
        <v>15.93746607317339</v>
      </c>
      <c r="K26" s="35">
        <v>8.2191500157400732</v>
      </c>
      <c r="L26" s="35" t="s">
        <v>46</v>
      </c>
      <c r="M26" s="74" t="s">
        <v>46</v>
      </c>
      <c r="N26" s="74" t="s">
        <v>46</v>
      </c>
      <c r="O26" s="34"/>
      <c r="P26" s="35" t="s">
        <v>46</v>
      </c>
      <c r="Q26" s="74" t="s">
        <v>46</v>
      </c>
      <c r="R26" s="76"/>
      <c r="S26" s="74" t="s">
        <v>46</v>
      </c>
      <c r="T26" s="74" t="s">
        <v>46</v>
      </c>
    </row>
    <row r="27" spans="1:21" x14ac:dyDescent="0.2">
      <c r="A27" s="30" t="s">
        <v>3</v>
      </c>
      <c r="B27" s="30" t="s">
        <v>69</v>
      </c>
      <c r="C27" s="30" t="s">
        <v>70</v>
      </c>
      <c r="D27" s="70" t="s">
        <v>107</v>
      </c>
      <c r="E27" s="32" t="s">
        <v>34</v>
      </c>
      <c r="F27" s="31">
        <v>2.8372009999999999</v>
      </c>
      <c r="G27" s="33">
        <v>899</v>
      </c>
      <c r="H27" s="34"/>
      <c r="I27" s="35">
        <v>15.562983079172765</v>
      </c>
      <c r="J27" s="35">
        <v>15.562983079172765</v>
      </c>
      <c r="K27" s="35">
        <v>9.2614688510902496</v>
      </c>
      <c r="L27" s="35" t="s">
        <v>46</v>
      </c>
      <c r="M27" s="74" t="s">
        <v>46</v>
      </c>
      <c r="N27" s="74" t="s">
        <v>46</v>
      </c>
      <c r="O27" s="34"/>
      <c r="P27" s="35" t="s">
        <v>46</v>
      </c>
      <c r="Q27" s="74" t="s">
        <v>46</v>
      </c>
      <c r="R27" s="76"/>
      <c r="S27" s="74" t="s">
        <v>46</v>
      </c>
      <c r="T27" s="74" t="s">
        <v>46</v>
      </c>
    </row>
    <row r="28" spans="1:21" x14ac:dyDescent="0.2">
      <c r="A28" s="30" t="s">
        <v>87</v>
      </c>
      <c r="B28" s="30" t="s">
        <v>88</v>
      </c>
      <c r="C28" s="30" t="s">
        <v>85</v>
      </c>
      <c r="D28" s="70" t="s">
        <v>105</v>
      </c>
      <c r="E28" s="32" t="s">
        <v>34</v>
      </c>
      <c r="F28" s="31">
        <v>2.3436189999999999</v>
      </c>
      <c r="G28" s="33">
        <v>901</v>
      </c>
      <c r="H28" s="34"/>
      <c r="I28" s="35">
        <v>18.206521739130444</v>
      </c>
      <c r="J28" s="35">
        <v>18.206521739130444</v>
      </c>
      <c r="K28" s="35" t="s">
        <v>46</v>
      </c>
      <c r="L28" s="35" t="s">
        <v>46</v>
      </c>
      <c r="M28" s="74" t="s">
        <v>46</v>
      </c>
      <c r="N28" s="74" t="s">
        <v>46</v>
      </c>
      <c r="O28" s="34"/>
      <c r="P28" s="35" t="s">
        <v>46</v>
      </c>
      <c r="Q28" s="74" t="s">
        <v>46</v>
      </c>
      <c r="R28" s="76"/>
      <c r="S28" s="74" t="s">
        <v>46</v>
      </c>
      <c r="T28" s="74" t="s">
        <v>46</v>
      </c>
    </row>
    <row r="29" spans="1:21" x14ac:dyDescent="0.2">
      <c r="D29" s="7"/>
      <c r="E29" s="8"/>
      <c r="F29" s="7"/>
      <c r="G29" s="9"/>
      <c r="H29" s="3"/>
      <c r="I29" s="4"/>
      <c r="J29" s="4"/>
      <c r="K29" s="4"/>
      <c r="L29" s="4"/>
      <c r="M29" s="4"/>
      <c r="N29" s="4"/>
      <c r="O29" s="3"/>
      <c r="P29" s="4"/>
      <c r="Q29" s="4"/>
      <c r="R29" s="3"/>
      <c r="S29" s="4"/>
      <c r="T29" s="4"/>
    </row>
    <row r="31" spans="1:21" s="18" customFormat="1" x14ac:dyDescent="0.25">
      <c r="A31" s="5"/>
      <c r="B31" s="5"/>
      <c r="C31" s="5"/>
      <c r="D31" s="45"/>
      <c r="E31" s="46"/>
      <c r="F31" s="47"/>
      <c r="G31" s="48" t="s">
        <v>68</v>
      </c>
      <c r="H31" s="47"/>
      <c r="I31" s="49">
        <v>12.500792738237582</v>
      </c>
      <c r="J31" s="49">
        <v>12.610516238751483</v>
      </c>
      <c r="K31" s="49">
        <v>4.594529979007036</v>
      </c>
      <c r="L31" s="49">
        <v>5.1714166575216058</v>
      </c>
      <c r="M31" s="49">
        <v>5.7638017847427072</v>
      </c>
      <c r="N31" s="49">
        <v>6.6955007204353088</v>
      </c>
      <c r="O31" s="49"/>
      <c r="P31" s="49">
        <v>5.2469133911883228</v>
      </c>
      <c r="Q31" s="49">
        <v>8.1353306750828693</v>
      </c>
      <c r="R31" s="47"/>
      <c r="S31" s="50"/>
      <c r="T31" s="50"/>
      <c r="U31" s="5"/>
    </row>
    <row r="33" spans="1:21" x14ac:dyDescent="0.2">
      <c r="A33" s="17" t="s">
        <v>27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</row>
    <row r="34" spans="1:21" x14ac:dyDescent="0.2">
      <c r="A34" s="17" t="s">
        <v>54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</row>
    <row r="35" spans="1:21" x14ac:dyDescent="0.2">
      <c r="A35" s="17" t="s">
        <v>56</v>
      </c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</row>
    <row r="36" spans="1:21" x14ac:dyDescent="0.2">
      <c r="A36" s="17" t="s">
        <v>58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</row>
    <row r="37" spans="1:21" x14ac:dyDescent="0.2">
      <c r="A37" s="17" t="s">
        <v>60</v>
      </c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P37" s="1"/>
      <c r="Q37" s="1"/>
      <c r="S37" s="1"/>
      <c r="T37" s="1"/>
      <c r="U37" s="1"/>
    </row>
    <row r="38" spans="1:21" x14ac:dyDescent="0.2">
      <c r="A38" s="68" t="s">
        <v>108</v>
      </c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P38" s="1"/>
      <c r="Q38" s="1"/>
      <c r="S38" s="1"/>
      <c r="T38" s="1"/>
      <c r="U38" s="1"/>
    </row>
    <row r="39" spans="1:21" x14ac:dyDescent="0.2">
      <c r="A39" s="17" t="s">
        <v>63</v>
      </c>
      <c r="P39" s="1"/>
      <c r="Q39" s="1"/>
      <c r="S39" s="1"/>
      <c r="T39" s="1"/>
      <c r="U39" s="1"/>
    </row>
    <row r="40" spans="1:21" x14ac:dyDescent="0.2">
      <c r="A40" s="68" t="s">
        <v>111</v>
      </c>
      <c r="P40" s="1"/>
      <c r="Q40" s="1"/>
      <c r="S40" s="1"/>
      <c r="T40" s="1"/>
      <c r="U40" s="1"/>
    </row>
    <row r="41" spans="1:21" x14ac:dyDescent="0.2">
      <c r="A41" s="64"/>
    </row>
    <row r="42" spans="1:21" x14ac:dyDescent="0.2">
      <c r="A42" s="64"/>
    </row>
    <row r="43" spans="1:21" x14ac:dyDescent="0.2">
      <c r="A43" s="64"/>
      <c r="Q43" s="1"/>
      <c r="S43" s="1"/>
      <c r="T43" s="1"/>
      <c r="U43" s="1"/>
    </row>
    <row r="44" spans="1:21" x14ac:dyDescent="0.2">
      <c r="A44" s="64"/>
      <c r="Q44" s="1"/>
      <c r="S44" s="1"/>
      <c r="T44" s="1"/>
      <c r="U44" s="1"/>
    </row>
    <row r="45" spans="1:21" x14ac:dyDescent="0.2">
      <c r="A45" s="64"/>
      <c r="Q45" s="1"/>
      <c r="S45" s="1"/>
      <c r="T45" s="1"/>
      <c r="U45" s="1"/>
    </row>
    <row r="46" spans="1:21" x14ac:dyDescent="0.2">
      <c r="A46" s="64"/>
      <c r="Q46" s="1"/>
      <c r="S46" s="1"/>
      <c r="T46" s="1"/>
      <c r="U46" s="1"/>
    </row>
    <row r="47" spans="1:21" x14ac:dyDescent="0.2">
      <c r="L47" s="66"/>
    </row>
    <row r="48" spans="1:21" x14ac:dyDescent="0.2">
      <c r="L48" s="66"/>
    </row>
    <row r="49" spans="12:12" x14ac:dyDescent="0.2">
      <c r="L49" s="66"/>
    </row>
  </sheetData>
  <mergeCells count="3">
    <mergeCell ref="P1:Q1"/>
    <mergeCell ref="I1:N1"/>
    <mergeCell ref="S1:T1"/>
  </mergeCells>
  <phoneticPr fontId="15" type="noConversion"/>
  <conditionalFormatting sqref="I9:I17">
    <cfRule type="cellIs" dxfId="30" priority="228" operator="greaterThanOrEqual">
      <formula>0</formula>
    </cfRule>
    <cfRule type="cellIs" dxfId="29" priority="229" operator="lessThan">
      <formula>0</formula>
    </cfRule>
  </conditionalFormatting>
  <conditionalFormatting sqref="I4:N6 J9:J13">
    <cfRule type="cellIs" dxfId="28" priority="36" operator="lessThan">
      <formula>0</formula>
    </cfRule>
    <cfRule type="cellIs" dxfId="27" priority="35" operator="greaterThanOrEqual">
      <formula>0</formula>
    </cfRule>
  </conditionalFormatting>
  <conditionalFormatting sqref="I20:N28">
    <cfRule type="cellIs" dxfId="26" priority="2" operator="lessThan">
      <formula>0</formula>
    </cfRule>
    <cfRule type="cellIs" dxfId="25" priority="1" operator="greaterThanOrEqual">
      <formula>0</formula>
    </cfRule>
  </conditionalFormatting>
  <conditionalFormatting sqref="I50:T1048576 I32:T40 I41:K41 M41:T41 I42:T42 Q43:T46 I47:K49 M47:T49">
    <cfRule type="duplicateValues" dxfId="24" priority="267"/>
  </conditionalFormatting>
  <conditionalFormatting sqref="J14:K17">
    <cfRule type="cellIs" dxfId="23" priority="3" operator="greaterThanOrEqual">
      <formula>0</formula>
    </cfRule>
    <cfRule type="cellIs" dxfId="22" priority="4" operator="lessThan">
      <formula>0</formula>
    </cfRule>
  </conditionalFormatting>
  <conditionalFormatting sqref="K9:M11 K12:K13">
    <cfRule type="cellIs" dxfId="21" priority="230" operator="greaterThanOrEqual">
      <formula>0</formula>
    </cfRule>
    <cfRule type="cellIs" dxfId="20" priority="231" operator="lessThan">
      <formula>0</formula>
    </cfRule>
  </conditionalFormatting>
  <conditionalFormatting sqref="L47:L49">
    <cfRule type="duplicateValues" dxfId="19" priority="290"/>
  </conditionalFormatting>
  <conditionalFormatting sqref="L12:M17">
    <cfRule type="cellIs" dxfId="18" priority="51" operator="greaterThanOrEqual">
      <formula>0</formula>
    </cfRule>
    <cfRule type="cellIs" dxfId="17" priority="52" operator="lessThan">
      <formula>0</formula>
    </cfRule>
  </conditionalFormatting>
  <conditionalFormatting sqref="N9:N17">
    <cfRule type="cellIs" dxfId="16" priority="49" operator="greaterThanOrEqual">
      <formula>0</formula>
    </cfRule>
    <cfRule type="cellIs" dxfId="15" priority="50" operator="lessThan">
      <formula>0</formula>
    </cfRule>
  </conditionalFormatting>
  <conditionalFormatting sqref="P4:Q6">
    <cfRule type="cellIs" dxfId="14" priority="224" operator="greaterThanOrEqual">
      <formula>0</formula>
    </cfRule>
    <cfRule type="cellIs" dxfId="13" priority="225" operator="lessThan">
      <formula>0</formula>
    </cfRule>
  </conditionalFormatting>
  <conditionalFormatting sqref="P9:Q17">
    <cfRule type="cellIs" dxfId="12" priority="5" operator="greaterThanOrEqual">
      <formula>0</formula>
    </cfRule>
    <cfRule type="cellIs" dxfId="11" priority="6" operator="lessThan">
      <formula>0</formula>
    </cfRule>
  </conditionalFormatting>
  <conditionalFormatting sqref="P20:Q28">
    <cfRule type="cellIs" dxfId="10" priority="41" operator="greaterThanOrEqual">
      <formula>0</formula>
    </cfRule>
    <cfRule type="cellIs" dxfId="9" priority="42" operator="lessThan">
      <formula>0</formula>
    </cfRule>
  </conditionalFormatting>
  <conditionalFormatting sqref="S4:T6">
    <cfRule type="cellIs" dxfId="8" priority="218" operator="greaterThanOrEqual">
      <formula>0</formula>
    </cfRule>
    <cfRule type="cellIs" dxfId="7" priority="219" operator="lessThan">
      <formula>0</formula>
    </cfRule>
  </conditionalFormatting>
  <conditionalFormatting sqref="S9:T17">
    <cfRule type="cellIs" dxfId="6" priority="53" operator="greaterThanOrEqual">
      <formula>0</formula>
    </cfRule>
    <cfRule type="cellIs" dxfId="5" priority="54" operator="lessThan">
      <formula>0</formula>
    </cfRule>
  </conditionalFormatting>
  <conditionalFormatting sqref="S20:T28">
    <cfRule type="cellIs" dxfId="4" priority="65" operator="greaterThanOrEqual">
      <formula>0</formula>
    </cfRule>
    <cfRule type="cellIs" dxfId="3" priority="66" operator="less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4"/>
  <sheetViews>
    <sheetView showGridLines="0" zoomScale="70" zoomScaleNormal="70" workbookViewId="0"/>
  </sheetViews>
  <sheetFormatPr defaultRowHeight="15" x14ac:dyDescent="0.25"/>
  <cols>
    <col min="1" max="1" width="54.85546875" customWidth="1"/>
    <col min="2" max="2" width="32.42578125" bestFit="1" customWidth="1"/>
    <col min="3" max="3" width="19.5703125" bestFit="1" customWidth="1"/>
    <col min="4" max="4" width="18.85546875" bestFit="1" customWidth="1"/>
    <col min="6" max="6" width="9.5703125" customWidth="1"/>
    <col min="16" max="16" width="10.5703125" customWidth="1"/>
  </cols>
  <sheetData>
    <row r="1" spans="1:20" s="11" customFormat="1" ht="14.25" x14ac:dyDescent="0.2">
      <c r="A1" s="23" t="s">
        <v>25</v>
      </c>
      <c r="B1" s="23" t="s">
        <v>24</v>
      </c>
      <c r="C1" s="23" t="s">
        <v>12</v>
      </c>
      <c r="E1" s="12"/>
      <c r="G1" s="13"/>
      <c r="I1" s="14"/>
      <c r="J1" s="14"/>
      <c r="K1" s="14"/>
      <c r="L1" s="14"/>
      <c r="N1" s="14"/>
      <c r="O1" s="14"/>
      <c r="Q1" s="15"/>
      <c r="R1" s="15"/>
      <c r="S1" s="15"/>
      <c r="T1" s="15"/>
    </row>
    <row r="2" spans="1:20" s="10" customFormat="1" x14ac:dyDescent="0.25">
      <c r="A2" s="30" t="s">
        <v>3</v>
      </c>
      <c r="B2" s="53">
        <v>80.813496999999998</v>
      </c>
      <c r="C2" s="54">
        <v>34375</v>
      </c>
      <c r="G2" s="6"/>
      <c r="H2" s="6"/>
      <c r="I2" s="6"/>
    </row>
    <row r="3" spans="1:20" s="10" customFormat="1" x14ac:dyDescent="0.25">
      <c r="A3" s="30" t="s">
        <v>109</v>
      </c>
      <c r="B3" s="53">
        <v>122.907747</v>
      </c>
      <c r="C3" s="54">
        <v>33424</v>
      </c>
      <c r="G3" s="6"/>
      <c r="H3" s="6"/>
      <c r="I3" s="6"/>
    </row>
    <row r="4" spans="1:20" s="10" customFormat="1" x14ac:dyDescent="0.25">
      <c r="A4" s="30" t="s">
        <v>29</v>
      </c>
      <c r="B4" s="53">
        <v>68.40951299999999</v>
      </c>
      <c r="C4" s="54">
        <v>18886</v>
      </c>
      <c r="E4" s="6"/>
      <c r="F4" s="6"/>
      <c r="G4" s="6"/>
      <c r="H4" s="6"/>
      <c r="I4" s="6"/>
      <c r="O4" s="6"/>
      <c r="P4" s="62"/>
    </row>
    <row r="5" spans="1:20" s="10" customFormat="1" x14ac:dyDescent="0.25">
      <c r="A5" s="30" t="s">
        <v>45</v>
      </c>
      <c r="B5" s="53">
        <v>19.215350000000001</v>
      </c>
      <c r="C5" s="54">
        <v>30382</v>
      </c>
      <c r="E5" s="6"/>
      <c r="F5" s="6"/>
      <c r="G5" s="6"/>
      <c r="H5" s="6"/>
      <c r="I5" s="6"/>
      <c r="O5" s="60"/>
      <c r="P5" s="62"/>
    </row>
    <row r="6" spans="1:20" s="10" customFormat="1" x14ac:dyDescent="0.25">
      <c r="A6" s="30" t="s">
        <v>87</v>
      </c>
      <c r="B6" s="53">
        <v>2.557239</v>
      </c>
      <c r="C6" s="54">
        <v>999</v>
      </c>
      <c r="E6" s="6"/>
      <c r="F6" s="6"/>
      <c r="G6" s="6"/>
      <c r="H6" s="6"/>
      <c r="I6" s="6"/>
      <c r="O6" s="60"/>
      <c r="P6" s="62"/>
    </row>
    <row r="7" spans="1:20" s="11" customFormat="1" ht="14.25" x14ac:dyDescent="0.2">
      <c r="A7" s="57" t="s">
        <v>28</v>
      </c>
      <c r="B7" s="55">
        <v>293.903346</v>
      </c>
      <c r="C7" s="56">
        <v>118066</v>
      </c>
      <c r="E7" s="12"/>
      <c r="G7" s="13"/>
      <c r="I7" s="14"/>
      <c r="J7" s="14"/>
      <c r="K7" s="14"/>
      <c r="L7" s="14"/>
      <c r="N7" s="14"/>
      <c r="O7" s="61"/>
      <c r="P7" s="61"/>
      <c r="Q7" s="15"/>
      <c r="R7" s="15"/>
      <c r="S7" s="15"/>
      <c r="T7" s="15"/>
    </row>
    <row r="8" spans="1:20" s="10" customFormat="1" x14ac:dyDescent="0.25">
      <c r="B8" s="16"/>
      <c r="E8" s="6"/>
      <c r="F8" s="6"/>
      <c r="G8" s="6"/>
      <c r="H8" s="6"/>
      <c r="I8" s="6"/>
    </row>
    <row r="9" spans="1:20" s="11" customFormat="1" ht="22.7" customHeight="1" x14ac:dyDescent="0.2">
      <c r="E9" s="12"/>
      <c r="G9" s="13"/>
      <c r="I9" s="14"/>
      <c r="J9" s="14"/>
      <c r="K9" s="14"/>
      <c r="L9" s="14"/>
      <c r="N9" s="14"/>
      <c r="O9" s="14"/>
      <c r="Q9" s="15"/>
      <c r="R9" s="15"/>
      <c r="S9" s="15"/>
      <c r="T9" s="15"/>
    </row>
    <row r="10" spans="1:20" s="10" customFormat="1" x14ac:dyDescent="0.25"/>
    <row r="11" spans="1:20" s="10" customFormat="1" x14ac:dyDescent="0.25"/>
    <row r="12" spans="1:20" s="10" customFormat="1" x14ac:dyDescent="0.25"/>
    <row r="13" spans="1:20" s="10" customFormat="1" x14ac:dyDescent="0.25"/>
    <row r="14" spans="1:20" s="10" customFormat="1" x14ac:dyDescent="0.25"/>
    <row r="15" spans="1:20" s="10" customFormat="1" x14ac:dyDescent="0.25"/>
    <row r="16" spans="1:20" s="10" customFormat="1" x14ac:dyDescent="0.25"/>
    <row r="17" spans="1:3" s="10" customFormat="1" x14ac:dyDescent="0.25"/>
    <row r="18" spans="1:3" s="10" customFormat="1" x14ac:dyDescent="0.25"/>
    <row r="19" spans="1:3" s="10" customFormat="1" x14ac:dyDescent="0.25"/>
    <row r="20" spans="1:3" s="10" customFormat="1" x14ac:dyDescent="0.25"/>
    <row r="21" spans="1:3" s="10" customFormat="1" x14ac:dyDescent="0.25"/>
    <row r="22" spans="1:3" ht="33" customHeight="1" x14ac:dyDescent="0.25">
      <c r="A22" s="23" t="s">
        <v>26</v>
      </c>
      <c r="B22" s="23" t="s">
        <v>39</v>
      </c>
      <c r="C22" s="23" t="s">
        <v>40</v>
      </c>
    </row>
    <row r="23" spans="1:3" x14ac:dyDescent="0.25">
      <c r="A23" s="30" t="str">
        <f>+'2023-12-31'!C5</f>
        <v>INVL STABILO III 58+ / INVL Stabilus</v>
      </c>
      <c r="B23" s="53">
        <f>+'2023-12-31'!F5</f>
        <v>12.829516</v>
      </c>
      <c r="C23" s="54">
        <f>+'2023-12-31'!G5</f>
        <v>3078</v>
      </c>
    </row>
    <row r="24" spans="1:3" x14ac:dyDescent="0.25">
      <c r="A24" s="30" t="str">
        <f>+'2023-12-31'!C10</f>
        <v>INVL Apdairus</v>
      </c>
      <c r="B24" s="53">
        <f>+'2023-12-31'!F10</f>
        <v>3.982583</v>
      </c>
      <c r="C24" s="54">
        <f>+'2023-12-31'!G10</f>
        <v>1582</v>
      </c>
    </row>
    <row r="25" spans="1:3" x14ac:dyDescent="0.25">
      <c r="A25" s="30" t="str">
        <f>+'2023-12-31'!C11</f>
        <v>INVL Medio III 47+</v>
      </c>
      <c r="B25" s="53">
        <f>+'2023-12-31'!F11</f>
        <v>22.255580999999999</v>
      </c>
      <c r="C25" s="54">
        <f>+'2023-12-31'!G11</f>
        <v>5229</v>
      </c>
    </row>
    <row r="26" spans="1:3" x14ac:dyDescent="0.25">
      <c r="A26" s="30" t="str">
        <f>+'2023-12-31'!C21</f>
        <v>INVL Drąsus</v>
      </c>
      <c r="B26" s="53">
        <f>+'2023-12-31'!F21</f>
        <v>12.116414000000001</v>
      </c>
      <c r="C26" s="54">
        <f>+'2023-12-31'!G21</f>
        <v>4337</v>
      </c>
    </row>
    <row r="27" spans="1:3" x14ac:dyDescent="0.25">
      <c r="A27" s="30" t="str">
        <f>+'2023-12-31'!C22</f>
        <v>INVL Extremo III 16+</v>
      </c>
      <c r="B27" s="53">
        <f>+'2023-12-31'!F22</f>
        <v>71.723652999999999</v>
      </c>
      <c r="C27" s="54">
        <f>+'2023-12-31'!G22</f>
        <v>19198</v>
      </c>
    </row>
    <row r="28" spans="1:3" x14ac:dyDescent="0.25">
      <c r="A28" s="30" t="str">
        <f>+'2023-12-31'!C4</f>
        <v>Luminor ateitis 58 +</v>
      </c>
      <c r="B28" s="53">
        <f>+'2023-12-31'!F4</f>
        <v>10.177206999999999</v>
      </c>
      <c r="C28" s="54">
        <f>+'2023-12-31'!G4</f>
        <v>3903</v>
      </c>
    </row>
    <row r="29" spans="1:3" x14ac:dyDescent="0.25">
      <c r="A29" s="30" t="str">
        <f>+'2023-12-31'!C9</f>
        <v>Luminor ateitis 50 – 58</v>
      </c>
      <c r="B29" s="53">
        <f>+'2023-12-31'!F9</f>
        <v>52.347951000000002</v>
      </c>
      <c r="C29" s="54">
        <f>+'2023-12-31'!G9</f>
        <v>24435</v>
      </c>
    </row>
    <row r="30" spans="1:3" x14ac:dyDescent="0.25">
      <c r="A30" s="30" t="str">
        <f>+'2023-12-31'!C20</f>
        <v>Luminor ateitis 16 – 50</v>
      </c>
      <c r="B30" s="53">
        <f>+'2023-12-31'!F20</f>
        <v>15.451138</v>
      </c>
      <c r="C30" s="54">
        <f>+'2023-12-31'!G20</f>
        <v>5138</v>
      </c>
    </row>
    <row r="31" spans="1:3" x14ac:dyDescent="0.25">
      <c r="A31" s="30" t="s">
        <v>70</v>
      </c>
      <c r="B31" s="53">
        <f>'2023-12-31'!F27</f>
        <v>2.8372009999999999</v>
      </c>
      <c r="C31" s="54">
        <f>'2023-12-31'!G27</f>
        <v>899</v>
      </c>
    </row>
    <row r="32" spans="1:3" x14ac:dyDescent="0.25">
      <c r="A32" s="30" t="str">
        <f>+'2023-12-31'!C16</f>
        <v>SEB pensija 50+</v>
      </c>
      <c r="B32" s="53">
        <f>+'2023-12-31'!F16</f>
        <v>2.3588290000000001</v>
      </c>
      <c r="C32" s="54">
        <f>+'2023-12-31'!G16</f>
        <v>1289</v>
      </c>
    </row>
    <row r="33" spans="1:3" x14ac:dyDescent="0.25">
      <c r="A33" s="30" t="str">
        <f>+'2023-12-31'!C6</f>
        <v>SEB pensija 58+</v>
      </c>
      <c r="B33" s="53">
        <f>+'2023-12-31'!F6</f>
        <v>9.3309449999999998</v>
      </c>
      <c r="C33" s="54">
        <f>+'2023-12-31'!G6</f>
        <v>2139</v>
      </c>
    </row>
    <row r="34" spans="1:3" x14ac:dyDescent="0.25">
      <c r="A34" s="30" t="str">
        <f>+'2023-12-31'!C23</f>
        <v>SEB pensija 18+</v>
      </c>
      <c r="B34" s="53">
        <f>+'2023-12-31'!F23</f>
        <v>53.176223999999998</v>
      </c>
      <c r="C34" s="54">
        <f>+'2023-12-31'!G23</f>
        <v>13224</v>
      </c>
    </row>
    <row r="35" spans="1:3" x14ac:dyDescent="0.25">
      <c r="A35" s="30" t="s">
        <v>77</v>
      </c>
      <c r="B35" s="53">
        <f>+'2023-12-31'!F24</f>
        <v>3.5435150000000002</v>
      </c>
      <c r="C35" s="54">
        <f>+'2023-12-31'!G24</f>
        <v>2234</v>
      </c>
    </row>
    <row r="36" spans="1:3" x14ac:dyDescent="0.25">
      <c r="A36" s="58" t="s">
        <v>79</v>
      </c>
      <c r="B36" s="53">
        <f>+'2023-12-31'!F12</f>
        <v>0.64137200000000005</v>
      </c>
      <c r="C36" s="54">
        <f>+'2023-12-31'!G12</f>
        <v>146</v>
      </c>
    </row>
    <row r="37" spans="1:3" x14ac:dyDescent="0.25">
      <c r="A37" s="58" t="s">
        <v>80</v>
      </c>
      <c r="B37" s="53">
        <f>+'2023-12-31'!F13</f>
        <v>2.1094750000000002</v>
      </c>
      <c r="C37" s="54">
        <f>+'2023-12-31'!G13</f>
        <v>763</v>
      </c>
    </row>
    <row r="38" spans="1:3" x14ac:dyDescent="0.25">
      <c r="A38" s="58" t="s">
        <v>81</v>
      </c>
      <c r="B38" s="53">
        <f>+'2023-12-31'!F14</f>
        <v>0.71231100000000003</v>
      </c>
      <c r="C38" s="54">
        <f>+'2023-12-31'!G14</f>
        <v>1290</v>
      </c>
    </row>
    <row r="39" spans="1:3" x14ac:dyDescent="0.25">
      <c r="A39" s="58" t="s">
        <v>82</v>
      </c>
      <c r="B39" s="53">
        <f>+'2023-12-31'!F15</f>
        <v>2.9981450000000001</v>
      </c>
      <c r="C39" s="54">
        <f>+'2023-12-31'!G15</f>
        <v>8418</v>
      </c>
    </row>
    <row r="40" spans="1:3" x14ac:dyDescent="0.25">
      <c r="A40" s="30" t="s">
        <v>83</v>
      </c>
      <c r="B40" s="53">
        <f>+'2023-12-31'!F25</f>
        <v>6.4928249999999998</v>
      </c>
      <c r="C40" s="54">
        <f>+'2023-12-31'!G25</f>
        <v>1941</v>
      </c>
    </row>
    <row r="41" spans="1:3" x14ac:dyDescent="0.25">
      <c r="A41" s="30" t="s">
        <v>84</v>
      </c>
      <c r="B41" s="53">
        <f>+'2023-12-31'!F26</f>
        <v>6.2612220000000001</v>
      </c>
      <c r="C41" s="54">
        <f>+'2023-12-31'!G26</f>
        <v>17824</v>
      </c>
    </row>
    <row r="42" spans="1:3" x14ac:dyDescent="0.25">
      <c r="A42" s="30" t="s">
        <v>85</v>
      </c>
      <c r="B42" s="53">
        <f>'2023-12-31'!F28</f>
        <v>2.3436189999999999</v>
      </c>
      <c r="C42" s="54">
        <f>'2023-12-31'!G28</f>
        <v>901</v>
      </c>
    </row>
    <row r="43" spans="1:3" x14ac:dyDescent="0.25">
      <c r="A43" s="30" t="s">
        <v>86</v>
      </c>
      <c r="B43" s="53">
        <f>'2023-12-31'!F17</f>
        <v>0.21362</v>
      </c>
      <c r="C43" s="54">
        <f>'2023-12-31'!G17</f>
        <v>98</v>
      </c>
    </row>
    <row r="44" spans="1:3" x14ac:dyDescent="0.25">
      <c r="A44" s="57" t="s">
        <v>28</v>
      </c>
      <c r="B44" s="55">
        <f>+SUM(B23:B43)</f>
        <v>293.90334599999994</v>
      </c>
      <c r="C44" s="65">
        <f>+SUM(C23:C43)</f>
        <v>118066</v>
      </c>
    </row>
  </sheetData>
  <conditionalFormatting sqref="I1:R1">
    <cfRule type="duplicateValues" dxfId="2" priority="6"/>
  </conditionalFormatting>
  <conditionalFormatting sqref="I7:R7">
    <cfRule type="duplicateValues" dxfId="1" priority="1"/>
  </conditionalFormatting>
  <conditionalFormatting sqref="I9:R9">
    <cfRule type="duplicateValues" dxfId="0" priority="5"/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2023-12-31</vt:lpstr>
      <vt:lpstr>Papildoma informacija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2026-05-12T11:21:46Z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5564178-1ca1-4992-b45e-fdaf9919e704_Enabled">
    <vt:lpwstr>true</vt:lpwstr>
  </property>
  <property fmtid="{D5CDD505-2E9C-101B-9397-08002B2CF9AE}" pid="3" name="MSIP_Label_e5564178-1ca1-4992-b45e-fdaf9919e704_SetDate">
    <vt:lpwstr>2026-05-12T11:21:41Z</vt:lpwstr>
  </property>
  <property fmtid="{D5CDD505-2E9C-101B-9397-08002B2CF9AE}" pid="4" name="MSIP_Label_e5564178-1ca1-4992-b45e-fdaf9919e704_Method">
    <vt:lpwstr>Privileged</vt:lpwstr>
  </property>
  <property fmtid="{D5CDD505-2E9C-101B-9397-08002B2CF9AE}" pid="5" name="MSIP_Label_e5564178-1ca1-4992-b45e-fdaf9919e704_Name">
    <vt:lpwstr>LB VIEŠA (ECB PUBLIC)</vt:lpwstr>
  </property>
  <property fmtid="{D5CDD505-2E9C-101B-9397-08002B2CF9AE}" pid="6" name="MSIP_Label_e5564178-1ca1-4992-b45e-fdaf9919e704_SiteId">
    <vt:lpwstr>5a40b399-6903-4594-ad73-dc4ed7ed91c0</vt:lpwstr>
  </property>
  <property fmtid="{D5CDD505-2E9C-101B-9397-08002B2CF9AE}" pid="7" name="MSIP_Label_e5564178-1ca1-4992-b45e-fdaf9919e704_ActionId">
    <vt:lpwstr>95074d3a-c2e0-4295-a6e0-33ef5e9f764a</vt:lpwstr>
  </property>
  <property fmtid="{D5CDD505-2E9C-101B-9397-08002B2CF9AE}" pid="8" name="MSIP_Label_e5564178-1ca1-4992-b45e-fdaf9919e704_ContentBits">
    <vt:lpwstr>0</vt:lpwstr>
  </property>
  <property fmtid="{D5CDD505-2E9C-101B-9397-08002B2CF9AE}" pid="9" name="MSIP_Label_e5564178-1ca1-4992-b45e-fdaf9919e704_Tag">
    <vt:lpwstr>10, 0, 1, 1</vt:lpwstr>
  </property>
</Properties>
</file>