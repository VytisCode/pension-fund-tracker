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A0163D3-78AB-4C50-88B9-308C18C9B593}" xr6:coauthVersionLast="47" xr6:coauthVersionMax="47" xr10:uidLastSave="{00000000-0000-0000-0000-000000000000}"/>
  <bookViews>
    <workbookView xWindow="-110" yWindow="-110" windowWidth="19420" windowHeight="11500" tabRatio="750" xr2:uid="{00000000-000D-0000-FFFF-FFFF00000000}"/>
  </bookViews>
  <sheets>
    <sheet name="2024-12-31" sheetId="2" r:id="rId1"/>
    <sheet name="Papildoma informacij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<sst xmlns="http://schemas.openxmlformats.org/spreadsheetml/2006/main" count="256" uniqueCount="113">
  <si>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</si>
  <si>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</si>
  <si>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</si>
  <si>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</si>
  <si>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INVL STABILO III 58+ / INVL Stabilus</t>
  </si>
  <si>
    <t>INVL Medio III 47+</t>
  </si>
  <si>
    <t>INVL Apdairus</t>
  </si>
  <si>
    <t>INVL Drąsus</t>
  </si>
  <si>
    <t>INVL Extremo III 16+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</si>
  <si>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</si>
  <si>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</si>
  <si>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</si>
  <si>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</si>
  <si>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</si>
  <si>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</si>
  <si>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</si>
  <si>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</si>
  <si>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S039</t>
  </si>
  <si>
    <t>S032</t>
  </si>
  <si>
    <t>S022</t>
  </si>
  <si>
    <t>S019</t>
  </si>
  <si>
    <t>S040</t>
  </si>
  <si>
    <t>S028</t>
  </si>
  <si>
    <t>FONDŲ GRĄŽA</t>
  </si>
  <si>
    <t>Grynųjų aktyvų vertė, mln.</t>
  </si>
  <si>
    <t>Pensijų kaupimo bendrovė</t>
  </si>
  <si>
    <t>Fondas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</si>
  <si>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</si>
  <si>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>IŠ VISO:</t>
  </si>
  <si>
    <t>UAB „SEB investicijų valdymas“</t>
  </si>
  <si>
    <t>Rizikingų aktyvų dalis fonde (investicijų į akcijas dalis), proc.</t>
  </si>
  <si>
    <t>iki 8</t>
  </si>
  <si>
    <t>iki 50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</si>
  <si>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</si>
  <si>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</si>
  <si>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</si>
  <si>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</si>
  <si>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</si>
  <si>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</si>
  <si>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</si>
  <si>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</si>
  <si>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</si>
  <si>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</si>
  <si>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</si>
  <si>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</si>
  <si>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UAB „Swedbank investicijų valdymas“</t>
  </si>
  <si>
    <t>-</t>
  </si>
  <si>
    <t>iki 30</t>
  </si>
  <si>
    <t>iki 60</t>
  </si>
  <si>
    <t>S049</t>
  </si>
  <si>
    <t>SEB pensija 50+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</si>
  <si>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</si>
  <si>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</si>
  <si>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</si>
  <si>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</si>
  <si>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</si>
  <si>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</si>
  <si>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</si>
  <si>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</si>
  <si>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</si>
  <si>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</si>
  <si>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</si>
  <si>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</si>
  <si>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</si>
  <si>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</si>
  <si>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</si>
  <si>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</si>
  <si>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</si>
  <si>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</si>
  <si>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S050</t>
  </si>
  <si>
    <t>Luminor tvari ateitis index</t>
  </si>
  <si>
    <t>S051</t>
  </si>
  <si>
    <t>Pensijos fondas 60+ (apriboto nutraukimo)</t>
  </si>
  <si>
    <t>Pensijos fondas 18+ (apriboto nutraukimo)</t>
  </si>
  <si>
    <t>S052</t>
  </si>
  <si>
    <t>S053</t>
  </si>
  <si>
    <t>S054</t>
  </si>
  <si>
    <t>SEB index. Klimato ateitis</t>
  </si>
  <si>
    <t>Pensijos fondas 50+ (apriboto nutraukimo)</t>
  </si>
  <si>
    <t>Swedbank Pensijos fondas 60+ (apriboto nutraukimo)</t>
  </si>
  <si>
    <t>Swedbank Pensijos fondas 50+ (apriboto nutraukimo)</t>
  </si>
  <si>
    <t>Swedbank Pensijos fondas 60+</t>
  </si>
  <si>
    <t>Swedbank Pensijos fondas 50+</t>
  </si>
  <si>
    <t>Swedbank Pensijos fondas 18+ (apriboto nutraukimo)</t>
  </si>
  <si>
    <t>Swedbank Pensijos fondas 18+</t>
  </si>
  <si>
    <t>Goindex pasaulio akcijų</t>
  </si>
  <si>
    <t>Goindex subalansuotas</t>
  </si>
  <si>
    <t>Goindex, UAB</t>
  </si>
  <si>
    <t>S056</t>
  </si>
  <si>
    <t>S057</t>
  </si>
  <si>
    <t>Pensijos fondas 60+</t>
  </si>
  <si>
    <t>Pensijos fondas 50+</t>
  </si>
  <si>
    <t>Pensijos fondas 18+</t>
  </si>
  <si>
    <t>vidutinė metinė grąža [2] per praėjusius 1 metus, proc.</t>
  </si>
  <si>
    <t>Luminor ateitis 58 +</t>
  </si>
  <si>
    <t>Luminor ateitis 50 – 58</t>
  </si>
  <si>
    <t>Luminor ateitis 16 – 50</t>
  </si>
  <si>
    <t>UAB „SB Asset Management“</t>
  </si>
  <si>
    <t>S058</t>
  </si>
  <si>
    <t>SB Index Progreso III</t>
  </si>
  <si>
    <r>
      <t xml:space="preserve">[5] Svertiniam vidurkiui apskaičiuoti naudotas </t>
    </r>
    <r>
      <rPr>
        <b/>
        <sz val="10"/>
        <rFont val="Verdana"/>
        <family val="2"/>
        <charset val="186"/>
      </rPr>
      <t xml:space="preserve">2024-12-31 </t>
    </r>
    <r>
      <rPr>
        <sz val="10"/>
        <rFont val="Verdana"/>
        <family val="2"/>
        <charset val="186"/>
      </rPr>
      <t>dienos fondų grynųjų aktyvų dydis.</t>
    </r>
  </si>
  <si>
    <t>11 m.  2 mėn.</t>
  </si>
  <si>
    <t>20 m. 2 mėn.</t>
  </si>
  <si>
    <t>11 m. 7 mėn.</t>
  </si>
  <si>
    <t>17 m. 3 mėn.</t>
  </si>
  <si>
    <t>5 m. 1 mėn.</t>
  </si>
  <si>
    <t>2 m. 8 mėn.</t>
  </si>
  <si>
    <t>4 m. 10 mėn.</t>
  </si>
  <si>
    <t>2 m. 5 mėn.</t>
  </si>
  <si>
    <t>0 m. 2 mėn.</t>
  </si>
  <si>
    <t>2 m. 11 mėn.</t>
  </si>
  <si>
    <t>3 m. 7 mėn.</t>
  </si>
  <si>
    <t>20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</si>
</sst>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  <numFmt numFmtId="167" formatCode="yy\ &quot;m.&quot;\ mm\ &quot;mėn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FF0000"/>
      <name val="Verdana"/>
      <family val="2"/>
      <charset val="186"/>
    </font>
    <font>
      <sz val="10"/>
      <color rgb="FFC00000"/>
      <name val="Verdana"/>
      <family val="2"/>
      <charset val="186"/>
    </font>
    <font>
      <sz val="8"/>
      <name val="Calibri"/>
      <family val="2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8" fillId="3" borderId="0" xfId="0" applyFont="1" applyFill="1" applyAlignment="1">
      <alignment vertical="center"/>
    </xf>
    <xf numFmtId="9" fontId="8" fillId="3" borderId="0" xfId="2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2" fontId="8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0" borderId="0" xfId="0" applyFont="1" applyFill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5" fontId="3" fillId="0" borderId="2" xfId="1" applyNumberFormat="1" applyFont="1" applyFill="1" applyBorder="1" applyAlignment="1">
      <alignment wrapText="1"/>
    </xf>
    <xf numFmtId="2" fontId="8" fillId="3" borderId="1" xfId="0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right" wrapText="1"/>
    </xf>
    <xf numFmtId="14" fontId="3" fillId="0" borderId="2" xfId="0" applyNumberFormat="1" applyFont="1" applyFill="1" applyBorder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166" fontId="4" fillId="0" borderId="0" xfId="2" applyNumberFormat="1" applyFont="1" applyFill="1" applyAlignment="1">
      <alignment wrapText="1"/>
    </xf>
    <xf numFmtId="165" fontId="3" fillId="0" borderId="0" xfId="1" applyNumberFormat="1" applyFont="1" applyFill="1" applyAlignment="1">
      <alignment wrapText="1"/>
    </xf>
    <xf numFmtId="2" fontId="14" fillId="0" borderId="2" xfId="0" applyNumberFormat="1" applyFont="1" applyFill="1" applyBorder="1" applyAlignment="1">
      <alignment horizontal="center" vertical="center" wrapText="1"/>
    </xf>
    <xf numFmtId="0" fontId="13" fillId="0" borderId="0" xfId="0" applyFont="1" applyAlignment="1"/>
    <xf numFmtId="165" fontId="8" fillId="3" borderId="1" xfId="1" applyNumberFormat="1" applyFont="1" applyFill="1" applyBorder="1" applyAlignment="1">
      <alignment horizontal="right" wrapText="1"/>
    </xf>
    <xf numFmtId="167" fontId="3" fillId="0" borderId="0" xfId="2" applyNumberFormat="1" applyFont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/>
    <xf numFmtId="14" fontId="16" fillId="2" borderId="1" xfId="0" applyNumberFormat="1" applyFont="1" applyFill="1" applyBorder="1" applyAlignment="1">
      <alignment horizontal="left" wrapText="1"/>
    </xf>
    <xf numFmtId="2" fontId="11" fillId="0" borderId="2" xfId="0" applyNumberFormat="1" applyFont="1" applyFill="1" applyBorder="1" applyAlignment="1">
      <alignment horizontal="left" vertical="center"/>
    </xf>
    <xf numFmtId="2" fontId="11" fillId="0" borderId="0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Alignment="1">
      <alignment horizontal="left"/>
    </xf>
    <xf numFmtId="2" fontId="11" fillId="0" borderId="0" xfId="0" applyNumberFormat="1" applyFont="1" applyFill="1" applyAlignment="1">
      <alignment horizontal="left"/>
    </xf>
    <xf numFmtId="165" fontId="8" fillId="3" borderId="1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165" fontId="8" fillId="3" borderId="5" xfId="1" applyNumberFormat="1" applyFont="1" applyFill="1" applyBorder="1" applyAlignment="1">
      <alignment horizontal="center" vertical="center" wrapText="1"/>
    </xf>
    <xf numFmtId="165" fontId="8" fillId="3" borderId="6" xfId="1" applyNumberFormat="1" applyFont="1" applyFill="1" applyBorder="1" applyAlignment="1">
      <alignment horizontal="center" vertical="center" wrapText="1"/>
    </xf>
    <xf numFmtId="165" fontId="8" fillId="3" borderId="0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22772D"/>
      </font>
    </dxf>
    <dxf>
      <font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FFFFC1"/>
      <color rgb="FFE31C48"/>
      <color rgb="FF99FFCC"/>
      <color rgb="FF903F98"/>
      <color rgb="FFFCAF17"/>
      <color rgb="FF00B07D"/>
      <color rgb="FF009900"/>
      <color rgb="FF9C5BCD"/>
      <color rgb="FF99FF99"/>
      <color rgb="FFC9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6445-422D-8956-308635099803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6445-422D-8956-308635099803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6445-422D-8956-308635099803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6445-422D-8956-308635099803}"/>
              </c:ext>
            </c:extLst>
          </c:dPt>
          <c:dLbls>
            <c:dLbl>
              <c:idx val="0"/>
              <c:layout>
                <c:manualLayout>
                  <c:x val="2.9465811910555754E-2"/>
                  <c:y val="0.11216546562327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22D-8956-308635099803}"/>
                </c:ext>
              </c:extLst>
            </c:dLbl>
            <c:dLbl>
              <c:idx val="1"/>
              <c:layout>
                <c:manualLayout>
                  <c:x val="-0.17043661004209132"/>
                  <c:y val="-4.66856889476500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22D-8956-308635099803}"/>
                </c:ext>
              </c:extLst>
            </c:dLbl>
            <c:dLbl>
              <c:idx val="2"/>
              <c:layout>
                <c:manualLayout>
                  <c:x val="-3.4883117532413258E-2"/>
                  <c:y val="4.51416430170939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5-422D-8956-308635099803}"/>
                </c:ext>
              </c:extLst>
            </c:dLbl>
            <c:dLbl>
              <c:idx val="3"/>
              <c:layout>
                <c:manualLayout>
                  <c:x val="-4.4193890683279113E-2"/>
                  <c:y val="3.80157705627279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22D-8956-308635099803}"/>
                </c:ext>
              </c:extLst>
            </c:dLbl>
            <c:dLbl>
              <c:idx val="4"/>
              <c:layout>
                <c:manualLayout>
                  <c:x val="0.1347623517688607"/>
                  <c:y val="-3.970220566383926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E2-4EFC-A634-C5BC003C01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„SB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informacija'!$B$2:$B$6</c:f>
              <c:numCache>
                <c:formatCode>0.00</c:formatCode>
                <c:ptCount val="5"/>
                <c:pt idx="0">
                  <c:v>93.595758000000004</c:v>
                </c:pt>
                <c:pt idx="1">
                  <c:v>167.54647299999999</c:v>
                </c:pt>
                <c:pt idx="2">
                  <c:v>96.24512</c:v>
                </c:pt>
                <c:pt idx="3">
                  <c:v>41.826827999999999</c:v>
                </c:pt>
                <c:pt idx="4">
                  <c:v>8.7694639999999993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5-422D-8956-3086350998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1FCA-4E76-AC12-275B74A39CDD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1FCA-4E76-AC12-275B74A39CDD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1FCA-4E76-AC12-275B74A39CDD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1FCA-4E76-AC12-275B74A39CDD}"/>
              </c:ext>
            </c:extLst>
          </c:dPt>
          <c:dLbls>
            <c:dLbl>
              <c:idx val="0"/>
              <c:layout>
                <c:manualLayout>
                  <c:x val="2.3966388601351762E-2"/>
                  <c:y val="-4.247268863002918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A-4E76-AC12-275B74A39CDD}"/>
                </c:ext>
              </c:extLst>
            </c:dLbl>
            <c:dLbl>
              <c:idx val="1"/>
              <c:layout>
                <c:manualLayout>
                  <c:x val="0.24716930758457886"/>
                  <c:y val="-2.259468191547126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CA-4E76-AC12-275B74A39CDD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CA-4E76-AC12-275B74A39CDD}"/>
                </c:ext>
              </c:extLst>
            </c:dLbl>
            <c:dLbl>
              <c:idx val="3"/>
              <c:layout>
                <c:manualLayout>
                  <c:x val="-6.2319964027934556E-2"/>
                  <c:y val="3.83055488305227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CA-4E76-AC12-275B74A39C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„SB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informacija'!$C$2:$C$6</c:f>
              <c:numCache>
                <c:formatCode>_-* #\ ##0\ _€_-;\-* #\ ##0\ _€_-;_-* "-"??\ _€_-;_-@_-</c:formatCode>
                <c:ptCount val="5"/>
                <c:pt idx="0">
                  <c:v>34303</c:v>
                </c:pt>
                <c:pt idx="1">
                  <c:v>40939</c:v>
                </c:pt>
                <c:pt idx="2">
                  <c:v>29867</c:v>
                </c:pt>
                <c:pt idx="3">
                  <c:v>56051</c:v>
                </c:pt>
                <c:pt idx="4">
                  <c:v>5058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CA-4E76-AC12-275B74A39C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232813591122453"/>
          <c:y val="0.16651391228766224"/>
          <c:w val="0.76300882871189213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informacija'!$C$22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informacija'!$A$23:$A$44</c:f>
              <c:strCache>
                <c:ptCount val="22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SB Index Progreso III</c:v>
                </c:pt>
                <c:pt idx="6">
                  <c:v>Luminor ateitis 58 +</c:v>
                </c:pt>
                <c:pt idx="7">
                  <c:v>Luminor ateitis 50 – 58</c:v>
                </c:pt>
                <c:pt idx="8">
                  <c:v>Luminor ateitis 16 – 50</c:v>
                </c:pt>
                <c:pt idx="9">
                  <c:v>Luminor tvari ateitis index</c:v>
                </c:pt>
                <c:pt idx="10">
                  <c:v>SEB pensija 50+</c:v>
                </c:pt>
                <c:pt idx="11">
                  <c:v>SEB pensija 58+</c:v>
                </c:pt>
                <c:pt idx="12">
                  <c:v>SEB pensija 18+</c:v>
                </c:pt>
                <c:pt idx="13">
                  <c:v>SEB index. Klimato ateitis</c:v>
                </c:pt>
                <c:pt idx="14">
                  <c:v>Swedbank Pensijos fondas 60+ (apriboto nutraukimo)</c:v>
                </c:pt>
                <c:pt idx="15">
                  <c:v>Swedbank Pensijos fondas 50+ (apriboto nutraukimo)</c:v>
                </c:pt>
                <c:pt idx="16">
                  <c:v>Swedbank Pensijos fondas 60+</c:v>
                </c:pt>
                <c:pt idx="17">
                  <c:v>Swedbank Pensijos fondas 50+</c:v>
                </c:pt>
                <c:pt idx="18">
                  <c:v>Swedbank Pensijos fondas 18+ (apriboto nutraukimo)</c:v>
                </c:pt>
                <c:pt idx="19">
                  <c:v>Swedbank Pensijos fondas 18+</c:v>
                </c:pt>
                <c:pt idx="20">
                  <c:v>Goindex pasaulio akcijų</c:v>
                </c:pt>
                <c:pt idx="21">
                  <c:v>Goindex subalansuotas</c:v>
                </c:pt>
              </c:strCache>
            </c:strRef>
          </c:cat>
          <c:val>
            <c:numRef>
              <c:f>'Papildoma informacija'!$C$23:$C$44</c:f>
              <c:numCache>
                <c:formatCode>_-* #\ ##0\ _€_-;\-* #\ ##0\ _€_-;_-* "-"??\ _€_-;_-@_-</c:formatCode>
                <c:ptCount val="22"/>
                <c:pt idx="0">
                  <c:v>3290</c:v>
                </c:pt>
                <c:pt idx="1">
                  <c:v>2240</c:v>
                </c:pt>
                <c:pt idx="2">
                  <c:v>5730</c:v>
                </c:pt>
                <c:pt idx="3">
                  <c:v>6126</c:v>
                </c:pt>
                <c:pt idx="4">
                  <c:v>21541</c:v>
                </c:pt>
                <c:pt idx="5">
                  <c:v>2012</c:v>
                </c:pt>
                <c:pt idx="6">
                  <c:v>3602</c:v>
                </c:pt>
                <c:pt idx="7">
                  <c:v>23444</c:v>
                </c:pt>
                <c:pt idx="8">
                  <c:v>5787</c:v>
                </c:pt>
                <c:pt idx="9">
                  <c:v>1470</c:v>
                </c:pt>
                <c:pt idx="10">
                  <c:v>3377</c:v>
                </c:pt>
                <c:pt idx="11">
                  <c:v>2623</c:v>
                </c:pt>
                <c:pt idx="12">
                  <c:v>18069</c:v>
                </c:pt>
                <c:pt idx="13">
                  <c:v>5798</c:v>
                </c:pt>
                <c:pt idx="14">
                  <c:v>201</c:v>
                </c:pt>
                <c:pt idx="15">
                  <c:v>1147</c:v>
                </c:pt>
                <c:pt idx="16">
                  <c:v>2176</c:v>
                </c:pt>
                <c:pt idx="17">
                  <c:v>14230</c:v>
                </c:pt>
                <c:pt idx="18">
                  <c:v>2959</c:v>
                </c:pt>
                <c:pt idx="19">
                  <c:v>35338</c:v>
                </c:pt>
                <c:pt idx="20">
                  <c:v>4499</c:v>
                </c:pt>
                <c:pt idx="21">
                  <c:v>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150528"/>
        <c:axId val="383981184"/>
      </c:barChart>
      <c:lineChart>
        <c:grouping val="standard"/>
        <c:varyColors val="0"/>
        <c:ser>
          <c:idx val="0"/>
          <c:order val="0"/>
          <c:tx>
            <c:strRef>
              <c:f>'Papildoma informacija'!$B$22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informacija'!$A$23:$A$44</c:f>
              <c:strCache>
                <c:ptCount val="22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SB Index Progreso III</c:v>
                </c:pt>
                <c:pt idx="6">
                  <c:v>Luminor ateitis 58 +</c:v>
                </c:pt>
                <c:pt idx="7">
                  <c:v>Luminor ateitis 50 – 58</c:v>
                </c:pt>
                <c:pt idx="8">
                  <c:v>Luminor ateitis 16 – 50</c:v>
                </c:pt>
                <c:pt idx="9">
                  <c:v>Luminor tvari ateitis index</c:v>
                </c:pt>
                <c:pt idx="10">
                  <c:v>SEB pensija 50+</c:v>
                </c:pt>
                <c:pt idx="11">
                  <c:v>SEB pensija 58+</c:v>
                </c:pt>
                <c:pt idx="12">
                  <c:v>SEB pensija 18+</c:v>
                </c:pt>
                <c:pt idx="13">
                  <c:v>SEB index. Klimato ateitis</c:v>
                </c:pt>
                <c:pt idx="14">
                  <c:v>Swedbank Pensijos fondas 60+ (apriboto nutraukimo)</c:v>
                </c:pt>
                <c:pt idx="15">
                  <c:v>Swedbank Pensijos fondas 50+ (apriboto nutraukimo)</c:v>
                </c:pt>
                <c:pt idx="16">
                  <c:v>Swedbank Pensijos fondas 60+</c:v>
                </c:pt>
                <c:pt idx="17">
                  <c:v>Swedbank Pensijos fondas 50+</c:v>
                </c:pt>
                <c:pt idx="18">
                  <c:v>Swedbank Pensijos fondas 18+ (apriboto nutraukimo)</c:v>
                </c:pt>
                <c:pt idx="19">
                  <c:v>Swedbank Pensijos fondas 18+</c:v>
                </c:pt>
                <c:pt idx="20">
                  <c:v>Goindex pasaulio akcijų</c:v>
                </c:pt>
                <c:pt idx="21">
                  <c:v>Goindex subalansuotas</c:v>
                </c:pt>
              </c:strCache>
            </c:strRef>
          </c:cat>
          <c:val>
            <c:numRef>
              <c:f>'Papildoma informacija'!$B$23:$B$44</c:f>
              <c:numCache>
                <c:formatCode>0.00</c:formatCode>
                <c:ptCount val="22"/>
                <c:pt idx="0">
                  <c:v>13.381814</c:v>
                </c:pt>
                <c:pt idx="1">
                  <c:v>4.6545350000000001</c:v>
                </c:pt>
                <c:pt idx="2">
                  <c:v>28.961051000000001</c:v>
                </c:pt>
                <c:pt idx="3">
                  <c:v>17.701332000000001</c:v>
                </c:pt>
                <c:pt idx="4">
                  <c:v>101.754454</c:v>
                </c:pt>
                <c:pt idx="5">
                  <c:v>1.0932869999999999</c:v>
                </c:pt>
                <c:pt idx="6">
                  <c:v>10.242331</c:v>
                </c:pt>
                <c:pt idx="7">
                  <c:v>58.677954</c:v>
                </c:pt>
                <c:pt idx="8">
                  <c:v>19.920501999999999</c:v>
                </c:pt>
                <c:pt idx="9">
                  <c:v>4.7549710000000003</c:v>
                </c:pt>
                <c:pt idx="10">
                  <c:v>4.8664589999999999</c:v>
                </c:pt>
                <c:pt idx="11">
                  <c:v>10.311078</c:v>
                </c:pt>
                <c:pt idx="12">
                  <c:v>71.310327999999998</c:v>
                </c:pt>
                <c:pt idx="13">
                  <c:v>9.7572550000000007</c:v>
                </c:pt>
                <c:pt idx="14">
                  <c:v>0.87077199999999999</c:v>
                </c:pt>
                <c:pt idx="15">
                  <c:v>3.259973</c:v>
                </c:pt>
                <c:pt idx="16">
                  <c:v>1.637397</c:v>
                </c:pt>
                <c:pt idx="17">
                  <c:v>7.6335369999999996</c:v>
                </c:pt>
                <c:pt idx="18">
                  <c:v>10.722956999999999</c:v>
                </c:pt>
                <c:pt idx="19">
                  <c:v>17.702192</c:v>
                </c:pt>
                <c:pt idx="20">
                  <c:v>7.9706919999999997</c:v>
                </c:pt>
                <c:pt idx="21">
                  <c:v>0.79877200000000004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48992"/>
        <c:axId val="383980608"/>
      </c:lineChart>
      <c:catAx>
        <c:axId val="38414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83980608"/>
        <c:crosses val="autoZero"/>
        <c:auto val="1"/>
        <c:lblAlgn val="ctr"/>
        <c:lblOffset val="100"/>
        <c:noMultiLvlLbl val="0"/>
      </c:catAx>
      <c:valAx>
        <c:axId val="383980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4148992"/>
        <c:crosses val="autoZero"/>
        <c:crossBetween val="between"/>
      </c:valAx>
      <c:valAx>
        <c:axId val="383981184"/>
        <c:scaling>
          <c:orientation val="minMax"/>
        </c:scaling>
        <c:delete val="0"/>
        <c:axPos val="r"/>
        <c:numFmt formatCode="_-* #\ ##0\ _€_-;\-* #\ ##0\ _€_-;_-* &quot;-&quot;??\ _€_-;_-@_-" sourceLinked="1"/>
        <c:majorTickMark val="out"/>
        <c:minorTickMark val="none"/>
        <c:tickLblPos val="nextTo"/>
        <c:crossAx val="384150528"/>
        <c:crosses val="max"/>
        <c:crossBetween val="between"/>
      </c:valAx>
      <c:catAx>
        <c:axId val="38415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9811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44824</xdr:rowOff>
    </xdr:from>
    <xdr:to>
      <xdr:col>1</xdr:col>
      <xdr:colOff>1963271</xdr:colOff>
      <xdr:row>19</xdr:row>
      <xdr:rowOff>155089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7</xdr:row>
      <xdr:rowOff>44823</xdr:rowOff>
    </xdr:from>
    <xdr:to>
      <xdr:col>6</xdr:col>
      <xdr:colOff>21963</xdr:colOff>
      <xdr:row>19</xdr:row>
      <xdr:rowOff>150162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108808</xdr:rowOff>
    </xdr:from>
    <xdr:to>
      <xdr:col>16</xdr:col>
      <xdr:colOff>77922</xdr:colOff>
      <xdr:row>48</xdr:row>
      <xdr:rowOff>25702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</sheetPr>
  <dimension ref="A1:U44"/>
  <sheetViews>
    <sheetView showGridLines="0" tabSelected="1" zoomScale="60" zoomScaleNormal="60" workbookViewId="0"/>
  </sheetViews>
  <sheetFormatPr defaultColWidth="8.85546875" defaultRowHeight="12.75" x14ac:dyDescent="0.2"/>
  <cols>
    <col min="1" max="1" width="41" style="2" customWidth="1"/>
    <col min="2" max="2" width="7.85546875" style="2" bestFit="1" customWidth="1"/>
    <col min="3" max="3" width="44.42578125" style="2" customWidth="1"/>
    <col min="4" max="4" width="15.140625" style="1" customWidth="1"/>
    <col min="5" max="5" width="18.85546875" style="1" customWidth="1"/>
    <col min="6" max="6" width="16.85546875" style="1" customWidth="1"/>
    <col min="7" max="7" width="11.85546875" style="1" customWidth="1"/>
    <col min="8" max="8" width="2" style="1" customWidth="1"/>
    <col min="9" max="9" width="16.5703125" style="2" customWidth="1"/>
    <col min="10" max="10" width="17.7109375" style="2" customWidth="1"/>
    <col min="11" max="11" width="18.7109375" style="2" customWidth="1"/>
    <col min="12" max="12" width="19.5703125" style="2" customWidth="1"/>
    <col min="13" max="14" width="17.85546875" style="2" customWidth="1"/>
    <col min="15" max="15" width="2" style="1" customWidth="1"/>
    <col min="16" max="17" width="19.5703125" style="2" customWidth="1"/>
    <col min="18" max="18" width="2" style="1" customWidth="1"/>
    <col min="19" max="19" width="19.140625" style="2" customWidth="1"/>
    <col min="20" max="20" width="17.85546875" style="2" customWidth="1"/>
    <col min="21" max="21" width="9.85546875" style="2" bestFit="1" customWidth="1"/>
    <col min="22" max="22" width="5.5703125" style="1" bestFit="1" customWidth="1"/>
    <col min="23" max="23" width="9.85546875" style="1" bestFit="1" customWidth="1"/>
    <col min="24" max="16384" width="8.85546875" style="1"/>
  </cols>
  <sheetData>
    <row r="1" spans="1:21" x14ac:dyDescent="0.2">
      <c r="A1" s="68">
        <v>45657</v>
      </c>
      <c r="B1" s="18"/>
      <c r="C1" s="19"/>
      <c r="D1" s="20"/>
      <c r="E1" s="21"/>
      <c r="F1" s="21"/>
      <c r="G1" s="21"/>
      <c r="H1" s="21"/>
      <c r="I1" s="74" t="s">
        <v>23</v>
      </c>
      <c r="J1" s="75"/>
      <c r="K1" s="75"/>
      <c r="L1" s="75"/>
      <c r="M1" s="75"/>
      <c r="N1" s="76"/>
      <c r="O1" s="21"/>
      <c r="P1" s="73" t="s">
        <v>57</v>
      </c>
      <c r="Q1" s="73"/>
      <c r="R1" s="21"/>
      <c r="S1" s="77" t="s">
        <v>59</v>
      </c>
      <c r="T1" s="78"/>
    </row>
    <row r="2" spans="1:21" ht="63.75" x14ac:dyDescent="0.2">
      <c r="A2" s="22" t="s">
        <v>0</v>
      </c>
      <c r="B2" s="22" t="s">
        <v>1</v>
      </c>
      <c r="C2" s="22" t="s">
        <v>2</v>
      </c>
      <c r="D2" s="23" t="s">
        <v>41</v>
      </c>
      <c r="E2" s="23" t="s">
        <v>30</v>
      </c>
      <c r="F2" s="23" t="s">
        <v>62</v>
      </c>
      <c r="G2" s="24" t="s">
        <v>12</v>
      </c>
      <c r="H2" s="21"/>
      <c r="I2" s="24" t="s">
        <v>53</v>
      </c>
      <c r="J2" s="66" t="s">
        <v>93</v>
      </c>
      <c r="K2" s="24" t="s">
        <v>55</v>
      </c>
      <c r="L2" s="24" t="s">
        <v>65</v>
      </c>
      <c r="M2" s="24" t="s">
        <v>66</v>
      </c>
      <c r="N2" s="58" t="s">
        <v>67</v>
      </c>
      <c r="O2" s="21"/>
      <c r="P2" s="24" t="s">
        <v>35</v>
      </c>
      <c r="Q2" s="24" t="s">
        <v>36</v>
      </c>
      <c r="R2" s="21"/>
      <c r="S2" s="24" t="s">
        <v>37</v>
      </c>
      <c r="T2" s="24" t="s">
        <v>38</v>
      </c>
    </row>
    <row r="3" spans="1:21" s="26" customFormat="1" x14ac:dyDescent="0.2">
      <c r="A3" s="25" t="s">
        <v>11</v>
      </c>
      <c r="B3" s="25"/>
      <c r="C3" s="25"/>
      <c r="E3" s="27"/>
      <c r="G3" s="50" t="s">
        <v>61</v>
      </c>
      <c r="I3" s="28">
        <v>5.3361065443323037</v>
      </c>
      <c r="J3" s="28">
        <v>5.3361065443323037</v>
      </c>
      <c r="K3" s="28">
        <v>-0.28574071788052369</v>
      </c>
      <c r="L3" s="28">
        <v>2.8262175396773944E-2</v>
      </c>
      <c r="M3" s="28">
        <v>1.2292033428266282</v>
      </c>
      <c r="N3" s="28">
        <v>2.2317008558425804</v>
      </c>
      <c r="P3" s="28">
        <v>-1.1641587138181575</v>
      </c>
      <c r="Q3" s="28">
        <v>-0.33200265834224596</v>
      </c>
      <c r="S3" s="6"/>
      <c r="T3" s="6"/>
      <c r="U3" s="6"/>
    </row>
    <row r="4" spans="1:21" x14ac:dyDescent="0.2">
      <c r="A4" s="29" t="s">
        <v>3</v>
      </c>
      <c r="B4" s="29" t="s">
        <v>21</v>
      </c>
      <c r="C4" s="29" t="s">
        <v>94</v>
      </c>
      <c r="D4" s="69" t="s">
        <v>101</v>
      </c>
      <c r="E4" s="31">
        <v>0</v>
      </c>
      <c r="F4" s="30">
        <v>10.242331</v>
      </c>
      <c r="G4" s="32">
        <v>3602</v>
      </c>
      <c r="H4" s="33"/>
      <c r="I4" s="34">
        <v>4.9696102967465183</v>
      </c>
      <c r="J4" s="34">
        <v>4.9696102967465183</v>
      </c>
      <c r="K4" s="34">
        <v>-7.9347120146033845E-2</v>
      </c>
      <c r="L4" s="34">
        <v>-0.29706169129385396</v>
      </c>
      <c r="M4" s="34">
        <v>-4.7559282980536022E-2</v>
      </c>
      <c r="N4" s="34" t="s">
        <v>46</v>
      </c>
      <c r="O4" s="33"/>
      <c r="P4" s="34">
        <v>0.10815870387022031</v>
      </c>
      <c r="Q4" s="34">
        <v>8.364908889164635E-2</v>
      </c>
      <c r="R4" s="33"/>
      <c r="S4" s="34">
        <v>3.4221040031152397</v>
      </c>
      <c r="T4" s="34">
        <v>2.5221584700772532</v>
      </c>
    </row>
    <row r="5" spans="1:21" x14ac:dyDescent="0.2">
      <c r="A5" s="29" t="s">
        <v>97</v>
      </c>
      <c r="B5" s="29" t="s">
        <v>19</v>
      </c>
      <c r="C5" s="29" t="s">
        <v>4</v>
      </c>
      <c r="D5" s="69" t="s">
        <v>112</v>
      </c>
      <c r="E5" s="31">
        <v>0</v>
      </c>
      <c r="F5" s="30">
        <v>13.381814</v>
      </c>
      <c r="G5" s="32">
        <v>3290</v>
      </c>
      <c r="H5" s="33"/>
      <c r="I5" s="34">
        <v>5.7768138801261859</v>
      </c>
      <c r="J5" s="34">
        <v>5.7768138801261859</v>
      </c>
      <c r="K5" s="34">
        <v>7.4668685574419413E-2</v>
      </c>
      <c r="L5" s="34">
        <v>0.15731004047574437</v>
      </c>
      <c r="M5" s="34">
        <v>1.6367958872574473</v>
      </c>
      <c r="N5" s="34">
        <v>2.7854483436700495</v>
      </c>
      <c r="O5" s="33"/>
      <c r="P5" s="34">
        <v>-2.8639195170094167</v>
      </c>
      <c r="Q5" s="34">
        <v>-1.6126906872955038</v>
      </c>
      <c r="R5" s="33"/>
      <c r="S5" s="34">
        <v>4.7448716613697766</v>
      </c>
      <c r="T5" s="34">
        <v>3.7549656821436974</v>
      </c>
    </row>
    <row r="6" spans="1:21" x14ac:dyDescent="0.2">
      <c r="A6" s="29" t="s">
        <v>29</v>
      </c>
      <c r="B6" s="29" t="s">
        <v>13</v>
      </c>
      <c r="C6" s="29" t="s">
        <v>52</v>
      </c>
      <c r="D6" s="69" t="s">
        <v>102</v>
      </c>
      <c r="E6" s="31" t="s">
        <v>31</v>
      </c>
      <c r="F6" s="30">
        <v>10.311078</v>
      </c>
      <c r="G6" s="32">
        <v>2623</v>
      </c>
      <c r="H6" s="33"/>
      <c r="I6" s="34">
        <v>5.1282051282051322</v>
      </c>
      <c r="J6" s="34">
        <v>5.1282051282051322</v>
      </c>
      <c r="K6" s="34">
        <v>-0.95850094190002011</v>
      </c>
      <c r="L6" s="34">
        <v>0.18393747891609635</v>
      </c>
      <c r="M6" s="34">
        <v>0.74746809662340485</v>
      </c>
      <c r="N6" s="34">
        <v>1.5130421583645415</v>
      </c>
      <c r="O6" s="33"/>
      <c r="P6" s="34">
        <v>-0.22202765984238315</v>
      </c>
      <c r="Q6" s="34">
        <v>0.91720583562717728</v>
      </c>
      <c r="R6" s="33"/>
      <c r="S6" s="34">
        <v>4.8383074229898915</v>
      </c>
      <c r="T6" s="34">
        <v>3.7313941755437874</v>
      </c>
    </row>
    <row r="7" spans="1:21" x14ac:dyDescent="0.2">
      <c r="A7" s="6"/>
      <c r="B7" s="6"/>
      <c r="C7" s="6"/>
      <c r="D7" s="70"/>
      <c r="E7" s="36"/>
      <c r="F7" s="35"/>
      <c r="G7" s="37"/>
      <c r="H7" s="33"/>
      <c r="I7" s="38"/>
      <c r="J7" s="38"/>
      <c r="K7" s="38"/>
      <c r="L7" s="38"/>
      <c r="M7" s="38"/>
      <c r="N7" s="38"/>
      <c r="O7" s="33"/>
      <c r="P7" s="38"/>
      <c r="Q7" s="38"/>
      <c r="R7" s="33"/>
      <c r="S7" s="38"/>
      <c r="T7" s="38"/>
    </row>
    <row r="8" spans="1:21" s="26" customFormat="1" x14ac:dyDescent="0.2">
      <c r="A8" s="39" t="s">
        <v>9</v>
      </c>
      <c r="B8" s="25"/>
      <c r="C8" s="25"/>
      <c r="D8" s="71"/>
      <c r="E8" s="40"/>
      <c r="F8" s="41"/>
      <c r="G8" s="50" t="s">
        <v>61</v>
      </c>
      <c r="H8" s="42"/>
      <c r="I8" s="28">
        <v>12.581000410691926</v>
      </c>
      <c r="J8" s="28">
        <v>12.581000410691926</v>
      </c>
      <c r="K8" s="28">
        <v>2.5918020121162773</v>
      </c>
      <c r="L8" s="28">
        <v>4.0801700408388344</v>
      </c>
      <c r="M8" s="28">
        <v>4.0382263010614787</v>
      </c>
      <c r="N8" s="28">
        <v>4.6254557554776978</v>
      </c>
      <c r="O8" s="42"/>
      <c r="P8" s="28">
        <v>2.994222521402778</v>
      </c>
      <c r="Q8" s="28">
        <v>4.6950854974715153</v>
      </c>
      <c r="R8" s="42"/>
      <c r="S8" s="43"/>
      <c r="T8" s="43"/>
      <c r="U8" s="6"/>
    </row>
    <row r="9" spans="1:21" x14ac:dyDescent="0.2">
      <c r="A9" s="29" t="s">
        <v>3</v>
      </c>
      <c r="B9" s="29" t="s">
        <v>20</v>
      </c>
      <c r="C9" s="29" t="s">
        <v>95</v>
      </c>
      <c r="D9" s="69" t="s">
        <v>102</v>
      </c>
      <c r="E9" s="31" t="s">
        <v>32</v>
      </c>
      <c r="F9" s="30">
        <v>58.677954</v>
      </c>
      <c r="G9" s="32">
        <v>23444</v>
      </c>
      <c r="H9" s="33"/>
      <c r="I9" s="34">
        <v>13.510031290263203</v>
      </c>
      <c r="J9" s="34">
        <v>13.510031290263203</v>
      </c>
      <c r="K9" s="34">
        <v>2.7739510853063587</v>
      </c>
      <c r="L9" s="34">
        <v>3.9051588613334243</v>
      </c>
      <c r="M9" s="34">
        <v>3.525845520217552</v>
      </c>
      <c r="N9" s="34">
        <v>4.2419796029869783</v>
      </c>
      <c r="O9" s="33"/>
      <c r="P9" s="34">
        <v>4.1688017463832994</v>
      </c>
      <c r="Q9" s="34">
        <v>5.0022689328167669</v>
      </c>
      <c r="R9" s="33"/>
      <c r="S9" s="34">
        <v>6.7405912524382163</v>
      </c>
      <c r="T9" s="34">
        <v>5.9418838729323751</v>
      </c>
    </row>
    <row r="10" spans="1:21" x14ac:dyDescent="0.2">
      <c r="A10" s="29" t="s">
        <v>97</v>
      </c>
      <c r="B10" s="29" t="s">
        <v>17</v>
      </c>
      <c r="C10" s="29" t="s">
        <v>6</v>
      </c>
      <c r="D10" s="69" t="s">
        <v>103</v>
      </c>
      <c r="E10" s="31" t="s">
        <v>33</v>
      </c>
      <c r="F10" s="30">
        <v>4.6545350000000001</v>
      </c>
      <c r="G10" s="32">
        <v>2240</v>
      </c>
      <c r="H10" s="33"/>
      <c r="I10" s="34">
        <v>7.1072646210333046</v>
      </c>
      <c r="J10" s="34">
        <v>7.1072646210333046</v>
      </c>
      <c r="K10" s="34">
        <v>-1.1016221789607039</v>
      </c>
      <c r="L10" s="34">
        <v>1.3348922722052681</v>
      </c>
      <c r="M10" s="34">
        <v>2.8951100013898667</v>
      </c>
      <c r="N10" s="34" t="s">
        <v>46</v>
      </c>
      <c r="O10" s="33"/>
      <c r="P10" s="34">
        <v>-1.1232023638559685</v>
      </c>
      <c r="Q10" s="34">
        <v>1.8860289002482489</v>
      </c>
      <c r="R10" s="33"/>
      <c r="S10" s="34">
        <v>10.665868364423275</v>
      </c>
      <c r="T10" s="34">
        <v>8.8440517651962143</v>
      </c>
    </row>
    <row r="11" spans="1:21" x14ac:dyDescent="0.2">
      <c r="A11" s="29" t="s">
        <v>97</v>
      </c>
      <c r="B11" s="29" t="s">
        <v>18</v>
      </c>
      <c r="C11" s="29" t="s">
        <v>5</v>
      </c>
      <c r="D11" s="69" t="s">
        <v>104</v>
      </c>
      <c r="E11" s="31" t="s">
        <v>33</v>
      </c>
      <c r="F11" s="30">
        <v>28.961051000000001</v>
      </c>
      <c r="G11" s="32">
        <v>5730</v>
      </c>
      <c r="H11" s="33"/>
      <c r="I11" s="34">
        <v>12.279009964641595</v>
      </c>
      <c r="J11" s="34">
        <v>12.279009964641595</v>
      </c>
      <c r="K11" s="34">
        <v>3.0762617594557673</v>
      </c>
      <c r="L11" s="34">
        <v>4.3882265372719775</v>
      </c>
      <c r="M11" s="34">
        <v>5.2600787371051894</v>
      </c>
      <c r="N11" s="34">
        <v>5.402416371856833</v>
      </c>
      <c r="O11" s="33"/>
      <c r="P11" s="34">
        <v>1.1643726143868438</v>
      </c>
      <c r="Q11" s="34">
        <v>3.9102070665862909</v>
      </c>
      <c r="R11" s="33"/>
      <c r="S11" s="34">
        <v>7.8870425612665249</v>
      </c>
      <c r="T11" s="34">
        <v>7.148819356824915</v>
      </c>
    </row>
    <row r="12" spans="1:21" x14ac:dyDescent="0.2">
      <c r="A12" s="29" t="s">
        <v>45</v>
      </c>
      <c r="B12" s="29" t="s">
        <v>43</v>
      </c>
      <c r="C12" s="57" t="s">
        <v>72</v>
      </c>
      <c r="D12" s="69" t="s">
        <v>105</v>
      </c>
      <c r="E12" s="31" t="s">
        <v>47</v>
      </c>
      <c r="F12" s="30">
        <v>0.87077199999999999</v>
      </c>
      <c r="G12" s="32">
        <v>201</v>
      </c>
      <c r="H12" s="33"/>
      <c r="I12" s="34">
        <v>7.3675664704688337</v>
      </c>
      <c r="J12" s="34">
        <v>7.3675664704688337</v>
      </c>
      <c r="K12" s="34">
        <v>-1.0337056093508989</v>
      </c>
      <c r="L12" s="34">
        <v>1.0834968336896456</v>
      </c>
      <c r="M12" s="34" t="s">
        <v>46</v>
      </c>
      <c r="N12" s="34" t="s">
        <v>46</v>
      </c>
      <c r="O12" s="33"/>
      <c r="P12" s="34">
        <v>-0.57567323424266847</v>
      </c>
      <c r="Q12" s="34">
        <v>1.5770912884961241</v>
      </c>
      <c r="R12" s="33"/>
      <c r="S12" s="34">
        <v>13.296971322259617</v>
      </c>
      <c r="T12" s="34" t="s">
        <v>46</v>
      </c>
    </row>
    <row r="13" spans="1:21" x14ac:dyDescent="0.2">
      <c r="A13" s="29" t="s">
        <v>45</v>
      </c>
      <c r="B13" s="29" t="s">
        <v>44</v>
      </c>
      <c r="C13" s="29" t="s">
        <v>78</v>
      </c>
      <c r="D13" s="69" t="s">
        <v>105</v>
      </c>
      <c r="E13" s="31" t="s">
        <v>48</v>
      </c>
      <c r="F13" s="30">
        <v>3.259973</v>
      </c>
      <c r="G13" s="32">
        <v>1147</v>
      </c>
      <c r="H13" s="33"/>
      <c r="I13" s="34">
        <v>11.277787818543295</v>
      </c>
      <c r="J13" s="34">
        <v>11.277787818543295</v>
      </c>
      <c r="K13" s="34">
        <v>0.91801362723371582</v>
      </c>
      <c r="L13" s="34">
        <v>4.0436441622013097</v>
      </c>
      <c r="M13" s="34" t="s">
        <v>46</v>
      </c>
      <c r="N13" s="34" t="s">
        <v>46</v>
      </c>
      <c r="O13" s="33"/>
      <c r="P13" s="34">
        <v>2.519443153693679</v>
      </c>
      <c r="Q13" s="34">
        <v>5.0330398718660074</v>
      </c>
      <c r="R13" s="33"/>
      <c r="S13" s="34">
        <v>60.738717271092625</v>
      </c>
      <c r="T13" s="34" t="s">
        <v>46</v>
      </c>
    </row>
    <row r="14" spans="1:21" x14ac:dyDescent="0.2">
      <c r="A14" s="29" t="s">
        <v>45</v>
      </c>
      <c r="B14" s="29" t="s">
        <v>76</v>
      </c>
      <c r="C14" s="29" t="s">
        <v>90</v>
      </c>
      <c r="D14" s="69" t="s">
        <v>106</v>
      </c>
      <c r="E14" s="31" t="s">
        <v>47</v>
      </c>
      <c r="F14" s="30">
        <v>1.637397</v>
      </c>
      <c r="G14" s="32">
        <v>2176</v>
      </c>
      <c r="H14" s="33"/>
      <c r="I14" s="34">
        <v>7.2955119487079889</v>
      </c>
      <c r="J14" s="34">
        <v>7.2955119487079889</v>
      </c>
      <c r="K14" s="34" t="s">
        <v>46</v>
      </c>
      <c r="L14" s="34" t="s">
        <v>46</v>
      </c>
      <c r="M14" s="34" t="s">
        <v>46</v>
      </c>
      <c r="N14" s="34" t="s">
        <v>46</v>
      </c>
      <c r="O14" s="33"/>
      <c r="P14" s="34" t="s">
        <v>46</v>
      </c>
      <c r="Q14" s="62" t="s">
        <v>46</v>
      </c>
      <c r="R14" s="33"/>
      <c r="S14" s="34" t="s">
        <v>46</v>
      </c>
      <c r="T14" s="34" t="s">
        <v>46</v>
      </c>
    </row>
    <row r="15" spans="1:21" x14ac:dyDescent="0.2">
      <c r="A15" s="29" t="s">
        <v>45</v>
      </c>
      <c r="B15" s="29" t="s">
        <v>75</v>
      </c>
      <c r="C15" s="29" t="s">
        <v>91</v>
      </c>
      <c r="D15" s="69" t="s">
        <v>106</v>
      </c>
      <c r="E15" s="31" t="s">
        <v>48</v>
      </c>
      <c r="F15" s="30">
        <v>7.6335369999999996</v>
      </c>
      <c r="G15" s="32">
        <v>14230</v>
      </c>
      <c r="H15" s="33"/>
      <c r="I15" s="34">
        <v>11.369533877943304</v>
      </c>
      <c r="J15" s="34">
        <v>11.369533877943304</v>
      </c>
      <c r="K15" s="34" t="s">
        <v>46</v>
      </c>
      <c r="L15" s="34" t="s">
        <v>46</v>
      </c>
      <c r="M15" s="34" t="s">
        <v>46</v>
      </c>
      <c r="N15" s="34" t="s">
        <v>46</v>
      </c>
      <c r="O15" s="33"/>
      <c r="P15" s="34" t="s">
        <v>46</v>
      </c>
      <c r="Q15" s="62" t="s">
        <v>46</v>
      </c>
      <c r="R15" s="33"/>
      <c r="S15" s="34" t="s">
        <v>46</v>
      </c>
      <c r="T15" s="34" t="s">
        <v>46</v>
      </c>
    </row>
    <row r="16" spans="1:21" x14ac:dyDescent="0.2">
      <c r="A16" s="29" t="s">
        <v>29</v>
      </c>
      <c r="B16" s="29" t="s">
        <v>49</v>
      </c>
      <c r="C16" s="29" t="s">
        <v>50</v>
      </c>
      <c r="D16" s="69" t="s">
        <v>107</v>
      </c>
      <c r="E16" s="31" t="s">
        <v>64</v>
      </c>
      <c r="F16" s="30">
        <v>4.8664589999999999</v>
      </c>
      <c r="G16" s="32">
        <v>3377</v>
      </c>
      <c r="H16" s="33"/>
      <c r="I16" s="34">
        <v>13.526843467011652</v>
      </c>
      <c r="J16" s="34">
        <v>13.526843467011652</v>
      </c>
      <c r="K16" s="34">
        <v>2.8149764484506345</v>
      </c>
      <c r="L16" s="34" t="s">
        <v>46</v>
      </c>
      <c r="M16" s="34" t="s">
        <v>46</v>
      </c>
      <c r="N16" s="34" t="s">
        <v>46</v>
      </c>
      <c r="O16" s="33"/>
      <c r="P16" s="34">
        <v>4.6162442360833333</v>
      </c>
      <c r="Q16" s="34" t="s">
        <v>46</v>
      </c>
      <c r="R16" s="33"/>
      <c r="S16" s="34" t="s">
        <v>46</v>
      </c>
      <c r="T16" s="34" t="s">
        <v>46</v>
      </c>
    </row>
    <row r="17" spans="1:21" x14ac:dyDescent="0.2">
      <c r="A17" s="29" t="s">
        <v>87</v>
      </c>
      <c r="B17" s="29" t="s">
        <v>89</v>
      </c>
      <c r="C17" s="29" t="s">
        <v>86</v>
      </c>
      <c r="D17" s="69" t="s">
        <v>108</v>
      </c>
      <c r="E17" s="31" t="s">
        <v>48</v>
      </c>
      <c r="F17" s="30">
        <v>0.79877200000000004</v>
      </c>
      <c r="G17" s="32">
        <v>559</v>
      </c>
      <c r="H17" s="33"/>
      <c r="I17" s="34">
        <v>14.83131159969675</v>
      </c>
      <c r="J17" s="34">
        <v>14.83131159969675</v>
      </c>
      <c r="K17" s="34" t="s">
        <v>46</v>
      </c>
      <c r="L17" s="34" t="s">
        <v>46</v>
      </c>
      <c r="M17" s="34" t="s">
        <v>46</v>
      </c>
      <c r="N17" s="34" t="s">
        <v>46</v>
      </c>
      <c r="O17" s="33"/>
      <c r="P17" s="34" t="s">
        <v>46</v>
      </c>
      <c r="Q17" s="62" t="s">
        <v>46</v>
      </c>
      <c r="R17" s="33"/>
      <c r="S17" s="34" t="s">
        <v>46</v>
      </c>
      <c r="T17" s="34" t="s">
        <v>46</v>
      </c>
    </row>
    <row r="18" spans="1:21" x14ac:dyDescent="0.2">
      <c r="A18" s="6"/>
      <c r="B18" s="6"/>
      <c r="C18" s="6"/>
      <c r="D18" s="70"/>
      <c r="E18" s="36"/>
      <c r="F18" s="35"/>
      <c r="G18" s="51"/>
      <c r="H18" s="33"/>
      <c r="I18" s="38"/>
      <c r="J18" s="38"/>
      <c r="K18" s="38"/>
      <c r="L18" s="38"/>
      <c r="M18" s="38"/>
      <c r="N18" s="38"/>
      <c r="O18" s="33"/>
      <c r="P18" s="38"/>
      <c r="Q18" s="38"/>
      <c r="R18" s="33"/>
      <c r="S18" s="38"/>
      <c r="T18" s="38"/>
    </row>
    <row r="19" spans="1:21" s="26" customFormat="1" x14ac:dyDescent="0.2">
      <c r="A19" s="25" t="s">
        <v>10</v>
      </c>
      <c r="B19" s="25"/>
      <c r="C19" s="25"/>
      <c r="D19" s="72"/>
      <c r="E19" s="40"/>
      <c r="F19" s="41"/>
      <c r="G19" s="50" t="s">
        <v>61</v>
      </c>
      <c r="H19" s="42"/>
      <c r="I19" s="28">
        <v>20.034145393828357</v>
      </c>
      <c r="J19" s="28">
        <v>20.034145393828357</v>
      </c>
      <c r="K19" s="28">
        <v>6.3914643577069805</v>
      </c>
      <c r="L19" s="28">
        <v>9.5719234848665646</v>
      </c>
      <c r="M19" s="28">
        <v>8.5186793815155557</v>
      </c>
      <c r="N19" s="28">
        <v>7.8652967392406987</v>
      </c>
      <c r="O19" s="42"/>
      <c r="P19" s="28">
        <v>9.8432942743170226</v>
      </c>
      <c r="Q19" s="28">
        <v>11.761129033003346</v>
      </c>
      <c r="R19" s="42"/>
      <c r="S19" s="43"/>
      <c r="T19" s="43"/>
      <c r="U19" s="6"/>
    </row>
    <row r="20" spans="1:21" x14ac:dyDescent="0.2">
      <c r="A20" s="29" t="s">
        <v>3</v>
      </c>
      <c r="B20" s="29" t="s">
        <v>22</v>
      </c>
      <c r="C20" s="29" t="s">
        <v>96</v>
      </c>
      <c r="D20" s="69" t="s">
        <v>104</v>
      </c>
      <c r="E20" s="31" t="s">
        <v>34</v>
      </c>
      <c r="F20" s="30">
        <v>19.920501999999999</v>
      </c>
      <c r="G20" s="32">
        <v>5787</v>
      </c>
      <c r="H20" s="33"/>
      <c r="I20" s="34">
        <v>22.973445143256455</v>
      </c>
      <c r="J20" s="34">
        <v>22.973445143256455</v>
      </c>
      <c r="K20" s="34">
        <v>5.193845642978534</v>
      </c>
      <c r="L20" s="34">
        <v>8.7956189629903481</v>
      </c>
      <c r="M20" s="34">
        <v>7.8664892959742216</v>
      </c>
      <c r="N20" s="34">
        <v>7.7671563928895626</v>
      </c>
      <c r="O20" s="33"/>
      <c r="P20" s="34">
        <v>8.3132404348702735</v>
      </c>
      <c r="Q20" s="34">
        <v>10.906209387626431</v>
      </c>
      <c r="R20" s="33"/>
      <c r="S20" s="34">
        <v>13.420993445352281</v>
      </c>
      <c r="T20" s="34">
        <v>12.490060988296303</v>
      </c>
    </row>
    <row r="21" spans="1:21" x14ac:dyDescent="0.2">
      <c r="A21" s="29" t="s">
        <v>97</v>
      </c>
      <c r="B21" s="29" t="s">
        <v>15</v>
      </c>
      <c r="C21" s="29" t="s">
        <v>7</v>
      </c>
      <c r="D21" s="69" t="s">
        <v>112</v>
      </c>
      <c r="E21" s="31" t="s">
        <v>34</v>
      </c>
      <c r="F21" s="30">
        <v>17.701332000000001</v>
      </c>
      <c r="G21" s="32">
        <v>6126</v>
      </c>
      <c r="H21" s="33"/>
      <c r="I21" s="34">
        <v>19.077610727346595</v>
      </c>
      <c r="J21" s="34">
        <v>19.077610727346595</v>
      </c>
      <c r="K21" s="34">
        <v>8.5364728741880604</v>
      </c>
      <c r="L21" s="34">
        <v>9.7074604095084069</v>
      </c>
      <c r="M21" s="34">
        <v>9.2847194711064738</v>
      </c>
      <c r="N21" s="34">
        <v>7.5029632360098075</v>
      </c>
      <c r="O21" s="33"/>
      <c r="P21" s="34">
        <v>7.3669740777824844</v>
      </c>
      <c r="Q21" s="34">
        <v>11.07737888652629</v>
      </c>
      <c r="R21" s="33"/>
      <c r="S21" s="34">
        <v>11.900114172185802</v>
      </c>
      <c r="T21" s="34">
        <v>10.605788477963532</v>
      </c>
    </row>
    <row r="22" spans="1:21" x14ac:dyDescent="0.2">
      <c r="A22" s="29" t="s">
        <v>97</v>
      </c>
      <c r="B22" s="29" t="s">
        <v>16</v>
      </c>
      <c r="C22" s="29" t="s">
        <v>8</v>
      </c>
      <c r="D22" s="69" t="s">
        <v>104</v>
      </c>
      <c r="E22" s="31" t="s">
        <v>34</v>
      </c>
      <c r="F22" s="30">
        <v>101.754454</v>
      </c>
      <c r="G22" s="32">
        <v>21541</v>
      </c>
      <c r="H22" s="33"/>
      <c r="I22" s="34">
        <v>18.840911693964046</v>
      </c>
      <c r="J22" s="34">
        <v>18.840911693964046</v>
      </c>
      <c r="K22" s="34">
        <v>6.1133558633743812</v>
      </c>
      <c r="L22" s="34">
        <v>8.879782273683956</v>
      </c>
      <c r="M22" s="34">
        <v>8.9477499238632241</v>
      </c>
      <c r="N22" s="34">
        <v>8.2464588422084475</v>
      </c>
      <c r="O22" s="33"/>
      <c r="P22" s="34">
        <v>7.6824560304312284</v>
      </c>
      <c r="Q22" s="34">
        <v>10.647777627854026</v>
      </c>
      <c r="R22" s="33"/>
      <c r="S22" s="34">
        <v>12.039174604627544</v>
      </c>
      <c r="T22" s="34">
        <v>11.57108132759053</v>
      </c>
    </row>
    <row r="23" spans="1:21" x14ac:dyDescent="0.2">
      <c r="A23" s="29" t="s">
        <v>97</v>
      </c>
      <c r="B23" s="29" t="s">
        <v>98</v>
      </c>
      <c r="C23" s="29" t="s">
        <v>99</v>
      </c>
      <c r="D23" s="69" t="s">
        <v>109</v>
      </c>
      <c r="E23" s="31" t="s">
        <v>34</v>
      </c>
      <c r="F23" s="30">
        <v>1.0932869999999999</v>
      </c>
      <c r="G23" s="32">
        <v>2012</v>
      </c>
      <c r="H23" s="33"/>
      <c r="I23" s="34" t="s">
        <v>46</v>
      </c>
      <c r="J23" s="34" t="s">
        <v>46</v>
      </c>
      <c r="K23" s="34" t="s">
        <v>46</v>
      </c>
      <c r="L23" s="34" t="s">
        <v>46</v>
      </c>
      <c r="M23" s="34" t="s">
        <v>46</v>
      </c>
      <c r="N23" s="34" t="s">
        <v>46</v>
      </c>
      <c r="O23" s="33"/>
      <c r="P23" s="34" t="s">
        <v>46</v>
      </c>
      <c r="Q23" s="34" t="s">
        <v>46</v>
      </c>
      <c r="R23" s="33"/>
      <c r="S23" s="34" t="s">
        <v>46</v>
      </c>
      <c r="T23" s="34" t="s">
        <v>46</v>
      </c>
    </row>
    <row r="24" spans="1:21" x14ac:dyDescent="0.2">
      <c r="A24" s="29" t="s">
        <v>29</v>
      </c>
      <c r="B24" s="29" t="s">
        <v>14</v>
      </c>
      <c r="C24" s="29" t="s">
        <v>51</v>
      </c>
      <c r="D24" s="69" t="s">
        <v>102</v>
      </c>
      <c r="E24" s="31" t="s">
        <v>34</v>
      </c>
      <c r="F24" s="30">
        <v>71.310327999999998</v>
      </c>
      <c r="G24" s="32">
        <v>18069</v>
      </c>
      <c r="H24" s="33"/>
      <c r="I24" s="34">
        <v>21.102968575332248</v>
      </c>
      <c r="J24" s="34">
        <v>21.102968575332248</v>
      </c>
      <c r="K24" s="34">
        <v>5.6411293557963038</v>
      </c>
      <c r="L24" s="34">
        <v>9.466332233559104</v>
      </c>
      <c r="M24" s="34">
        <v>8.0290665250602586</v>
      </c>
      <c r="N24" s="34">
        <v>7.5593505319025533</v>
      </c>
      <c r="O24" s="33"/>
      <c r="P24" s="34">
        <v>9.1390309571015358</v>
      </c>
      <c r="Q24" s="34">
        <v>12.37458205149391</v>
      </c>
      <c r="R24" s="33"/>
      <c r="S24" s="34">
        <v>12.812936824169741</v>
      </c>
      <c r="T24" s="34">
        <v>11.598696112082727</v>
      </c>
    </row>
    <row r="25" spans="1:21" x14ac:dyDescent="0.2">
      <c r="A25" s="29" t="s">
        <v>29</v>
      </c>
      <c r="B25" s="29" t="s">
        <v>71</v>
      </c>
      <c r="C25" s="29" t="s">
        <v>77</v>
      </c>
      <c r="D25" s="69" t="s">
        <v>110</v>
      </c>
      <c r="E25" s="31" t="s">
        <v>34</v>
      </c>
      <c r="F25" s="30">
        <v>9.7572550000000007</v>
      </c>
      <c r="G25" s="32">
        <v>5798</v>
      </c>
      <c r="H25" s="33"/>
      <c r="I25" s="62">
        <v>24.843339397614738</v>
      </c>
      <c r="J25" s="62">
        <v>24.843339397614738</v>
      </c>
      <c r="K25" s="62">
        <v>7.2949037051869281</v>
      </c>
      <c r="L25" s="62" t="s">
        <v>46</v>
      </c>
      <c r="M25" s="62" t="s">
        <v>46</v>
      </c>
      <c r="N25" s="62" t="s">
        <v>46</v>
      </c>
      <c r="O25" s="33"/>
      <c r="P25" s="34" t="s">
        <v>46</v>
      </c>
      <c r="Q25" s="34" t="s">
        <v>46</v>
      </c>
      <c r="R25" s="33"/>
      <c r="S25" s="34" t="s">
        <v>46</v>
      </c>
      <c r="T25" s="62" t="s">
        <v>46</v>
      </c>
    </row>
    <row r="26" spans="1:21" x14ac:dyDescent="0.2">
      <c r="A26" s="29" t="s">
        <v>45</v>
      </c>
      <c r="B26" s="29" t="s">
        <v>42</v>
      </c>
      <c r="C26" s="29" t="s">
        <v>73</v>
      </c>
      <c r="D26" s="69" t="s">
        <v>105</v>
      </c>
      <c r="E26" s="31" t="s">
        <v>34</v>
      </c>
      <c r="F26" s="30">
        <v>10.722956999999999</v>
      </c>
      <c r="G26" s="32">
        <v>2959</v>
      </c>
      <c r="H26" s="33"/>
      <c r="I26" s="34">
        <v>17.859762358808862</v>
      </c>
      <c r="J26" s="34">
        <v>17.859762358808862</v>
      </c>
      <c r="K26" s="34">
        <v>4.8717370804090665</v>
      </c>
      <c r="L26" s="34">
        <v>9.4645767011608548</v>
      </c>
      <c r="M26" s="34" t="s">
        <v>46</v>
      </c>
      <c r="N26" s="34" t="s">
        <v>46</v>
      </c>
      <c r="O26" s="33"/>
      <c r="P26" s="34">
        <v>7.4984770903021358</v>
      </c>
      <c r="Q26" s="34">
        <v>10.401509090306282</v>
      </c>
      <c r="R26" s="33"/>
      <c r="S26" s="62">
        <v>41.258964322155187</v>
      </c>
      <c r="T26" s="62" t="s">
        <v>46</v>
      </c>
    </row>
    <row r="27" spans="1:21" x14ac:dyDescent="0.2">
      <c r="A27" s="29" t="s">
        <v>45</v>
      </c>
      <c r="B27" s="29" t="s">
        <v>74</v>
      </c>
      <c r="C27" s="29" t="s">
        <v>92</v>
      </c>
      <c r="D27" s="69" t="s">
        <v>106</v>
      </c>
      <c r="E27" s="31" t="s">
        <v>34</v>
      </c>
      <c r="F27" s="30">
        <v>17.702192</v>
      </c>
      <c r="G27" s="32">
        <v>35338</v>
      </c>
      <c r="H27" s="33"/>
      <c r="I27" s="34">
        <v>19.243374847832186</v>
      </c>
      <c r="J27" s="34">
        <v>19.243374847832186</v>
      </c>
      <c r="K27" s="34" t="s">
        <v>46</v>
      </c>
      <c r="L27" s="34" t="s">
        <v>46</v>
      </c>
      <c r="M27" s="34" t="s">
        <v>46</v>
      </c>
      <c r="N27" s="34" t="s">
        <v>46</v>
      </c>
      <c r="O27" s="33"/>
      <c r="P27" s="34">
        <v>10.401509090306282</v>
      </c>
      <c r="Q27" s="62" t="s">
        <v>46</v>
      </c>
      <c r="R27" s="33"/>
      <c r="S27" s="62" t="s">
        <v>46</v>
      </c>
      <c r="T27" s="62" t="s">
        <v>46</v>
      </c>
    </row>
    <row r="28" spans="1:21" x14ac:dyDescent="0.2">
      <c r="A28" s="29" t="s">
        <v>3</v>
      </c>
      <c r="B28" s="29" t="s">
        <v>69</v>
      </c>
      <c r="C28" s="29" t="s">
        <v>70</v>
      </c>
      <c r="D28" s="69" t="s">
        <v>111</v>
      </c>
      <c r="E28" s="31" t="s">
        <v>34</v>
      </c>
      <c r="F28" s="30">
        <v>4.7549710000000003</v>
      </c>
      <c r="G28" s="32">
        <v>1470</v>
      </c>
      <c r="H28" s="33"/>
      <c r="I28" s="34">
        <v>17.69703543022414</v>
      </c>
      <c r="J28" s="34">
        <v>17.69703543022414</v>
      </c>
      <c r="K28" s="34">
        <v>4.1637500388786108</v>
      </c>
      <c r="L28" s="34" t="s">
        <v>46</v>
      </c>
      <c r="M28" s="34" t="s">
        <v>46</v>
      </c>
      <c r="N28" s="34" t="s">
        <v>46</v>
      </c>
      <c r="O28" s="33"/>
      <c r="P28" s="34">
        <v>41.258964322155187</v>
      </c>
      <c r="Q28" s="62" t="s">
        <v>46</v>
      </c>
      <c r="R28" s="33"/>
      <c r="S28" s="62" t="s">
        <v>46</v>
      </c>
      <c r="T28" s="62" t="s">
        <v>46</v>
      </c>
    </row>
    <row r="29" spans="1:21" x14ac:dyDescent="0.2">
      <c r="A29" s="29" t="s">
        <v>87</v>
      </c>
      <c r="B29" s="29" t="s">
        <v>88</v>
      </c>
      <c r="C29" s="29" t="s">
        <v>85</v>
      </c>
      <c r="D29" s="69" t="s">
        <v>108</v>
      </c>
      <c r="E29" s="31" t="s">
        <v>34</v>
      </c>
      <c r="F29" s="30">
        <v>7.9706919999999997</v>
      </c>
      <c r="G29" s="32">
        <v>4499</v>
      </c>
      <c r="H29" s="33"/>
      <c r="I29" s="34">
        <v>23.419540229885062</v>
      </c>
      <c r="J29" s="34">
        <v>23.419540229885062</v>
      </c>
      <c r="K29" s="34" t="s">
        <v>46</v>
      </c>
      <c r="L29" s="34" t="s">
        <v>46</v>
      </c>
      <c r="M29" s="34" t="s">
        <v>46</v>
      </c>
      <c r="N29" s="34" t="s">
        <v>46</v>
      </c>
      <c r="O29" s="33"/>
      <c r="P29" s="34" t="s">
        <v>46</v>
      </c>
      <c r="Q29" s="62" t="s">
        <v>46</v>
      </c>
      <c r="R29" s="33"/>
      <c r="S29" s="62" t="s">
        <v>46</v>
      </c>
      <c r="T29" s="62" t="s">
        <v>46</v>
      </c>
    </row>
    <row r="30" spans="1:21" x14ac:dyDescent="0.2">
      <c r="D30" s="7"/>
      <c r="E30" s="8"/>
      <c r="F30" s="7"/>
      <c r="G30" s="7"/>
      <c r="H30" s="3"/>
      <c r="I30" s="4"/>
      <c r="J30" s="4"/>
      <c r="K30" s="4"/>
      <c r="L30" s="4"/>
      <c r="M30" s="4"/>
      <c r="N30" s="4"/>
      <c r="O30" s="3"/>
      <c r="P30" s="4"/>
      <c r="Q30" s="4"/>
      <c r="R30" s="3"/>
      <c r="S30" s="4"/>
      <c r="T30" s="4"/>
    </row>
    <row r="32" spans="1:21" s="17" customFormat="1" x14ac:dyDescent="0.25">
      <c r="A32" s="5"/>
      <c r="B32" s="5"/>
      <c r="C32" s="5"/>
      <c r="D32" s="44"/>
      <c r="E32" s="45"/>
      <c r="F32" s="46"/>
      <c r="G32" s="47" t="s">
        <v>68</v>
      </c>
      <c r="H32" s="46"/>
      <c r="I32" s="48">
        <v>16.777233436557495</v>
      </c>
      <c r="J32" s="48">
        <v>16.777233436557495</v>
      </c>
      <c r="K32" s="48">
        <v>4.6821722262387473</v>
      </c>
      <c r="L32" s="48">
        <v>9.0164545653973232</v>
      </c>
      <c r="M32" s="48">
        <v>6.5261956206743079</v>
      </c>
      <c r="N32" s="48">
        <v>6.7397033075671819</v>
      </c>
      <c r="O32" s="48"/>
      <c r="P32" s="48">
        <v>6.8597831205557078</v>
      </c>
      <c r="Q32" s="48">
        <v>8.6176200071059785</v>
      </c>
      <c r="R32" s="46"/>
      <c r="S32" s="49"/>
      <c r="T32" s="49"/>
      <c r="U32" s="5"/>
    </row>
    <row r="34" spans="1:21" x14ac:dyDescent="0.2">
      <c r="A34" s="16" t="s">
        <v>27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21" x14ac:dyDescent="0.2">
      <c r="A35" s="16" t="s">
        <v>54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21" x14ac:dyDescent="0.2">
      <c r="A36" s="16" t="s">
        <v>56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21" x14ac:dyDescent="0.2">
      <c r="A37" s="16" t="s">
        <v>58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21" x14ac:dyDescent="0.2">
      <c r="A38" s="16" t="s">
        <v>60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P38" s="1"/>
      <c r="Q38" s="1"/>
      <c r="S38" s="1"/>
      <c r="T38" s="1"/>
      <c r="U38" s="1"/>
    </row>
    <row r="39" spans="1:21" x14ac:dyDescent="0.2">
      <c r="A39" s="67" t="s">
        <v>100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P39" s="1"/>
      <c r="Q39" s="1"/>
      <c r="S39" s="1"/>
      <c r="T39" s="1"/>
      <c r="U39" s="1"/>
    </row>
    <row r="40" spans="1:21" x14ac:dyDescent="0.2">
      <c r="A40" s="16" t="s">
        <v>63</v>
      </c>
      <c r="P40" s="1"/>
      <c r="Q40" s="1"/>
      <c r="S40" s="1"/>
      <c r="T40" s="1"/>
      <c r="U40" s="1"/>
    </row>
    <row r="41" spans="1:21" x14ac:dyDescent="0.2">
      <c r="A41" s="67"/>
      <c r="P41" s="1"/>
      <c r="Q41" s="1"/>
      <c r="S41" s="1"/>
      <c r="T41" s="1"/>
      <c r="U41" s="1"/>
    </row>
    <row r="42" spans="1:21" x14ac:dyDescent="0.2">
      <c r="A42" s="63"/>
    </row>
    <row r="43" spans="1:21" x14ac:dyDescent="0.2">
      <c r="L43" s="65"/>
    </row>
    <row r="44" spans="1:21" x14ac:dyDescent="0.2">
      <c r="L44" s="65"/>
    </row>
  </sheetData>
  <mergeCells count="3">
    <mergeCell ref="P1:Q1"/>
    <mergeCell ref="I1:N1"/>
    <mergeCell ref="S1:T1"/>
  </mergeCells>
  <phoneticPr fontId="15" type="noConversion"/>
  <conditionalFormatting sqref="I4:N6">
    <cfRule type="cellIs" dxfId="22" priority="37" operator="greaterThanOrEqual">
      <formula>0</formula>
    </cfRule>
    <cfRule type="cellIs" dxfId="21" priority="38" operator="lessThan">
      <formula>0</formula>
    </cfRule>
  </conditionalFormatting>
  <conditionalFormatting sqref="I9:N17">
    <cfRule type="cellIs" dxfId="20" priority="231" operator="lessThan">
      <formula>0</formula>
    </cfRule>
    <cfRule type="cellIs" dxfId="19" priority="230" operator="greaterThanOrEqual">
      <formula>0</formula>
    </cfRule>
  </conditionalFormatting>
  <conditionalFormatting sqref="I20:N29">
    <cfRule type="cellIs" dxfId="18" priority="35" operator="greaterThanOrEqual">
      <formula>0</formula>
    </cfRule>
    <cfRule type="cellIs" dxfId="17" priority="36" operator="lessThan">
      <formula>0</formula>
    </cfRule>
  </conditionalFormatting>
  <conditionalFormatting sqref="I45:T1048576 I33:T41 I42:K44 M42:T44">
    <cfRule type="duplicateValues" dxfId="16" priority="269"/>
  </conditionalFormatting>
  <conditionalFormatting sqref="L43:L44">
    <cfRule type="duplicateValues" dxfId="15" priority="290"/>
  </conditionalFormatting>
  <conditionalFormatting sqref="P4:Q6">
    <cfRule type="cellIs" dxfId="14" priority="227" operator="lessThan">
      <formula>0</formula>
    </cfRule>
    <cfRule type="cellIs" dxfId="13" priority="226" operator="greaterThanOrEqual">
      <formula>0</formula>
    </cfRule>
  </conditionalFormatting>
  <conditionalFormatting sqref="P9:Q17">
    <cfRule type="cellIs" dxfId="12" priority="3" operator="greaterThanOrEqual">
      <formula>0</formula>
    </cfRule>
    <cfRule type="cellIs" dxfId="11" priority="4" operator="lessThan">
      <formula>0</formula>
    </cfRule>
  </conditionalFormatting>
  <conditionalFormatting sqref="P20:Q29">
    <cfRule type="cellIs" dxfId="10" priority="2" operator="lessThan">
      <formula>0</formula>
    </cfRule>
    <cfRule type="cellIs" dxfId="9" priority="1" operator="greaterThanOrEqual">
      <formula>0</formula>
    </cfRule>
  </conditionalFormatting>
  <conditionalFormatting sqref="S4:T6">
    <cfRule type="cellIs" dxfId="8" priority="220" operator="greaterThanOrEqual">
      <formula>0</formula>
    </cfRule>
    <cfRule type="cellIs" dxfId="7" priority="221" operator="lessThan">
      <formula>0</formula>
    </cfRule>
  </conditionalFormatting>
  <conditionalFormatting sqref="S9:T17">
    <cfRule type="cellIs" dxfId="6" priority="232" operator="greaterThanOrEqual">
      <formula>0</formula>
    </cfRule>
    <cfRule type="cellIs" dxfId="5" priority="233" operator="lessThan">
      <formula>0</formula>
    </cfRule>
  </conditionalFormatting>
  <conditionalFormatting sqref="S20:T29">
    <cfRule type="cellIs" dxfId="4" priority="67" operator="greaterThanOrEqual">
      <formula>0</formula>
    </cfRule>
    <cfRule type="cellIs" dxfId="3" priority="68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FFC9"/>
  </sheetPr>
  <dimension ref="A1:T45"/>
  <sheetViews>
    <sheetView showGridLines="0" zoomScale="60" zoomScaleNormal="60" workbookViewId="0"/>
  </sheetViews>
  <sheetFormatPr defaultRowHeight="15" x14ac:dyDescent="0.25"/>
  <cols>
    <col min="1" max="1" width="54.85546875" customWidth="1"/>
    <col min="2" max="2" width="32.42578125" bestFit="1" customWidth="1"/>
    <col min="3" max="3" width="19.5703125" bestFit="1" customWidth="1"/>
    <col min="4" max="4" width="18.85546875" bestFit="1" customWidth="1"/>
    <col min="6" max="6" width="9.5703125" customWidth="1"/>
    <col min="16" max="16" width="10.5703125" customWidth="1"/>
  </cols>
  <sheetData>
    <row r="1" spans="1:20" s="10" customFormat="1" ht="14.25" x14ac:dyDescent="0.2">
      <c r="A1" s="22" t="s">
        <v>25</v>
      </c>
      <c r="B1" s="22" t="s">
        <v>24</v>
      </c>
      <c r="C1" s="22" t="s">
        <v>12</v>
      </c>
      <c r="E1" s="11"/>
      <c r="G1" s="12"/>
      <c r="I1" s="13"/>
      <c r="J1" s="13"/>
      <c r="K1" s="13"/>
      <c r="L1" s="13"/>
      <c r="N1" s="13"/>
      <c r="O1" s="13"/>
      <c r="Q1" s="14"/>
      <c r="R1" s="14"/>
      <c r="S1" s="14"/>
      <c r="T1" s="14"/>
    </row>
    <row r="2" spans="1:20" s="9" customFormat="1" x14ac:dyDescent="0.25">
      <c r="A2" s="29" t="s">
        <v>3</v>
      </c>
      <c r="B2" s="52">
        <v>93.595758000000004</v>
      </c>
      <c r="C2" s="53">
        <v>34303</v>
      </c>
      <c r="G2" s="6"/>
      <c r="H2" s="6"/>
      <c r="I2" s="6"/>
    </row>
    <row r="3" spans="1:20" s="9" customFormat="1" x14ac:dyDescent="0.25">
      <c r="A3" s="29" t="s">
        <v>97</v>
      </c>
      <c r="B3" s="52">
        <v>167.54647299999999</v>
      </c>
      <c r="C3" s="53">
        <v>40939</v>
      </c>
      <c r="G3" s="6"/>
      <c r="H3" s="6"/>
      <c r="I3" s="6"/>
    </row>
    <row r="4" spans="1:20" s="9" customFormat="1" x14ac:dyDescent="0.25">
      <c r="A4" s="29" t="s">
        <v>29</v>
      </c>
      <c r="B4" s="52">
        <v>96.24512</v>
      </c>
      <c r="C4" s="53">
        <v>29867</v>
      </c>
      <c r="E4" s="6"/>
      <c r="F4" s="6"/>
      <c r="G4" s="6"/>
      <c r="H4" s="6"/>
      <c r="I4" s="6"/>
      <c r="O4" s="6"/>
      <c r="P4" s="61"/>
    </row>
    <row r="5" spans="1:20" s="9" customFormat="1" x14ac:dyDescent="0.25">
      <c r="A5" s="29" t="s">
        <v>45</v>
      </c>
      <c r="B5" s="52">
        <v>41.826827999999999</v>
      </c>
      <c r="C5" s="53">
        <v>56051</v>
      </c>
      <c r="E5" s="6"/>
      <c r="F5" s="6"/>
      <c r="G5" s="6"/>
      <c r="H5" s="6"/>
      <c r="I5" s="6"/>
      <c r="O5" s="59"/>
      <c r="P5" s="61"/>
    </row>
    <row r="6" spans="1:20" s="9" customFormat="1" x14ac:dyDescent="0.25">
      <c r="A6" s="29" t="s">
        <v>87</v>
      </c>
      <c r="B6" s="52">
        <v>8.7694639999999993</v>
      </c>
      <c r="C6" s="53">
        <v>5058</v>
      </c>
      <c r="E6" s="6"/>
      <c r="F6" s="6"/>
      <c r="G6" s="6"/>
      <c r="H6" s="6"/>
      <c r="I6" s="6"/>
      <c r="O6" s="59"/>
      <c r="P6" s="61"/>
    </row>
    <row r="7" spans="1:20" s="10" customFormat="1" ht="14.25" x14ac:dyDescent="0.2">
      <c r="A7" s="56" t="s">
        <v>28</v>
      </c>
      <c r="B7" s="54">
        <v>407.98364299999992</v>
      </c>
      <c r="C7" s="55">
        <v>166218</v>
      </c>
      <c r="E7" s="11"/>
      <c r="G7" s="12"/>
      <c r="I7" s="13"/>
      <c r="J7" s="13"/>
      <c r="K7" s="13"/>
      <c r="L7" s="13"/>
      <c r="N7" s="13"/>
      <c r="O7" s="60"/>
      <c r="P7" s="60"/>
      <c r="Q7" s="14"/>
      <c r="R7" s="14"/>
      <c r="S7" s="14"/>
      <c r="T7" s="14"/>
    </row>
    <row r="8" spans="1:20" s="9" customFormat="1" x14ac:dyDescent="0.25">
      <c r="B8" s="15"/>
      <c r="E8" s="6"/>
      <c r="F8" s="6"/>
      <c r="G8" s="6"/>
      <c r="H8" s="6"/>
      <c r="I8" s="6"/>
    </row>
    <row r="9" spans="1:20" s="10" customFormat="1" ht="22.7" customHeight="1" x14ac:dyDescent="0.2">
      <c r="E9" s="11"/>
      <c r="G9" s="12"/>
      <c r="I9" s="13"/>
      <c r="J9" s="13"/>
      <c r="K9" s="13"/>
      <c r="L9" s="13"/>
      <c r="N9" s="13"/>
      <c r="O9" s="13"/>
      <c r="Q9" s="14"/>
      <c r="R9" s="14"/>
      <c r="S9" s="14"/>
      <c r="T9" s="14"/>
    </row>
    <row r="10" spans="1:20" s="9" customFormat="1" x14ac:dyDescent="0.25"/>
    <row r="11" spans="1:20" s="9" customFormat="1" x14ac:dyDescent="0.25"/>
    <row r="12" spans="1:20" s="9" customFormat="1" x14ac:dyDescent="0.25"/>
    <row r="13" spans="1:20" s="9" customFormat="1" x14ac:dyDescent="0.25"/>
    <row r="14" spans="1:20" s="9" customFormat="1" x14ac:dyDescent="0.25"/>
    <row r="15" spans="1:20" s="9" customFormat="1" x14ac:dyDescent="0.25"/>
    <row r="16" spans="1:20" s="9" customFormat="1" x14ac:dyDescent="0.25"/>
    <row r="17" spans="1:3" s="9" customFormat="1" x14ac:dyDescent="0.25"/>
    <row r="18" spans="1:3" s="9" customFormat="1" x14ac:dyDescent="0.25"/>
    <row r="19" spans="1:3" s="9" customFormat="1" x14ac:dyDescent="0.25"/>
    <row r="20" spans="1:3" s="9" customFormat="1" x14ac:dyDescent="0.25"/>
    <row r="21" spans="1:3" s="9" customFormat="1" x14ac:dyDescent="0.25"/>
    <row r="22" spans="1:3" ht="33" customHeight="1" x14ac:dyDescent="0.25">
      <c r="A22" s="22" t="s">
        <v>26</v>
      </c>
      <c r="B22" s="22" t="s">
        <v>39</v>
      </c>
      <c r="C22" s="22" t="s">
        <v>40</v>
      </c>
    </row>
    <row r="23" spans="1:3" x14ac:dyDescent="0.25">
      <c r="A23" s="29" t="s">
        <v>4</v>
      </c>
      <c r="B23" s="52">
        <v>13.381814</v>
      </c>
      <c r="C23" s="53">
        <v>3290</v>
      </c>
    </row>
    <row r="24" spans="1:3" x14ac:dyDescent="0.25">
      <c r="A24" s="29" t="s">
        <v>6</v>
      </c>
      <c r="B24" s="52">
        <v>4.6545350000000001</v>
      </c>
      <c r="C24" s="53">
        <v>2240</v>
      </c>
    </row>
    <row r="25" spans="1:3" x14ac:dyDescent="0.25">
      <c r="A25" s="29" t="s">
        <v>5</v>
      </c>
      <c r="B25" s="52">
        <v>28.961051000000001</v>
      </c>
      <c r="C25" s="53">
        <v>5730</v>
      </c>
    </row>
    <row r="26" spans="1:3" x14ac:dyDescent="0.25">
      <c r="A26" s="29" t="s">
        <v>7</v>
      </c>
      <c r="B26" s="52">
        <v>17.701332000000001</v>
      </c>
      <c r="C26" s="53">
        <v>6126</v>
      </c>
    </row>
    <row r="27" spans="1:3" x14ac:dyDescent="0.25">
      <c r="A27" s="29" t="s">
        <v>8</v>
      </c>
      <c r="B27" s="52">
        <v>101.754454</v>
      </c>
      <c r="C27" s="53">
        <v>21541</v>
      </c>
    </row>
    <row r="28" spans="1:3" x14ac:dyDescent="0.25">
      <c r="A28" s="29" t="s">
        <v>99</v>
      </c>
      <c r="B28" s="52">
        <v>1.0932869999999999</v>
      </c>
      <c r="C28" s="53">
        <v>2012</v>
      </c>
    </row>
    <row r="29" spans="1:3" x14ac:dyDescent="0.25">
      <c r="A29" s="29" t="s">
        <v>94</v>
      </c>
      <c r="B29" s="52">
        <v>10.242331</v>
      </c>
      <c r="C29" s="53">
        <v>3602</v>
      </c>
    </row>
    <row r="30" spans="1:3" x14ac:dyDescent="0.25">
      <c r="A30" s="29" t="s">
        <v>95</v>
      </c>
      <c r="B30" s="52">
        <v>58.677954</v>
      </c>
      <c r="C30" s="53">
        <v>23444</v>
      </c>
    </row>
    <row r="31" spans="1:3" x14ac:dyDescent="0.25">
      <c r="A31" s="29" t="s">
        <v>96</v>
      </c>
      <c r="B31" s="52">
        <v>19.920501999999999</v>
      </c>
      <c r="C31" s="53">
        <v>5787</v>
      </c>
    </row>
    <row r="32" spans="1:3" x14ac:dyDescent="0.25">
      <c r="A32" s="29" t="s">
        <v>70</v>
      </c>
      <c r="B32" s="52">
        <v>4.7549710000000003</v>
      </c>
      <c r="C32" s="53">
        <v>1470</v>
      </c>
    </row>
    <row r="33" spans="1:3" x14ac:dyDescent="0.25">
      <c r="A33" s="29" t="s">
        <v>50</v>
      </c>
      <c r="B33" s="52">
        <v>4.8664589999999999</v>
      </c>
      <c r="C33" s="53">
        <v>3377</v>
      </c>
    </row>
    <row r="34" spans="1:3" x14ac:dyDescent="0.25">
      <c r="A34" s="29" t="s">
        <v>52</v>
      </c>
      <c r="B34" s="52">
        <v>10.311078</v>
      </c>
      <c r="C34" s="53">
        <v>2623</v>
      </c>
    </row>
    <row r="35" spans="1:3" x14ac:dyDescent="0.25">
      <c r="A35" s="29" t="s">
        <v>51</v>
      </c>
      <c r="B35" s="52">
        <v>71.310327999999998</v>
      </c>
      <c r="C35" s="53">
        <v>18069</v>
      </c>
    </row>
    <row r="36" spans="1:3" x14ac:dyDescent="0.25">
      <c r="A36" s="29" t="s">
        <v>77</v>
      </c>
      <c r="B36" s="52">
        <v>9.7572550000000007</v>
      </c>
      <c r="C36" s="53">
        <v>5798</v>
      </c>
    </row>
    <row r="37" spans="1:3" x14ac:dyDescent="0.25">
      <c r="A37" s="57" t="s">
        <v>79</v>
      </c>
      <c r="B37" s="52">
        <v>0.87077199999999999</v>
      </c>
      <c r="C37" s="53">
        <v>201</v>
      </c>
    </row>
    <row r="38" spans="1:3" x14ac:dyDescent="0.25">
      <c r="A38" s="57" t="s">
        <v>80</v>
      </c>
      <c r="B38" s="52">
        <v>3.259973</v>
      </c>
      <c r="C38" s="53">
        <v>1147</v>
      </c>
    </row>
    <row r="39" spans="1:3" x14ac:dyDescent="0.25">
      <c r="A39" s="57" t="s">
        <v>81</v>
      </c>
      <c r="B39" s="52">
        <v>1.637397</v>
      </c>
      <c r="C39" s="53">
        <v>2176</v>
      </c>
    </row>
    <row r="40" spans="1:3" x14ac:dyDescent="0.25">
      <c r="A40" s="57" t="s">
        <v>82</v>
      </c>
      <c r="B40" s="52">
        <v>7.6335369999999996</v>
      </c>
      <c r="C40" s="53">
        <v>14230</v>
      </c>
    </row>
    <row r="41" spans="1:3" x14ac:dyDescent="0.25">
      <c r="A41" s="29" t="s">
        <v>83</v>
      </c>
      <c r="B41" s="52">
        <v>10.722956999999999</v>
      </c>
      <c r="C41" s="53">
        <v>2959</v>
      </c>
    </row>
    <row r="42" spans="1:3" x14ac:dyDescent="0.25">
      <c r="A42" s="29" t="s">
        <v>84</v>
      </c>
      <c r="B42" s="52">
        <v>17.702192</v>
      </c>
      <c r="C42" s="53">
        <v>35338</v>
      </c>
    </row>
    <row r="43" spans="1:3" x14ac:dyDescent="0.25">
      <c r="A43" s="29" t="s">
        <v>85</v>
      </c>
      <c r="B43" s="52">
        <v>7.9706919999999997</v>
      </c>
      <c r="C43" s="53">
        <v>4499</v>
      </c>
    </row>
    <row r="44" spans="1:3" x14ac:dyDescent="0.25">
      <c r="A44" s="29" t="s">
        <v>86</v>
      </c>
      <c r="B44" s="52">
        <v>0.79877200000000004</v>
      </c>
      <c r="C44" s="53">
        <v>559</v>
      </c>
    </row>
    <row r="45" spans="1:3" x14ac:dyDescent="0.25">
      <c r="A45" s="56" t="s">
        <v>28</v>
      </c>
      <c r="B45" s="54">
        <v>407.98364300000009</v>
      </c>
      <c r="C45" s="64">
        <v>166218</v>
      </c>
    </row>
  </sheetData>
  <conditionalFormatting sqref="I1:R1">
    <cfRule type="duplicateValues" dxfId="2" priority="6"/>
  </conditionalFormatting>
  <conditionalFormatting sqref="I7:R7">
    <cfRule type="duplicateValues" dxfId="1" priority="1"/>
  </conditionalFormatting>
  <conditionalFormatting sqref="I9:R9">
    <cfRule type="duplicateValues" dxfId="0" priority="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2024-12-31</vt:lpstr>
      <vt:lpstr>Papildoma informacija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2026-05-12T11:20:43Z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2026-05-12T11:20:39Z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74bc8f4c-1b55-4214-938c-6f3a92ce4474</vt:lpwstr>
  </property>
  <property fmtid="{D5CDD505-2E9C-101B-9397-08002B2CF9AE}" pid="8" name="MSIP_Label_e5564178-1ca1-4992-b45e-fdaf9919e704_ContentBits">
    <vt:lpwstr>0</vt:lpwstr>
  </property>
  <property fmtid="{D5CDD505-2E9C-101B-9397-08002B2CF9AE}" pid="9" name="MSIP_Label_e5564178-1ca1-4992-b45e-fdaf9919e704_Tag">
    <vt:lpwstr>10, 0, 1, 1</vt:lpwstr>
  </property>
</Properties>
</file>