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0A1CE20-0E05-4877-995E-4F8E2D793C3C}" xr6:coauthVersionLast="47" xr6:coauthVersionMax="47" xr10:uidLastSave="{00000000-0000-0000-0000-000000000000}"/>
  <bookViews>
    <workbookView xWindow="-110" yWindow="-110" windowWidth="19420" windowHeight="11500" tabRatio="844" xr2:uid="{00000000-000D-0000-FFFF-FFFF00000000}"/>
  </bookViews>
  <sheets>
    <sheet name="2025-09-30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<sst xmlns="http://schemas.openxmlformats.org/spreadsheetml/2006/main" count="236" uniqueCount="110">
  <si>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</si>
  <si>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</si>
  <si>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</si>
  <si>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</si>
  <si>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</si>
  <si>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</si>
  <si>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</si>
  <si>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</si>
  <si>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</si>
  <si>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</si>
  <si>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</si>
  <si>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</si>
  <si>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</si>
  <si>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</si>
  <si>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</si>
  <si>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</si>
  <si>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</si>
  <si>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</si>
  <si>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</si>
  <si>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</si>
  <si>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</si>
  <si>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</si>
  <si>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</si>
  <si>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</si>
  <si>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</si>
  <si>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</si>
  <si>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</si>
  <si>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</si>
  <si>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</si>
  <si>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</si>
  <si>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</si>
  <si>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</si>
  <si>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</si>
  <si>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</si>
  <si>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</si>
  <si>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</si>
  <si>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</si>
  <si>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</si>
  <si>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</si>
  <si>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</si>
  <si>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</si>
  <si>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</si>
  <si>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</si>
  <si>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</si>
  <si>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</si>
  <si>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</si>
  <si>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</si>
  <si>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</si>
  <si>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</si>
  <si>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</si>
  <si>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</si>
  <si>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</si>
  <si>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</si>
  <si>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</si>
  <si>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</si>
  <si>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</si>
  <si>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</si>
  <si>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</si>
  <si>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</si>
  <si>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</si>
  <si>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</si>
  <si>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</si>
  <si>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</si>
  <si>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</si>
  <si>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</si>
  <si>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</si>
  <si>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</si>
  <si>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</si>
  <si>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</si>
  <si>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</si>
  <si>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</si>
  <si>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</si>
  <si>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</si>
  <si>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</si>
  <si>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</si>
  <si>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</si>
  <si>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</si>
  <si>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</si>
  <si>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</si>
  <si>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</si>
  <si>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</si>
  <si>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</si>
  <si>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</si>
  <si>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</si>
  <si>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</si>
  <si>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</si>
  <si>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</si>
  <si>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</si>
  <si>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</si>
  <si>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</si>
  <si>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</si>
  <si>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S058</t>
  </si>
  <si>
    <t>Artea Stabilus 58+</t>
  </si>
  <si>
    <t>Artea Subalansuotas 47+</t>
  </si>
  <si>
    <t>Artea Ambicingas Active 16+</t>
  </si>
  <si>
    <t>Artea Ambicingas 16+</t>
  </si>
  <si>
    <t>Artea Ambicingas Index 16+</t>
  </si>
  <si>
    <t>UAB Artea Asset Management</t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</si>
  <si>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>2025-09-30</t>
    </r>
    <r>
      <rPr>
        <b/>
        <sz val="10"/>
        <color rgb="FFFF0000"/>
        <rFont val="Verdana"/>
        <family val="2"/>
        <charset val="186"/>
      </rPr>
      <t xml:space="preserve"> </t>
    </r>
    <r>
      <rPr>
        <sz val="10"/>
        <color theme="1"/>
        <rFont val="Verdana"/>
        <family val="2"/>
        <charset val="186"/>
      </rPr>
      <t>dienos fondų grynųjų aktyvų dydis.</t>
    </r>
  </si>
  <si>
    <t>11 m. 11 mėn.</t>
  </si>
  <si>
    <t>20 m. 9 mėn.</t>
  </si>
  <si>
    <t>20 m. 11 mėn.</t>
  </si>
  <si>
    <t xml:space="preserve">18 m. </t>
  </si>
  <si>
    <t>5 m. 10 mėn.</t>
  </si>
  <si>
    <t>3 m. 5 mėn.</t>
  </si>
  <si>
    <t>5 m. 7 mėn.</t>
  </si>
  <si>
    <t>3 m. 2 mėn.</t>
  </si>
  <si>
    <t>0 m. 11 mėn.</t>
  </si>
  <si>
    <t>3 m. 8 mėn.</t>
  </si>
  <si>
    <t>4 m. 4 mėn.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</si>
</sst>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rgb="FFFF0000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9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center" vertical="center" wrapText="1"/>
    </xf>
    <xf numFmtId="165" fontId="9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9" fillId="3" borderId="0" xfId="0" applyFont="1" applyFill="1" applyAlignment="1">
      <alignment vertical="center"/>
    </xf>
    <xf numFmtId="9" fontId="9" fillId="3" borderId="0" xfId="2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2" fontId="9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1" fillId="0" borderId="0" xfId="0" applyFont="1" applyFill="1" applyAlignment="1">
      <alignment horizontal="right"/>
    </xf>
    <xf numFmtId="0" fontId="12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9" fillId="3" borderId="1" xfId="0" applyNumberFormat="1" applyFont="1" applyFill="1" applyBorder="1" applyAlignment="1">
      <alignment horizontal="right" wrapText="1"/>
    </xf>
    <xf numFmtId="165" fontId="9" fillId="3" borderId="1" xfId="1" applyNumberFormat="1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9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5" fillId="0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/>
    <xf numFmtId="165" fontId="9" fillId="3" borderId="1" xfId="1" applyNumberFormat="1" applyFont="1" applyFill="1" applyBorder="1" applyAlignment="1">
      <alignment horizontal="right" wrapText="1"/>
    </xf>
    <xf numFmtId="165" fontId="9" fillId="3" borderId="1" xfId="1" applyNumberFormat="1" applyFont="1" applyFill="1" applyBorder="1" applyAlignment="1">
      <alignment horizontal="center" vertical="center" wrapText="1"/>
    </xf>
    <xf numFmtId="0" fontId="12" fillId="0" borderId="0" xfId="0" applyFont="1" applyAlignment="1"/>
    <xf numFmtId="14" fontId="17" fillId="2" borderId="1" xfId="0" applyNumberFormat="1" applyFont="1" applyFill="1" applyBorder="1" applyAlignment="1">
      <alignment horizontal="left" wrapText="1"/>
    </xf>
    <xf numFmtId="2" fontId="12" fillId="0" borderId="2" xfId="0" applyNumberFormat="1" applyFont="1" applyFill="1" applyBorder="1" applyAlignment="1">
      <alignment horizontal="left" vertical="center"/>
    </xf>
    <xf numFmtId="2" fontId="12" fillId="0" borderId="0" xfId="0" applyNumberFormat="1" applyFont="1" applyFill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2" fontId="12" fillId="2" borderId="2" xfId="0" applyNumberFormat="1" applyFont="1" applyFill="1" applyBorder="1" applyAlignment="1">
      <alignment horizontal="left" vertical="center"/>
    </xf>
    <xf numFmtId="2" fontId="12" fillId="2" borderId="0" xfId="0" applyNumberFormat="1" applyFont="1" applyFill="1" applyBorder="1" applyAlignment="1">
      <alignment horizontal="left" vertical="center"/>
    </xf>
    <xf numFmtId="2" fontId="12" fillId="2" borderId="0" xfId="0" applyNumberFormat="1" applyFont="1" applyFill="1" applyAlignment="1">
      <alignment horizontal="left"/>
    </xf>
    <xf numFmtId="165" fontId="9" fillId="3" borderId="1" xfId="1" applyNumberFormat="1" applyFont="1" applyFill="1" applyBorder="1" applyAlignment="1">
      <alignment horizontal="center" vertical="center" wrapText="1"/>
    </xf>
    <xf numFmtId="165" fontId="9" fillId="3" borderId="3" xfId="1" applyNumberFormat="1" applyFont="1" applyFill="1" applyBorder="1" applyAlignment="1">
      <alignment horizontal="center" vertical="center" wrapText="1"/>
    </xf>
    <xf numFmtId="165" fontId="9" fillId="3" borderId="4" xfId="1" applyNumberFormat="1" applyFont="1" applyFill="1" applyBorder="1" applyAlignment="1">
      <alignment horizontal="center" vertical="center" wrapText="1"/>
    </xf>
    <xf numFmtId="165" fontId="9" fillId="3" borderId="5" xfId="1" applyNumberFormat="1" applyFont="1" applyFill="1" applyBorder="1" applyAlignment="1">
      <alignment horizontal="center" vertical="center" wrapText="1"/>
    </xf>
    <xf numFmtId="165" fontId="9" fillId="3" borderId="6" xfId="1" applyNumberFormat="1" applyFont="1" applyFill="1" applyBorder="1" applyAlignment="1">
      <alignment horizontal="center" vertical="center" wrapText="1"/>
    </xf>
    <xf numFmtId="165" fontId="9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99FFCC"/>
      <color rgb="FF9C5BCD"/>
      <color rgb="FFFCAF17"/>
      <color rgb="FFFFFFC1"/>
      <color rgb="FFE31C48"/>
      <color rgb="FF903F98"/>
      <color rgb="FF00B07D"/>
      <color rgb="FF009900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Artea Asset Management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98.501130000000003</c:v>
                </c:pt>
                <c:pt idx="1">
                  <c:v>193.01216299999999</c:v>
                </c:pt>
                <c:pt idx="2">
                  <c:v>112.867199</c:v>
                </c:pt>
                <c:pt idx="3">
                  <c:v>63.172600000000003</c:v>
                </c:pt>
                <c:pt idx="4">
                  <c:v>15.158778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Artea Asset Management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33511</c:v>
                </c:pt>
                <c:pt idx="1">
                  <c:v>42566</c:v>
                </c:pt>
                <c:pt idx="2">
                  <c:v>31780</c:v>
                </c:pt>
                <c:pt idx="3">
                  <c:v>66737</c:v>
                </c:pt>
                <c:pt idx="4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'Papildoma informacija'!$A$23:$A$44</c15:sqref>
                  </c15:fullRef>
                </c:ext>
              </c:extLst>
              <c:f>('Papildoma informacija'!$A$23,'Papildoma informacija'!$A$25:$A$44)</c:f>
              <c:strCache>
                <c:ptCount val="21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'Papildoma informacija'!$C$23:$C$44</c15:sqref>
                  </c15:fullRef>
                </c:ext>
              </c:extLst>
              <c:f>('Papildoma informacija'!$C$23,'Papildoma informacija'!$C$25:$C$44)</c:f>
              <c:numCache>
                <c:formatCode>_-* #\ ##0\ _€_-;\-* #\ ##0\ _€_-;_-* "-"??\ _€_-;_-@_-</c:formatCode>
                <c:ptCount val="21"/>
                <c:pt idx="0">
                  <c:v>3480</c:v>
                </c:pt>
                <c:pt idx="1">
                  <c:v>5821</c:v>
                </c:pt>
                <c:pt idx="2">
                  <c:v>6881</c:v>
                </c:pt>
                <c:pt idx="3">
                  <c:v>21675</c:v>
                </c:pt>
                <c:pt idx="4">
                  <c:v>4709</c:v>
                </c:pt>
                <c:pt idx="5">
                  <c:v>3389</c:v>
                </c:pt>
                <c:pt idx="6">
                  <c:v>22658</c:v>
                </c:pt>
                <c:pt idx="7">
                  <c:v>5908</c:v>
                </c:pt>
                <c:pt idx="8">
                  <c:v>1556</c:v>
                </c:pt>
                <c:pt idx="9">
                  <c:v>3845</c:v>
                </c:pt>
                <c:pt idx="10">
                  <c:v>2699</c:v>
                </c:pt>
                <c:pt idx="11">
                  <c:v>18690</c:v>
                </c:pt>
                <c:pt idx="12">
                  <c:v>6546</c:v>
                </c:pt>
                <c:pt idx="13">
                  <c:v>220</c:v>
                </c:pt>
                <c:pt idx="14">
                  <c:v>1281</c:v>
                </c:pt>
                <c:pt idx="15">
                  <c:v>2614</c:v>
                </c:pt>
                <c:pt idx="16">
                  <c:v>16430</c:v>
                </c:pt>
                <c:pt idx="17">
                  <c:v>3596</c:v>
                </c:pt>
                <c:pt idx="18">
                  <c:v>42596</c:v>
                </c:pt>
                <c:pt idx="19">
                  <c:v>5431</c:v>
                </c:pt>
                <c:pt idx="20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'Papildoma informacija'!$A$23:$A$44</c15:sqref>
                  </c15:fullRef>
                </c:ext>
              </c:extLst>
              <c:f>('Papildoma informacija'!$A$23,'Papildoma informacija'!$A$25:$A$44)</c:f>
              <c:strCache>
                <c:ptCount val="21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'Papildoma informacija'!$B$23:$B$44</c15:sqref>
                  </c15:fullRef>
                </c:ext>
              </c:extLst>
              <c:f>('Papildoma informacija'!$B$23,'Papildoma informacija'!$B$25:$B$44)</c:f>
              <c:numCache>
                <c:formatCode>0.00</c:formatCode>
                <c:ptCount val="21"/>
                <c:pt idx="0">
                  <c:v>14.833485</c:v>
                </c:pt>
                <c:pt idx="1">
                  <c:v>32.690303999999998</c:v>
                </c:pt>
                <c:pt idx="2">
                  <c:v>22.033467000000002</c:v>
                </c:pt>
                <c:pt idx="3">
                  <c:v>114.464449</c:v>
                </c:pt>
                <c:pt idx="4">
                  <c:v>8.9904580000000003</c:v>
                </c:pt>
                <c:pt idx="5">
                  <c:v>9.7180579999999992</c:v>
                </c:pt>
                <c:pt idx="6">
                  <c:v>60.836232000000003</c:v>
                </c:pt>
                <c:pt idx="7">
                  <c:v>22.515688999999998</c:v>
                </c:pt>
                <c:pt idx="8">
                  <c:v>5.4311509999999998</c:v>
                </c:pt>
                <c:pt idx="9">
                  <c:v>7.3315279999999996</c:v>
                </c:pt>
                <c:pt idx="10">
                  <c:v>11.165065999999999</c:v>
                </c:pt>
                <c:pt idx="11">
                  <c:v>79.439454999999995</c:v>
                </c:pt>
                <c:pt idx="12">
                  <c:v>14.931150000000001</c:v>
                </c:pt>
                <c:pt idx="13">
                  <c:v>0.98696600000000001</c:v>
                </c:pt>
                <c:pt idx="14">
                  <c:v>4.2365810000000002</c:v>
                </c:pt>
                <c:pt idx="15">
                  <c:v>2.7246670000000002</c:v>
                </c:pt>
                <c:pt idx="16">
                  <c:v>12.433712</c:v>
                </c:pt>
                <c:pt idx="17">
                  <c:v>14.136850000000001</c:v>
                </c:pt>
                <c:pt idx="18">
                  <c:v>28.653824</c:v>
                </c:pt>
                <c:pt idx="19">
                  <c:v>13.475021999999999</c:v>
                </c:pt>
                <c:pt idx="20">
                  <c:v>1.683756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77058</xdr:rowOff>
    </xdr:from>
    <xdr:to>
      <xdr:col>16</xdr:col>
      <xdr:colOff>77922</xdr:colOff>
      <xdr:row>47</xdr:row>
      <xdr:rowOff>173869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U42"/>
  <sheetViews>
    <sheetView showGridLines="0" tabSelected="1" zoomScale="70" zoomScaleNormal="70" workbookViewId="0"/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2.42578125" style="1" customWidth="1"/>
    <col min="8" max="8" width="2" style="1" customWidth="1"/>
    <col min="9" max="9" width="16.570312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67">
        <v>45930</v>
      </c>
      <c r="B1" s="18"/>
      <c r="C1" s="19"/>
      <c r="D1" s="20"/>
      <c r="E1" s="21"/>
      <c r="F1" s="21"/>
      <c r="G1" s="21"/>
      <c r="H1" s="21"/>
      <c r="I1" s="75" t="s">
        <v>17</v>
      </c>
      <c r="J1" s="76"/>
      <c r="K1" s="76"/>
      <c r="L1" s="76"/>
      <c r="M1" s="76"/>
      <c r="N1" s="77"/>
      <c r="O1" s="21"/>
      <c r="P1" s="74" t="s">
        <v>51</v>
      </c>
      <c r="Q1" s="74"/>
      <c r="R1" s="21"/>
      <c r="S1" s="78" t="s">
        <v>53</v>
      </c>
      <c r="T1" s="79"/>
    </row>
    <row r="2" spans="1:21" ht="63.75" x14ac:dyDescent="0.2">
      <c r="A2" s="22" t="s">
        <v>0</v>
      </c>
      <c r="B2" s="22" t="s">
        <v>1</v>
      </c>
      <c r="C2" s="22" t="s">
        <v>2</v>
      </c>
      <c r="D2" s="23" t="s">
        <v>35</v>
      </c>
      <c r="E2" s="23" t="s">
        <v>24</v>
      </c>
      <c r="F2" s="23" t="s">
        <v>56</v>
      </c>
      <c r="G2" s="24" t="s">
        <v>7</v>
      </c>
      <c r="H2" s="21"/>
      <c r="I2" s="24" t="s">
        <v>47</v>
      </c>
      <c r="J2" s="65" t="s">
        <v>87</v>
      </c>
      <c r="K2" s="24" t="s">
        <v>49</v>
      </c>
      <c r="L2" s="24" t="s">
        <v>59</v>
      </c>
      <c r="M2" s="24" t="s">
        <v>60</v>
      </c>
      <c r="N2" s="58" t="s">
        <v>61</v>
      </c>
      <c r="O2" s="21"/>
      <c r="P2" s="24" t="s">
        <v>29</v>
      </c>
      <c r="Q2" s="24" t="s">
        <v>30</v>
      </c>
      <c r="R2" s="21"/>
      <c r="S2" s="24" t="s">
        <v>31</v>
      </c>
      <c r="T2" s="24" t="s">
        <v>32</v>
      </c>
    </row>
    <row r="3" spans="1:21" s="26" customFormat="1" x14ac:dyDescent="0.2">
      <c r="A3" s="25" t="s">
        <v>6</v>
      </c>
      <c r="B3" s="25"/>
      <c r="C3" s="25"/>
      <c r="E3" s="27"/>
      <c r="G3" s="50" t="s">
        <v>55</v>
      </c>
      <c r="I3" s="28">
        <v>2.7747154708547077</v>
      </c>
      <c r="J3" s="28">
        <v>3.4875782709671159</v>
      </c>
      <c r="K3" s="28">
        <v>5.3874101613783321</v>
      </c>
      <c r="L3" s="28">
        <v>0.50369315496803913</v>
      </c>
      <c r="M3" s="28">
        <v>1.0568520777052588</v>
      </c>
      <c r="N3" s="28">
        <v>1.9111664886724584</v>
      </c>
      <c r="P3" s="28">
        <v>5.3226700164571268</v>
      </c>
      <c r="Q3" s="28">
        <v>2.3087387724217229E-2</v>
      </c>
      <c r="S3" s="6"/>
      <c r="T3" s="6"/>
      <c r="U3" s="6"/>
    </row>
    <row r="4" spans="1:21" x14ac:dyDescent="0.2">
      <c r="A4" s="29" t="s">
        <v>3</v>
      </c>
      <c r="B4" s="29" t="s">
        <v>15</v>
      </c>
      <c r="C4" s="29" t="s">
        <v>88</v>
      </c>
      <c r="D4" s="68" t="s">
        <v>99</v>
      </c>
      <c r="E4" s="31">
        <v>0</v>
      </c>
      <c r="F4" s="30">
        <v>9.7180579999999992</v>
      </c>
      <c r="G4" s="32">
        <v>3389</v>
      </c>
      <c r="H4" s="33"/>
      <c r="I4" s="34">
        <v>2.826975476839233</v>
      </c>
      <c r="J4" s="34">
        <v>3.1784005468215915</v>
      </c>
      <c r="K4" s="34">
        <v>4.2972232467028304</v>
      </c>
      <c r="L4" s="34">
        <v>7.9686667334111227E-2</v>
      </c>
      <c r="M4" s="34">
        <v>0.19417429064703118</v>
      </c>
      <c r="N4" s="34" t="s">
        <v>40</v>
      </c>
      <c r="O4" s="33"/>
      <c r="P4" s="34">
        <v>4.3419975895779839</v>
      </c>
      <c r="Q4" s="34">
        <v>0.57847944411222318</v>
      </c>
      <c r="R4" s="33"/>
      <c r="S4" s="34">
        <v>3.4552980499059722</v>
      </c>
      <c r="T4" s="34">
        <v>2.5890259399160982</v>
      </c>
    </row>
    <row r="5" spans="1:21" x14ac:dyDescent="0.2">
      <c r="A5" s="29" t="s">
        <v>97</v>
      </c>
      <c r="B5" s="29" t="s">
        <v>13</v>
      </c>
      <c r="C5" s="29" t="s">
        <v>92</v>
      </c>
      <c r="D5" s="68" t="s">
        <v>100</v>
      </c>
      <c r="E5" s="31">
        <v>0</v>
      </c>
      <c r="F5" s="30">
        <v>14.833485</v>
      </c>
      <c r="G5" s="32">
        <v>3480</v>
      </c>
      <c r="H5" s="33"/>
      <c r="I5" s="34">
        <v>3.1873252562907739</v>
      </c>
      <c r="J5" s="34">
        <v>3.981968444778361</v>
      </c>
      <c r="K5" s="34">
        <v>6.3530189551967098</v>
      </c>
      <c r="L5" s="34">
        <v>0.85989535032788833</v>
      </c>
      <c r="M5" s="34">
        <v>1.6138766876591104</v>
      </c>
      <c r="N5" s="34">
        <v>2.4013978530663005</v>
      </c>
      <c r="O5" s="33"/>
      <c r="P5" s="34">
        <v>6.0034683239273967</v>
      </c>
      <c r="Q5" s="34">
        <v>-0.98782563910193577</v>
      </c>
      <c r="R5" s="33"/>
      <c r="S5" s="34">
        <v>4.0798040282238954</v>
      </c>
      <c r="T5" s="34">
        <v>3.6902687881022094</v>
      </c>
    </row>
    <row r="6" spans="1:21" x14ac:dyDescent="0.2">
      <c r="A6" s="29" t="s">
        <v>23</v>
      </c>
      <c r="B6" s="29" t="s">
        <v>8</v>
      </c>
      <c r="C6" s="29" t="s">
        <v>46</v>
      </c>
      <c r="D6" s="68" t="s">
        <v>101</v>
      </c>
      <c r="E6" s="31" t="s">
        <v>25</v>
      </c>
      <c r="F6" s="30">
        <v>11.165065999999999</v>
      </c>
      <c r="G6" s="32">
        <v>2699</v>
      </c>
      <c r="H6" s="33"/>
      <c r="I6" s="34">
        <v>2.1810506566604104</v>
      </c>
      <c r="J6" s="34">
        <v>3.0998580217699967</v>
      </c>
      <c r="K6" s="34">
        <v>5.0534359697958164</v>
      </c>
      <c r="L6" s="34">
        <v>0.39951103167072954</v>
      </c>
      <c r="M6" s="34">
        <v>1.067683771271799</v>
      </c>
      <c r="N6" s="34">
        <v>1.2598636132335139</v>
      </c>
      <c r="O6" s="33"/>
      <c r="P6" s="34">
        <v>5.2717630215075806</v>
      </c>
      <c r="Q6" s="34">
        <v>0.88273577699593542</v>
      </c>
      <c r="R6" s="33"/>
      <c r="S6" s="34">
        <v>4.3870288080831372</v>
      </c>
      <c r="T6" s="34">
        <v>3.666882535492221</v>
      </c>
    </row>
    <row r="7" spans="1:21" x14ac:dyDescent="0.2">
      <c r="A7" s="6"/>
      <c r="B7" s="6"/>
      <c r="C7" s="6"/>
      <c r="D7" s="69"/>
      <c r="E7" s="36"/>
      <c r="F7" s="35"/>
      <c r="G7" s="37"/>
      <c r="H7" s="33"/>
      <c r="I7" s="38"/>
      <c r="J7" s="38"/>
      <c r="K7" s="38"/>
      <c r="L7" s="38"/>
      <c r="M7" s="38"/>
      <c r="N7" s="38"/>
      <c r="O7" s="33"/>
      <c r="P7" s="38"/>
      <c r="Q7" s="38"/>
      <c r="R7" s="33"/>
      <c r="S7" s="38"/>
      <c r="T7" s="38"/>
    </row>
    <row r="8" spans="1:21" s="26" customFormat="1" x14ac:dyDescent="0.2">
      <c r="A8" s="39" t="s">
        <v>4</v>
      </c>
      <c r="B8" s="25"/>
      <c r="C8" s="25"/>
      <c r="D8" s="70"/>
      <c r="E8" s="40"/>
      <c r="F8" s="41"/>
      <c r="G8" s="50" t="s">
        <v>55</v>
      </c>
      <c r="H8" s="42"/>
      <c r="I8" s="28">
        <v>2.9401067612522929</v>
      </c>
      <c r="J8" s="28">
        <v>6.1616289333763943</v>
      </c>
      <c r="K8" s="28">
        <v>8.7355975903497516</v>
      </c>
      <c r="L8" s="28">
        <v>4.9151026863218368</v>
      </c>
      <c r="M8" s="28">
        <v>4.488702727680427</v>
      </c>
      <c r="N8" s="28">
        <v>4.3819324088380069</v>
      </c>
      <c r="O8" s="42"/>
      <c r="P8" s="28">
        <v>9.8858935260341028</v>
      </c>
      <c r="Q8" s="28">
        <v>5.613990270091751</v>
      </c>
      <c r="R8" s="42"/>
      <c r="S8" s="43"/>
      <c r="T8" s="43"/>
      <c r="U8" s="6"/>
    </row>
    <row r="9" spans="1:21" x14ac:dyDescent="0.2">
      <c r="A9" s="29" t="s">
        <v>3</v>
      </c>
      <c r="B9" s="29" t="s">
        <v>14</v>
      </c>
      <c r="C9" s="29" t="s">
        <v>89</v>
      </c>
      <c r="D9" s="68" t="s">
        <v>101</v>
      </c>
      <c r="E9" s="31" t="s">
        <v>26</v>
      </c>
      <c r="F9" s="30">
        <v>60.836232000000003</v>
      </c>
      <c r="G9" s="32">
        <v>22658</v>
      </c>
      <c r="H9" s="33"/>
      <c r="I9" s="34">
        <v>3.1782065834279116</v>
      </c>
      <c r="J9" s="34">
        <v>6.7259308956725938</v>
      </c>
      <c r="K9" s="34">
        <v>8.7087574503916354</v>
      </c>
      <c r="L9" s="34">
        <v>4.4795295644872724</v>
      </c>
      <c r="M9" s="34">
        <v>3.8812672079281407</v>
      </c>
      <c r="N9" s="34">
        <v>3.9416819273374148</v>
      </c>
      <c r="O9" s="33"/>
      <c r="P9" s="34">
        <v>9.5996585646064716</v>
      </c>
      <c r="Q9" s="34">
        <v>5.8612031072929671</v>
      </c>
      <c r="R9" s="33"/>
      <c r="S9" s="34">
        <v>6.4245936749273316</v>
      </c>
      <c r="T9" s="34">
        <v>5.9599307655077798</v>
      </c>
    </row>
    <row r="10" spans="1:21" x14ac:dyDescent="0.2">
      <c r="A10" s="29" t="s">
        <v>97</v>
      </c>
      <c r="B10" s="29" t="s">
        <v>12</v>
      </c>
      <c r="C10" s="29" t="s">
        <v>93</v>
      </c>
      <c r="D10" s="71" t="s">
        <v>102</v>
      </c>
      <c r="E10" s="31" t="s">
        <v>27</v>
      </c>
      <c r="F10" s="30">
        <v>32.690303999999998</v>
      </c>
      <c r="G10" s="32">
        <v>5821</v>
      </c>
      <c r="H10" s="33"/>
      <c r="I10" s="34">
        <v>4.2799885485256262</v>
      </c>
      <c r="J10" s="34">
        <v>6.990747540020581</v>
      </c>
      <c r="K10" s="34">
        <v>9.7288762243105111</v>
      </c>
      <c r="L10" s="34">
        <v>5.7862366314565206</v>
      </c>
      <c r="M10" s="34">
        <v>5.6191323561320505</v>
      </c>
      <c r="N10" s="34">
        <v>5.2012328482184955</v>
      </c>
      <c r="O10" s="33"/>
      <c r="P10" s="34">
        <v>10.953971397268948</v>
      </c>
      <c r="Q10" s="34">
        <v>4.9541420962639471</v>
      </c>
      <c r="R10" s="33"/>
      <c r="S10" s="34">
        <v>6.5855128078038394</v>
      </c>
      <c r="T10" s="34">
        <v>6.8677002645281355</v>
      </c>
    </row>
    <row r="11" spans="1:21" x14ac:dyDescent="0.2">
      <c r="A11" s="29" t="s">
        <v>39</v>
      </c>
      <c r="B11" s="29" t="s">
        <v>37</v>
      </c>
      <c r="C11" s="57" t="s">
        <v>66</v>
      </c>
      <c r="D11" s="71" t="s">
        <v>103</v>
      </c>
      <c r="E11" s="31" t="s">
        <v>41</v>
      </c>
      <c r="F11" s="30">
        <v>0.98696600000000001</v>
      </c>
      <c r="G11" s="32">
        <v>220</v>
      </c>
      <c r="H11" s="33"/>
      <c r="I11" s="34">
        <v>0.13232514177692334</v>
      </c>
      <c r="J11" s="34">
        <v>1.8751803057986294</v>
      </c>
      <c r="K11" s="34">
        <v>5.5741449691419254</v>
      </c>
      <c r="L11" s="34">
        <v>0.96562138871632008</v>
      </c>
      <c r="M11" s="34" t="s">
        <v>40</v>
      </c>
      <c r="N11" s="34" t="s">
        <v>40</v>
      </c>
      <c r="O11" s="33"/>
      <c r="P11" s="34">
        <v>5.7689812608644697</v>
      </c>
      <c r="Q11" s="34">
        <v>1.3066288370419121</v>
      </c>
      <c r="R11" s="33"/>
      <c r="S11" s="34">
        <v>6.3281201631419632</v>
      </c>
      <c r="T11" s="34" t="s">
        <v>40</v>
      </c>
    </row>
    <row r="12" spans="1:21" x14ac:dyDescent="0.2">
      <c r="A12" s="29" t="s">
        <v>39</v>
      </c>
      <c r="B12" s="29" t="s">
        <v>38</v>
      </c>
      <c r="C12" s="29" t="s">
        <v>72</v>
      </c>
      <c r="D12" s="71" t="s">
        <v>103</v>
      </c>
      <c r="E12" s="31" t="s">
        <v>42</v>
      </c>
      <c r="F12" s="30">
        <v>4.2365810000000002</v>
      </c>
      <c r="G12" s="32">
        <v>1281</v>
      </c>
      <c r="H12" s="33"/>
      <c r="I12" s="34">
        <v>-8.932921877539135E-2</v>
      </c>
      <c r="J12" s="34">
        <v>2.9884480160723204</v>
      </c>
      <c r="K12" s="34">
        <v>7.3068646557591599</v>
      </c>
      <c r="L12" s="34">
        <v>3.973628035657284</v>
      </c>
      <c r="M12" s="34" t="s">
        <v>40</v>
      </c>
      <c r="N12" s="34" t="s">
        <v>40</v>
      </c>
      <c r="O12" s="33"/>
      <c r="P12" s="34">
        <v>9.0966331073863316</v>
      </c>
      <c r="Q12" s="34">
        <v>5.2403577000468715</v>
      </c>
      <c r="R12" s="33"/>
      <c r="S12" s="34">
        <v>8.3317166556272966</v>
      </c>
      <c r="T12" s="34" t="s">
        <v>40</v>
      </c>
    </row>
    <row r="13" spans="1:21" x14ac:dyDescent="0.2">
      <c r="A13" s="29" t="s">
        <v>39</v>
      </c>
      <c r="B13" s="29" t="s">
        <v>70</v>
      </c>
      <c r="C13" s="29" t="s">
        <v>84</v>
      </c>
      <c r="D13" s="71" t="s">
        <v>104</v>
      </c>
      <c r="E13" s="31" t="s">
        <v>41</v>
      </c>
      <c r="F13" s="30">
        <v>2.7246670000000002</v>
      </c>
      <c r="G13" s="32">
        <v>2614</v>
      </c>
      <c r="H13" s="33"/>
      <c r="I13" s="34">
        <v>0.11770031688544957</v>
      </c>
      <c r="J13" s="34">
        <v>2.0204815942429954</v>
      </c>
      <c r="K13" s="34">
        <v>4.586733292485401</v>
      </c>
      <c r="L13" s="34" t="s">
        <v>40</v>
      </c>
      <c r="M13" s="34" t="s">
        <v>40</v>
      </c>
      <c r="N13" s="34" t="s">
        <v>40</v>
      </c>
      <c r="O13" s="33"/>
      <c r="P13" s="34">
        <v>5.7536200469108012</v>
      </c>
      <c r="Q13" s="62" t="s">
        <v>40</v>
      </c>
      <c r="R13" s="33"/>
      <c r="S13" s="34" t="s">
        <v>40</v>
      </c>
      <c r="T13" s="34" t="s">
        <v>40</v>
      </c>
    </row>
    <row r="14" spans="1:21" x14ac:dyDescent="0.2">
      <c r="A14" s="29" t="s">
        <v>39</v>
      </c>
      <c r="B14" s="29" t="s">
        <v>69</v>
      </c>
      <c r="C14" s="29" t="s">
        <v>85</v>
      </c>
      <c r="D14" s="71" t="s">
        <v>104</v>
      </c>
      <c r="E14" s="31" t="s">
        <v>42</v>
      </c>
      <c r="F14" s="30">
        <v>12.433712</v>
      </c>
      <c r="G14" s="32">
        <v>16430</v>
      </c>
      <c r="H14" s="33"/>
      <c r="I14" s="34">
        <v>0.23299965481531348</v>
      </c>
      <c r="J14" s="34">
        <v>3.22609313899751</v>
      </c>
      <c r="K14" s="34">
        <v>7.4487572750257858</v>
      </c>
      <c r="L14" s="34" t="s">
        <v>40</v>
      </c>
      <c r="M14" s="34" t="s">
        <v>40</v>
      </c>
      <c r="N14" s="34" t="s">
        <v>40</v>
      </c>
      <c r="O14" s="33"/>
      <c r="P14" s="34">
        <v>9.096601818271278</v>
      </c>
      <c r="Q14" s="62" t="s">
        <v>40</v>
      </c>
      <c r="R14" s="33"/>
      <c r="S14" s="34" t="s">
        <v>40</v>
      </c>
      <c r="T14" s="34" t="s">
        <v>40</v>
      </c>
    </row>
    <row r="15" spans="1:21" x14ac:dyDescent="0.2">
      <c r="A15" s="29" t="s">
        <v>23</v>
      </c>
      <c r="B15" s="29" t="s">
        <v>43</v>
      </c>
      <c r="C15" s="29" t="s">
        <v>44</v>
      </c>
      <c r="D15" s="71" t="s">
        <v>105</v>
      </c>
      <c r="E15" s="31" t="s">
        <v>58</v>
      </c>
      <c r="F15" s="30">
        <v>7.3315279999999996</v>
      </c>
      <c r="G15" s="32">
        <v>3845</v>
      </c>
      <c r="H15" s="33"/>
      <c r="I15" s="34">
        <v>2.741969945160605</v>
      </c>
      <c r="J15" s="34">
        <v>6.5042451088962672</v>
      </c>
      <c r="K15" s="34">
        <v>9.2046817074150855</v>
      </c>
      <c r="L15" s="34">
        <v>5.7208871526812644</v>
      </c>
      <c r="M15" s="34" t="s">
        <v>40</v>
      </c>
      <c r="N15" s="34" t="s">
        <v>40</v>
      </c>
      <c r="O15" s="33"/>
      <c r="P15" s="34">
        <v>11.16999844709634</v>
      </c>
      <c r="Q15" s="34">
        <v>7.3005805429910975</v>
      </c>
      <c r="R15" s="33"/>
      <c r="S15" s="34">
        <v>7.856868292216272</v>
      </c>
      <c r="T15" s="34" t="s">
        <v>40</v>
      </c>
    </row>
    <row r="16" spans="1:21" x14ac:dyDescent="0.2">
      <c r="A16" s="29" t="s">
        <v>81</v>
      </c>
      <c r="B16" s="29" t="s">
        <v>83</v>
      </c>
      <c r="C16" s="29" t="s">
        <v>80</v>
      </c>
      <c r="D16" s="71" t="s">
        <v>106</v>
      </c>
      <c r="E16" s="31" t="s">
        <v>42</v>
      </c>
      <c r="F16" s="30">
        <v>1.683756</v>
      </c>
      <c r="G16" s="32">
        <v>669</v>
      </c>
      <c r="H16" s="33"/>
      <c r="I16" s="34">
        <v>3.0122967731286643</v>
      </c>
      <c r="J16" s="34">
        <v>7.0589244360579784</v>
      </c>
      <c r="K16" s="34">
        <v>10.042695355704701</v>
      </c>
      <c r="L16" s="34" t="s">
        <v>40</v>
      </c>
      <c r="M16" s="34" t="s">
        <v>40</v>
      </c>
      <c r="N16" s="34" t="s">
        <v>40</v>
      </c>
      <c r="O16" s="33"/>
      <c r="P16" s="34">
        <v>10.814251385564312</v>
      </c>
      <c r="Q16" s="62" t="s">
        <v>40</v>
      </c>
      <c r="R16" s="33"/>
      <c r="S16" s="34" t="s">
        <v>40</v>
      </c>
      <c r="T16" s="34" t="s">
        <v>40</v>
      </c>
    </row>
    <row r="17" spans="1:21" x14ac:dyDescent="0.2">
      <c r="A17" s="6"/>
      <c r="B17" s="6"/>
      <c r="C17" s="6"/>
      <c r="D17" s="72"/>
      <c r="E17" s="36"/>
      <c r="F17" s="35"/>
      <c r="G17" s="51"/>
      <c r="H17" s="33"/>
      <c r="I17" s="38"/>
      <c r="J17" s="38"/>
      <c r="K17" s="38"/>
      <c r="L17" s="38"/>
      <c r="M17" s="38"/>
      <c r="N17" s="38"/>
      <c r="O17" s="33"/>
      <c r="P17" s="38"/>
      <c r="Q17" s="38"/>
      <c r="R17" s="33"/>
      <c r="S17" s="38"/>
      <c r="T17" s="38"/>
    </row>
    <row r="18" spans="1:21" s="26" customFormat="1" x14ac:dyDescent="0.2">
      <c r="A18" s="25" t="s">
        <v>5</v>
      </c>
      <c r="B18" s="25"/>
      <c r="C18" s="25"/>
      <c r="D18" s="73"/>
      <c r="E18" s="40"/>
      <c r="F18" s="41"/>
      <c r="G18" s="50" t="s">
        <v>55</v>
      </c>
      <c r="H18" s="42"/>
      <c r="I18" s="28">
        <v>2.5325152245335367</v>
      </c>
      <c r="J18" s="28">
        <v>8.0068245189508804</v>
      </c>
      <c r="K18" s="28">
        <v>12.302546541764528</v>
      </c>
      <c r="L18" s="28">
        <v>10.600731170735839</v>
      </c>
      <c r="M18" s="28">
        <v>8.9806502223405555</v>
      </c>
      <c r="N18" s="28">
        <v>7.5728455528416738</v>
      </c>
      <c r="O18" s="42"/>
      <c r="P18" s="28">
        <v>16.108688367615738</v>
      </c>
      <c r="Q18" s="28">
        <v>13.15927891062082</v>
      </c>
      <c r="R18" s="42"/>
      <c r="S18" s="43"/>
      <c r="T18" s="43"/>
      <c r="U18" s="6"/>
    </row>
    <row r="19" spans="1:21" x14ac:dyDescent="0.2">
      <c r="A19" s="29" t="s">
        <v>3</v>
      </c>
      <c r="B19" s="29" t="s">
        <v>16</v>
      </c>
      <c r="C19" s="29" t="s">
        <v>90</v>
      </c>
      <c r="D19" s="71" t="s">
        <v>102</v>
      </c>
      <c r="E19" s="31" t="s">
        <v>28</v>
      </c>
      <c r="F19" s="30">
        <v>22.515688999999998</v>
      </c>
      <c r="G19" s="32">
        <v>5908</v>
      </c>
      <c r="H19" s="33"/>
      <c r="I19" s="34">
        <v>1.9889188805227942</v>
      </c>
      <c r="J19" s="34">
        <v>8.8717015468607876</v>
      </c>
      <c r="K19" s="34">
        <v>12.739319522262239</v>
      </c>
      <c r="L19" s="34">
        <v>9.6412500056801456</v>
      </c>
      <c r="M19" s="34">
        <v>8.4392495700138959</v>
      </c>
      <c r="N19" s="34">
        <v>7.3431045038110154</v>
      </c>
      <c r="O19" s="33"/>
      <c r="P19" s="34">
        <v>15.662462580118476</v>
      </c>
      <c r="Q19" s="34">
        <v>12.705412945738349</v>
      </c>
      <c r="R19" s="33"/>
      <c r="S19" s="34">
        <v>11.543300653322383</v>
      </c>
      <c r="T19" s="34">
        <v>12.502808732124739</v>
      </c>
    </row>
    <row r="20" spans="1:21" x14ac:dyDescent="0.2">
      <c r="A20" s="29" t="s">
        <v>97</v>
      </c>
      <c r="B20" s="29" t="s">
        <v>10</v>
      </c>
      <c r="C20" s="29" t="s">
        <v>94</v>
      </c>
      <c r="D20" s="71" t="s">
        <v>100</v>
      </c>
      <c r="E20" s="31" t="s">
        <v>28</v>
      </c>
      <c r="F20" s="30">
        <v>22.033467000000002</v>
      </c>
      <c r="G20" s="32">
        <v>6881</v>
      </c>
      <c r="H20" s="33"/>
      <c r="I20" s="34">
        <v>5.5280668827845325</v>
      </c>
      <c r="J20" s="34">
        <v>10.723236663086301</v>
      </c>
      <c r="K20" s="34">
        <v>14.781562385026859</v>
      </c>
      <c r="L20" s="34">
        <v>12.792250086755663</v>
      </c>
      <c r="M20" s="34">
        <v>9.8198152720545107</v>
      </c>
      <c r="N20" s="34">
        <v>6.9610652423556019</v>
      </c>
      <c r="O20" s="33"/>
      <c r="P20" s="34">
        <v>25.499885776736122</v>
      </c>
      <c r="Q20" s="34">
        <v>16.768538424475388</v>
      </c>
      <c r="R20" s="33"/>
      <c r="S20" s="34">
        <v>9.4113900810269424</v>
      </c>
      <c r="T20" s="34">
        <v>10.423652857029877</v>
      </c>
    </row>
    <row r="21" spans="1:21" x14ac:dyDescent="0.2">
      <c r="A21" s="29" t="s">
        <v>97</v>
      </c>
      <c r="B21" s="29" t="s">
        <v>11</v>
      </c>
      <c r="C21" s="29" t="s">
        <v>95</v>
      </c>
      <c r="D21" s="71" t="s">
        <v>102</v>
      </c>
      <c r="E21" s="31" t="s">
        <v>28</v>
      </c>
      <c r="F21" s="30">
        <v>114.464449</v>
      </c>
      <c r="G21" s="32">
        <v>21675</v>
      </c>
      <c r="H21" s="33"/>
      <c r="I21" s="34">
        <v>3.3731688511950519</v>
      </c>
      <c r="J21" s="34">
        <v>7.8965898802937362</v>
      </c>
      <c r="K21" s="34">
        <v>11.749555455708393</v>
      </c>
      <c r="L21" s="34">
        <v>10.662563731317753</v>
      </c>
      <c r="M21" s="34">
        <v>9.2949058551116348</v>
      </c>
      <c r="N21" s="34">
        <v>7.9475715389882406</v>
      </c>
      <c r="O21" s="33"/>
      <c r="P21" s="34">
        <v>14.558711496047284</v>
      </c>
      <c r="Q21" s="34">
        <v>12.424972078174479</v>
      </c>
      <c r="R21" s="33"/>
      <c r="S21" s="34">
        <v>10.439205472498122</v>
      </c>
      <c r="T21" s="34">
        <v>11.377149655666457</v>
      </c>
    </row>
    <row r="22" spans="1:21" x14ac:dyDescent="0.2">
      <c r="A22" s="29" t="s">
        <v>97</v>
      </c>
      <c r="B22" s="29" t="s">
        <v>91</v>
      </c>
      <c r="C22" s="29" t="s">
        <v>96</v>
      </c>
      <c r="D22" s="71" t="s">
        <v>107</v>
      </c>
      <c r="E22" s="31" t="s">
        <v>28</v>
      </c>
      <c r="F22" s="30">
        <v>8.9904580000000003</v>
      </c>
      <c r="G22" s="32">
        <v>4709</v>
      </c>
      <c r="H22" s="33"/>
      <c r="I22" s="34">
        <v>3.2865692141665681</v>
      </c>
      <c r="J22" s="34" t="s">
        <v>40</v>
      </c>
      <c r="K22" s="34" t="s">
        <v>40</v>
      </c>
      <c r="L22" s="34" t="s">
        <v>40</v>
      </c>
      <c r="M22" s="34" t="s">
        <v>40</v>
      </c>
      <c r="N22" s="34" t="s">
        <v>40</v>
      </c>
      <c r="O22" s="33"/>
      <c r="P22" s="34" t="s">
        <v>40</v>
      </c>
      <c r="Q22" s="34" t="s">
        <v>40</v>
      </c>
      <c r="R22" s="33"/>
      <c r="S22" s="34" t="s">
        <v>40</v>
      </c>
      <c r="T22" s="34" t="s">
        <v>40</v>
      </c>
    </row>
    <row r="23" spans="1:21" x14ac:dyDescent="0.2">
      <c r="A23" s="29" t="s">
        <v>23</v>
      </c>
      <c r="B23" s="29" t="s">
        <v>9</v>
      </c>
      <c r="C23" s="29" t="s">
        <v>45</v>
      </c>
      <c r="D23" s="71" t="s">
        <v>101</v>
      </c>
      <c r="E23" s="31" t="s">
        <v>28</v>
      </c>
      <c r="F23" s="30">
        <v>79.439454999999995</v>
      </c>
      <c r="G23" s="32">
        <v>18690</v>
      </c>
      <c r="H23" s="33"/>
      <c r="I23" s="34">
        <v>2.2666666666666613</v>
      </c>
      <c r="J23" s="34">
        <v>8.5574305933587382</v>
      </c>
      <c r="K23" s="34">
        <v>12.515812004425818</v>
      </c>
      <c r="L23" s="34">
        <v>10.381331042713992</v>
      </c>
      <c r="M23" s="34">
        <v>8.4485367458756233</v>
      </c>
      <c r="N23" s="34">
        <v>7.2677026709148551</v>
      </c>
      <c r="O23" s="33"/>
      <c r="P23" s="34">
        <v>16.554591015326061</v>
      </c>
      <c r="Q23" s="34">
        <v>13.608709369711081</v>
      </c>
      <c r="R23" s="33"/>
      <c r="S23" s="34">
        <v>11.835902577913492</v>
      </c>
      <c r="T23" s="34">
        <v>11.572235141251678</v>
      </c>
    </row>
    <row r="24" spans="1:21" x14ac:dyDescent="0.2">
      <c r="A24" s="29" t="s">
        <v>23</v>
      </c>
      <c r="B24" s="29" t="s">
        <v>65</v>
      </c>
      <c r="C24" s="29" t="s">
        <v>71</v>
      </c>
      <c r="D24" s="71" t="s">
        <v>108</v>
      </c>
      <c r="E24" s="31" t="s">
        <v>28</v>
      </c>
      <c r="F24" s="30">
        <v>14.931150000000001</v>
      </c>
      <c r="G24" s="32">
        <v>6546</v>
      </c>
      <c r="H24" s="33"/>
      <c r="I24" s="62">
        <v>1.4491580310880936</v>
      </c>
      <c r="J24" s="62">
        <v>8.1470613618710672</v>
      </c>
      <c r="K24" s="62">
        <v>14.343818453282431</v>
      </c>
      <c r="L24" s="62" t="s">
        <v>40</v>
      </c>
      <c r="M24" s="62" t="s">
        <v>40</v>
      </c>
      <c r="N24" s="62" t="s">
        <v>40</v>
      </c>
      <c r="O24" s="33"/>
      <c r="P24" s="34">
        <v>18.769834287156549</v>
      </c>
      <c r="Q24" s="34" t="s">
        <v>40</v>
      </c>
      <c r="R24" s="33"/>
      <c r="S24" s="34" t="s">
        <v>40</v>
      </c>
      <c r="T24" s="62" t="s">
        <v>40</v>
      </c>
    </row>
    <row r="25" spans="1:21" x14ac:dyDescent="0.2">
      <c r="A25" s="29" t="s">
        <v>39</v>
      </c>
      <c r="B25" s="29" t="s">
        <v>36</v>
      </c>
      <c r="C25" s="29" t="s">
        <v>67</v>
      </c>
      <c r="D25" s="71" t="s">
        <v>103</v>
      </c>
      <c r="E25" s="31" t="s">
        <v>28</v>
      </c>
      <c r="F25" s="30">
        <v>14.136850000000001</v>
      </c>
      <c r="G25" s="32">
        <v>3596</v>
      </c>
      <c r="H25" s="33"/>
      <c r="I25" s="34">
        <v>-0.36094343145186558</v>
      </c>
      <c r="J25" s="34">
        <v>4.9557522123893749</v>
      </c>
      <c r="K25" s="34">
        <v>10.679820204502665</v>
      </c>
      <c r="L25" s="34">
        <v>9.4454537516128312</v>
      </c>
      <c r="M25" s="34" t="s">
        <v>40</v>
      </c>
      <c r="N25" s="34" t="s">
        <v>40</v>
      </c>
      <c r="O25" s="33"/>
      <c r="P25" s="34">
        <v>14.565328509801123</v>
      </c>
      <c r="Q25" s="34">
        <v>11.676920447625449</v>
      </c>
      <c r="R25" s="33"/>
      <c r="S25" s="62">
        <v>12.516338984214196</v>
      </c>
      <c r="T25" s="62" t="s">
        <v>40</v>
      </c>
    </row>
    <row r="26" spans="1:21" x14ac:dyDescent="0.2">
      <c r="A26" s="29" t="s">
        <v>39</v>
      </c>
      <c r="B26" s="29" t="s">
        <v>68</v>
      </c>
      <c r="C26" s="29" t="s">
        <v>86</v>
      </c>
      <c r="D26" s="71" t="s">
        <v>104</v>
      </c>
      <c r="E26" s="31" t="s">
        <v>28</v>
      </c>
      <c r="F26" s="30">
        <v>28.653824</v>
      </c>
      <c r="G26" s="32">
        <v>42596</v>
      </c>
      <c r="H26" s="33"/>
      <c r="I26" s="34">
        <v>-0.14920684780901361</v>
      </c>
      <c r="J26" s="34">
        <v>5.3700174028341818</v>
      </c>
      <c r="K26" s="34">
        <v>10.912974098360451</v>
      </c>
      <c r="L26" s="34" t="s">
        <v>40</v>
      </c>
      <c r="M26" s="34" t="s">
        <v>40</v>
      </c>
      <c r="N26" s="34" t="s">
        <v>40</v>
      </c>
      <c r="O26" s="33"/>
      <c r="P26" s="34">
        <v>14.58202065554508</v>
      </c>
      <c r="Q26" s="62" t="s">
        <v>40</v>
      </c>
      <c r="R26" s="33"/>
      <c r="S26" s="62" t="s">
        <v>40</v>
      </c>
      <c r="T26" s="62" t="s">
        <v>40</v>
      </c>
    </row>
    <row r="27" spans="1:21" x14ac:dyDescent="0.2">
      <c r="A27" s="29" t="s">
        <v>3</v>
      </c>
      <c r="B27" s="29" t="s">
        <v>63</v>
      </c>
      <c r="C27" s="29" t="s">
        <v>64</v>
      </c>
      <c r="D27" s="71" t="s">
        <v>109</v>
      </c>
      <c r="E27" s="31" t="s">
        <v>28</v>
      </c>
      <c r="F27" s="30">
        <v>5.4311509999999998</v>
      </c>
      <c r="G27" s="32">
        <v>1556</v>
      </c>
      <c r="H27" s="33"/>
      <c r="I27" s="34">
        <v>-0.82168637690062107</v>
      </c>
      <c r="J27" s="34">
        <v>3.4358481499279225</v>
      </c>
      <c r="K27" s="34">
        <v>10.285760667589328</v>
      </c>
      <c r="L27" s="34" t="s">
        <v>40</v>
      </c>
      <c r="M27" s="34" t="s">
        <v>40</v>
      </c>
      <c r="N27" s="34" t="s">
        <v>40</v>
      </c>
      <c r="O27" s="33"/>
      <c r="P27" s="34">
        <v>10.760019906351982</v>
      </c>
      <c r="Q27" s="62" t="s">
        <v>40</v>
      </c>
      <c r="R27" s="33"/>
      <c r="S27" s="62" t="s">
        <v>40</v>
      </c>
      <c r="T27" s="62" t="s">
        <v>40</v>
      </c>
    </row>
    <row r="28" spans="1:21" x14ac:dyDescent="0.2">
      <c r="A28" s="29" t="s">
        <v>81</v>
      </c>
      <c r="B28" s="29" t="s">
        <v>82</v>
      </c>
      <c r="C28" s="29" t="s">
        <v>79</v>
      </c>
      <c r="D28" s="71" t="s">
        <v>106</v>
      </c>
      <c r="E28" s="31" t="s">
        <v>28</v>
      </c>
      <c r="F28" s="30">
        <v>13.475021999999999</v>
      </c>
      <c r="G28" s="32">
        <v>5431</v>
      </c>
      <c r="H28" s="33"/>
      <c r="I28" s="34">
        <v>3.7563057819169687</v>
      </c>
      <c r="J28" s="34">
        <v>10.305280528052796</v>
      </c>
      <c r="K28" s="34">
        <v>14.167649547965633</v>
      </c>
      <c r="L28" s="34" t="s">
        <v>40</v>
      </c>
      <c r="M28" s="34" t="s">
        <v>40</v>
      </c>
      <c r="N28" s="34" t="s">
        <v>40</v>
      </c>
      <c r="O28" s="33"/>
      <c r="P28" s="34" t="s">
        <v>40</v>
      </c>
      <c r="Q28" s="62" t="s">
        <v>40</v>
      </c>
      <c r="R28" s="33"/>
      <c r="S28" s="62" t="s">
        <v>40</v>
      </c>
      <c r="T28" s="62" t="s">
        <v>40</v>
      </c>
    </row>
    <row r="29" spans="1:21" x14ac:dyDescent="0.2">
      <c r="D29" s="7"/>
      <c r="E29" s="8"/>
      <c r="F29" s="7"/>
      <c r="G29" s="7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7" customFormat="1" x14ac:dyDescent="0.25">
      <c r="A31" s="5"/>
      <c r="B31" s="5"/>
      <c r="C31" s="5"/>
      <c r="D31" s="44"/>
      <c r="E31" s="45"/>
      <c r="F31" s="46"/>
      <c r="G31" s="47" t="s">
        <v>62</v>
      </c>
      <c r="H31" s="46"/>
      <c r="I31" s="48">
        <v>2.654230172270212</v>
      </c>
      <c r="J31" s="48">
        <v>7.1872911500529755</v>
      </c>
      <c r="K31" s="48">
        <v>10.855603397935081</v>
      </c>
      <c r="L31" s="48">
        <v>8.1570151591980675</v>
      </c>
      <c r="M31" s="48">
        <v>7.0683990768703309</v>
      </c>
      <c r="N31" s="48">
        <v>6.5755070105459428</v>
      </c>
      <c r="O31" s="48"/>
      <c r="P31" s="48">
        <v>13.609658983307371</v>
      </c>
      <c r="Q31" s="48">
        <v>9.9401237326499832</v>
      </c>
      <c r="R31" s="46"/>
      <c r="S31" s="49"/>
      <c r="T31" s="49"/>
      <c r="U31" s="5"/>
    </row>
    <row r="33" spans="1:21" x14ac:dyDescent="0.2">
      <c r="A33" s="16" t="s">
        <v>21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21" x14ac:dyDescent="0.2">
      <c r="A34" s="16" t="s">
        <v>48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21" x14ac:dyDescent="0.2">
      <c r="A35" s="16" t="s">
        <v>50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21" x14ac:dyDescent="0.2">
      <c r="A36" s="16" t="s">
        <v>52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21" x14ac:dyDescent="0.2">
      <c r="A37" s="16" t="s">
        <v>54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P37" s="1"/>
      <c r="Q37" s="1"/>
      <c r="S37" s="1"/>
      <c r="T37" s="1"/>
      <c r="U37" s="1"/>
    </row>
    <row r="38" spans="1:21" x14ac:dyDescent="0.2">
      <c r="A38" s="16" t="s">
        <v>98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P38" s="1"/>
      <c r="Q38" s="1"/>
      <c r="S38" s="1"/>
      <c r="T38" s="1"/>
      <c r="U38" s="1"/>
    </row>
    <row r="39" spans="1:21" x14ac:dyDescent="0.2">
      <c r="A39" s="16" t="s">
        <v>57</v>
      </c>
      <c r="P39" s="1"/>
      <c r="Q39" s="1"/>
      <c r="S39" s="1"/>
      <c r="T39" s="1"/>
      <c r="U39" s="1"/>
    </row>
    <row r="40" spans="1:21" x14ac:dyDescent="0.2">
      <c r="A40" s="66"/>
      <c r="P40" s="1"/>
      <c r="Q40" s="1"/>
      <c r="S40" s="1"/>
      <c r="T40" s="1"/>
      <c r="U40" s="1"/>
    </row>
    <row r="41" spans="1:21" x14ac:dyDescent="0.2">
      <c r="A41" s="63"/>
    </row>
    <row r="42" spans="1:21" x14ac:dyDescent="0.2">
      <c r="A42" s="63"/>
    </row>
  </sheetData>
  <mergeCells count="3">
    <mergeCell ref="P1:Q1"/>
    <mergeCell ref="I1:N1"/>
    <mergeCell ref="S1:T1"/>
  </mergeCells>
  <phoneticPr fontId="16" type="noConversion"/>
  <conditionalFormatting sqref="I4:N6 I9:N16 P9:Q16 S9:T16">
    <cfRule type="cellIs" dxfId="15" priority="37" operator="greaterThanOrEqual">
      <formula>0</formula>
    </cfRule>
    <cfRule type="cellIs" dxfId="14" priority="38" operator="lessThan">
      <formula>0</formula>
    </cfRule>
  </conditionalFormatting>
  <conditionalFormatting sqref="I19:N28">
    <cfRule type="cellIs" dxfId="13" priority="35" operator="greaterThanOrEqual">
      <formula>0</formula>
    </cfRule>
    <cfRule type="cellIs" dxfId="12" priority="36" operator="lessThan">
      <formula>0</formula>
    </cfRule>
  </conditionalFormatting>
  <conditionalFormatting sqref="I32:T40 I41:K41 M41:T41 I42:T1048576">
    <cfRule type="duplicateValues" dxfId="11" priority="269"/>
  </conditionalFormatting>
  <conditionalFormatting sqref="P4:Q6">
    <cfRule type="cellIs" dxfId="10" priority="226" operator="greaterThanOrEqual">
      <formula>0</formula>
    </cfRule>
    <cfRule type="cellIs" dxfId="9" priority="227" operator="lessThan">
      <formula>0</formula>
    </cfRule>
  </conditionalFormatting>
  <conditionalFormatting sqref="P19:Q28">
    <cfRule type="cellIs" dxfId="8" priority="1" operator="greaterThanOrEqual">
      <formula>0</formula>
    </cfRule>
    <cfRule type="cellIs" dxfId="7" priority="2" operator="lessThan">
      <formula>0</formula>
    </cfRule>
  </conditionalFormatting>
  <conditionalFormatting sqref="S4:T6">
    <cfRule type="cellIs" dxfId="6" priority="220" operator="greaterThanOrEqual">
      <formula>0</formula>
    </cfRule>
    <cfRule type="cellIs" dxfId="5" priority="221" operator="lessThan">
      <formula>0</formula>
    </cfRule>
  </conditionalFormatting>
  <conditionalFormatting sqref="S19:T28">
    <cfRule type="cellIs" dxfId="4" priority="67" operator="greaterThanOrEqual">
      <formula>0</formula>
    </cfRule>
    <cfRule type="cellIs" dxfId="3" priority="68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5"/>
  <sheetViews>
    <sheetView showGridLines="0" zoomScale="70" zoomScaleNormal="70" workbookViewId="0"/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0" customFormat="1" ht="14.25" x14ac:dyDescent="0.2">
      <c r="A1" s="22" t="s">
        <v>19</v>
      </c>
      <c r="B1" s="22" t="s">
        <v>18</v>
      </c>
      <c r="C1" s="22" t="s">
        <v>7</v>
      </c>
      <c r="E1" s="11"/>
      <c r="G1" s="12"/>
      <c r="I1" s="13"/>
      <c r="J1" s="13"/>
      <c r="K1" s="13"/>
      <c r="L1" s="13"/>
      <c r="N1" s="13"/>
      <c r="O1" s="13"/>
      <c r="Q1" s="14"/>
      <c r="R1" s="14"/>
      <c r="S1" s="14"/>
      <c r="T1" s="14"/>
    </row>
    <row r="2" spans="1:20" s="9" customFormat="1" x14ac:dyDescent="0.25">
      <c r="A2" s="29" t="s">
        <v>3</v>
      </c>
      <c r="B2" s="52">
        <v>98.501130000000003</v>
      </c>
      <c r="C2" s="53">
        <v>33511</v>
      </c>
      <c r="G2" s="6"/>
      <c r="H2" s="6"/>
      <c r="I2" s="6"/>
    </row>
    <row r="3" spans="1:20" s="9" customFormat="1" x14ac:dyDescent="0.25">
      <c r="A3" s="29" t="s">
        <v>97</v>
      </c>
      <c r="B3" s="52">
        <v>193.01216299999999</v>
      </c>
      <c r="C3" s="53">
        <v>42566</v>
      </c>
      <c r="G3" s="6"/>
      <c r="H3" s="6"/>
      <c r="I3" s="6"/>
    </row>
    <row r="4" spans="1:20" s="9" customFormat="1" x14ac:dyDescent="0.25">
      <c r="A4" s="29" t="s">
        <v>23</v>
      </c>
      <c r="B4" s="52">
        <v>112.867199</v>
      </c>
      <c r="C4" s="53">
        <v>31780</v>
      </c>
      <c r="E4" s="6"/>
      <c r="F4" s="6"/>
      <c r="G4" s="6"/>
      <c r="H4" s="6"/>
      <c r="I4" s="6"/>
      <c r="O4" s="6"/>
      <c r="P4" s="61"/>
    </row>
    <row r="5" spans="1:20" s="9" customFormat="1" x14ac:dyDescent="0.25">
      <c r="A5" s="29" t="s">
        <v>39</v>
      </c>
      <c r="B5" s="52">
        <v>63.172600000000003</v>
      </c>
      <c r="C5" s="53">
        <v>66737</v>
      </c>
      <c r="E5" s="6"/>
      <c r="F5" s="6"/>
      <c r="G5" s="6"/>
      <c r="H5" s="6"/>
      <c r="I5" s="6"/>
      <c r="O5" s="59"/>
      <c r="P5" s="61"/>
    </row>
    <row r="6" spans="1:20" s="9" customFormat="1" x14ac:dyDescent="0.25">
      <c r="A6" s="29" t="s">
        <v>81</v>
      </c>
      <c r="B6" s="52">
        <v>15.158778</v>
      </c>
      <c r="C6" s="53">
        <v>6100</v>
      </c>
      <c r="E6" s="6"/>
      <c r="F6" s="6"/>
      <c r="G6" s="6"/>
      <c r="H6" s="6"/>
      <c r="I6" s="6"/>
      <c r="O6" s="59"/>
      <c r="P6" s="61"/>
    </row>
    <row r="7" spans="1:20" s="10" customFormat="1" ht="14.25" x14ac:dyDescent="0.2">
      <c r="A7" s="56" t="s">
        <v>22</v>
      </c>
      <c r="B7" s="54">
        <v>482.71186999999998</v>
      </c>
      <c r="C7" s="55">
        <v>180694</v>
      </c>
      <c r="E7" s="11"/>
      <c r="G7" s="12"/>
      <c r="I7" s="13"/>
      <c r="J7" s="13"/>
      <c r="K7" s="13"/>
      <c r="L7" s="13"/>
      <c r="N7" s="13"/>
      <c r="O7" s="60"/>
      <c r="P7" s="60"/>
      <c r="Q7" s="14"/>
      <c r="R7" s="14"/>
      <c r="S7" s="14"/>
      <c r="T7" s="14"/>
    </row>
    <row r="8" spans="1:20" s="9" customFormat="1" x14ac:dyDescent="0.25">
      <c r="B8" s="15"/>
      <c r="E8" s="6"/>
      <c r="F8" s="6"/>
      <c r="G8" s="6"/>
      <c r="H8" s="6"/>
      <c r="I8" s="6"/>
    </row>
    <row r="9" spans="1:20" s="10" customFormat="1" ht="22.7" customHeight="1" x14ac:dyDescent="0.2">
      <c r="E9" s="11"/>
      <c r="G9" s="12"/>
      <c r="I9" s="13"/>
      <c r="J9" s="13"/>
      <c r="K9" s="13"/>
      <c r="L9" s="13"/>
      <c r="N9" s="13"/>
      <c r="O9" s="13"/>
      <c r="Q9" s="14"/>
      <c r="R9" s="14"/>
      <c r="S9" s="14"/>
      <c r="T9" s="14"/>
    </row>
    <row r="10" spans="1:20" s="9" customFormat="1" x14ac:dyDescent="0.25"/>
    <row r="11" spans="1:20" s="9" customFormat="1" x14ac:dyDescent="0.25"/>
    <row r="12" spans="1:20" s="9" customFormat="1" x14ac:dyDescent="0.25"/>
    <row r="13" spans="1:20" s="9" customFormat="1" x14ac:dyDescent="0.25"/>
    <row r="14" spans="1:20" s="9" customFormat="1" x14ac:dyDescent="0.25"/>
    <row r="15" spans="1:20" s="9" customFormat="1" x14ac:dyDescent="0.25"/>
    <row r="16" spans="1:20" s="9" customFormat="1" x14ac:dyDescent="0.25"/>
    <row r="17" spans="1:3" s="9" customFormat="1" x14ac:dyDescent="0.25"/>
    <row r="18" spans="1:3" s="9" customFormat="1" x14ac:dyDescent="0.25"/>
    <row r="19" spans="1:3" s="9" customFormat="1" x14ac:dyDescent="0.25"/>
    <row r="20" spans="1:3" s="9" customFormat="1" x14ac:dyDescent="0.25"/>
    <row r="21" spans="1:3" s="9" customFormat="1" x14ac:dyDescent="0.25"/>
    <row r="22" spans="1:3" ht="33" customHeight="1" x14ac:dyDescent="0.25">
      <c r="A22" s="22" t="s">
        <v>20</v>
      </c>
      <c r="B22" s="22" t="s">
        <v>33</v>
      </c>
      <c r="C22" s="22" t="s">
        <v>34</v>
      </c>
    </row>
    <row r="23" spans="1:3" x14ac:dyDescent="0.25">
      <c r="A23" s="29" t="s">
        <v>92</v>
      </c>
      <c r="B23" s="52">
        <v>14.833485</v>
      </c>
      <c r="C23" s="53">
        <v>3480</v>
      </c>
    </row>
    <row r="24" spans="1:3" x14ac:dyDescent="0.25">
      <c r="A24" s="29" t="e">
        <v>#REF!</v>
      </c>
      <c r="B24" s="52"/>
      <c r="C24" s="53"/>
    </row>
    <row r="25" spans="1:3" x14ac:dyDescent="0.25">
      <c r="A25" s="29" t="s">
        <v>93</v>
      </c>
      <c r="B25" s="52">
        <v>32.690303999999998</v>
      </c>
      <c r="C25" s="53">
        <v>5821</v>
      </c>
    </row>
    <row r="26" spans="1:3" x14ac:dyDescent="0.25">
      <c r="A26" s="29" t="s">
        <v>94</v>
      </c>
      <c r="B26" s="52">
        <v>22.033467000000002</v>
      </c>
      <c r="C26" s="53">
        <v>6881</v>
      </c>
    </row>
    <row r="27" spans="1:3" x14ac:dyDescent="0.25">
      <c r="A27" s="29" t="s">
        <v>95</v>
      </c>
      <c r="B27" s="52">
        <v>114.464449</v>
      </c>
      <c r="C27" s="53">
        <v>21675</v>
      </c>
    </row>
    <row r="28" spans="1:3" x14ac:dyDescent="0.25">
      <c r="A28" s="29" t="s">
        <v>96</v>
      </c>
      <c r="B28" s="52">
        <v>8.9904580000000003</v>
      </c>
      <c r="C28" s="53">
        <v>4709</v>
      </c>
    </row>
    <row r="29" spans="1:3" x14ac:dyDescent="0.25">
      <c r="A29" s="29" t="s">
        <v>88</v>
      </c>
      <c r="B29" s="52">
        <v>9.7180579999999992</v>
      </c>
      <c r="C29" s="53">
        <v>3389</v>
      </c>
    </row>
    <row r="30" spans="1:3" x14ac:dyDescent="0.25">
      <c r="A30" s="29" t="s">
        <v>89</v>
      </c>
      <c r="B30" s="52">
        <v>60.836232000000003</v>
      </c>
      <c r="C30" s="53">
        <v>22658</v>
      </c>
    </row>
    <row r="31" spans="1:3" x14ac:dyDescent="0.25">
      <c r="A31" s="29" t="s">
        <v>90</v>
      </c>
      <c r="B31" s="52">
        <v>22.515688999999998</v>
      </c>
      <c r="C31" s="53">
        <v>5908</v>
      </c>
    </row>
    <row r="32" spans="1:3" x14ac:dyDescent="0.25">
      <c r="A32" s="29" t="s">
        <v>64</v>
      </c>
      <c r="B32" s="52">
        <v>5.4311509999999998</v>
      </c>
      <c r="C32" s="53">
        <v>1556</v>
      </c>
    </row>
    <row r="33" spans="1:3" x14ac:dyDescent="0.25">
      <c r="A33" s="29" t="s">
        <v>44</v>
      </c>
      <c r="B33" s="52">
        <v>7.3315279999999996</v>
      </c>
      <c r="C33" s="53">
        <v>3845</v>
      </c>
    </row>
    <row r="34" spans="1:3" x14ac:dyDescent="0.25">
      <c r="A34" s="29" t="s">
        <v>46</v>
      </c>
      <c r="B34" s="52">
        <v>11.165065999999999</v>
      </c>
      <c r="C34" s="53">
        <v>2699</v>
      </c>
    </row>
    <row r="35" spans="1:3" x14ac:dyDescent="0.25">
      <c r="A35" s="29" t="s">
        <v>45</v>
      </c>
      <c r="B35" s="52">
        <v>79.439454999999995</v>
      </c>
      <c r="C35" s="53">
        <v>18690</v>
      </c>
    </row>
    <row r="36" spans="1:3" x14ac:dyDescent="0.25">
      <c r="A36" s="29" t="s">
        <v>71</v>
      </c>
      <c r="B36" s="52">
        <v>14.931150000000001</v>
      </c>
      <c r="C36" s="53">
        <v>6546</v>
      </c>
    </row>
    <row r="37" spans="1:3" x14ac:dyDescent="0.25">
      <c r="A37" s="57" t="s">
        <v>73</v>
      </c>
      <c r="B37" s="52">
        <v>0.98696600000000001</v>
      </c>
      <c r="C37" s="53">
        <v>220</v>
      </c>
    </row>
    <row r="38" spans="1:3" x14ac:dyDescent="0.25">
      <c r="A38" s="57" t="s">
        <v>74</v>
      </c>
      <c r="B38" s="52">
        <v>4.2365810000000002</v>
      </c>
      <c r="C38" s="53">
        <v>1281</v>
      </c>
    </row>
    <row r="39" spans="1:3" x14ac:dyDescent="0.25">
      <c r="A39" s="57" t="s">
        <v>75</v>
      </c>
      <c r="B39" s="52">
        <v>2.7246670000000002</v>
      </c>
      <c r="C39" s="53">
        <v>2614</v>
      </c>
    </row>
    <row r="40" spans="1:3" x14ac:dyDescent="0.25">
      <c r="A40" s="57" t="s">
        <v>76</v>
      </c>
      <c r="B40" s="52">
        <v>12.433712</v>
      </c>
      <c r="C40" s="53">
        <v>16430</v>
      </c>
    </row>
    <row r="41" spans="1:3" x14ac:dyDescent="0.25">
      <c r="A41" s="29" t="s">
        <v>77</v>
      </c>
      <c r="B41" s="52">
        <v>14.136850000000001</v>
      </c>
      <c r="C41" s="53">
        <v>3596</v>
      </c>
    </row>
    <row r="42" spans="1:3" x14ac:dyDescent="0.25">
      <c r="A42" s="29" t="s">
        <v>78</v>
      </c>
      <c r="B42" s="52">
        <v>28.653824</v>
      </c>
      <c r="C42" s="53">
        <v>42596</v>
      </c>
    </row>
    <row r="43" spans="1:3" x14ac:dyDescent="0.25">
      <c r="A43" s="29" t="s">
        <v>79</v>
      </c>
      <c r="B43" s="52">
        <v>13.475021999999999</v>
      </c>
      <c r="C43" s="53">
        <v>5431</v>
      </c>
    </row>
    <row r="44" spans="1:3" x14ac:dyDescent="0.25">
      <c r="A44" s="29" t="s">
        <v>80</v>
      </c>
      <c r="B44" s="52">
        <v>1.683756</v>
      </c>
      <c r="C44" s="53">
        <v>669</v>
      </c>
    </row>
    <row r="45" spans="1:3" x14ac:dyDescent="0.25">
      <c r="A45" s="56" t="s">
        <v>22</v>
      </c>
      <c r="B45" s="54">
        <v>482.71187000000003</v>
      </c>
      <c r="C45" s="64">
        <v>180694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2025-09-30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2026-05-12T11:19:55Z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52d7dadb-6f66-424c-91c6-eaecf4a52912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