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24226"/>
  <xr:revisionPtr revIDLastSave="1" documentId="8_{2D9BBC0C-7703-4BAD-952A-DBF6331F36B4}" xr6:coauthVersionLast="47" xr6:coauthVersionMax="47" xr10:uidLastSave="{D9CE7725-C6D4-4191-B3B0-7B5E347B916C}"/>
  <bookViews>
    <workbookView xWindow="-110" yWindow="-110" windowWidth="19420" windowHeight="11500" xr2:uid="{00000000-000D-0000-FFFF-FFFF00000000}"/>
  </bookViews>
  <sheets>
    <sheet name="GCF_2025" sheetId="12" r:id="rId1"/>
    <sheet name="2003-2009" sheetId="24" r:id="rId2"/>
    <sheet name="1996-2002" sheetId="14" r:id="rId3"/>
    <sheet name="1989-1995" sheetId="16" r:id="rId4"/>
    <sheet name="1982-1988" sheetId="17" r:id="rId5"/>
    <sheet name="1975-1981" sheetId="18" r:id="rId6"/>
    <sheet name="1968-1974" sheetId="19" r:id="rId7"/>
    <sheet name="1961-1967" sheetId="20" r:id="rId8"/>
    <sheet name="TIF" sheetId="22" r:id="rId9"/>
    <sheet name="Strategijų_palyginimas" sheetId="25" r:id="rId10"/>
  </sheets>
  <definedNames>
    <definedName name="_xlnm._FilterDatabase" localSheetId="0" hidden="1">GCF_2025!$A$1:$Y$58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2" i="22" l="1"/>
  <c r="O2" i="22"/>
  <c r="M2" i="22"/>
  <c r="J2" i="22"/>
  <c r="D9" i="22" l="1"/>
  <c r="D7" i="22"/>
  <c r="D6" i="22"/>
  <c r="D5" i="22"/>
  <c r="D4" i="22"/>
  <c r="Q2" i="22" l="1"/>
  <c r="L2" i="22"/>
  <c r="Y9" i="22" l="1"/>
  <c r="X9" i="22"/>
  <c r="W9" i="22"/>
  <c r="E9" i="22"/>
  <c r="C9" i="22"/>
  <c r="B9" i="22"/>
  <c r="A9" i="22"/>
  <c r="A41" i="22" l="1"/>
  <c r="A71" i="22"/>
  <c r="A22" i="22" l="1"/>
  <c r="W1" i="22" l="1"/>
  <c r="X1" i="22"/>
  <c r="Y1" i="22"/>
  <c r="W2" i="22"/>
  <c r="X2" i="22"/>
  <c r="Y2" i="22"/>
  <c r="W4" i="22"/>
  <c r="X4" i="22"/>
  <c r="Y4" i="22"/>
  <c r="W5" i="22"/>
  <c r="X5" i="22"/>
  <c r="Y5" i="22"/>
  <c r="W6" i="22"/>
  <c r="X6" i="22"/>
  <c r="Y6" i="22"/>
  <c r="W7" i="22"/>
  <c r="X7" i="22"/>
  <c r="Y7" i="22"/>
  <c r="W8" i="22"/>
  <c r="X8" i="22"/>
  <c r="Y8" i="22"/>
  <c r="A20" i="22"/>
  <c r="A21" i="22"/>
  <c r="A19" i="22" l="1"/>
  <c r="E4" i="22"/>
  <c r="E5" i="22"/>
  <c r="E6" i="22"/>
  <c r="E7" i="22"/>
  <c r="E8" i="22"/>
  <c r="E1" i="22"/>
  <c r="F1" i="22"/>
  <c r="G1" i="22"/>
  <c r="I1" i="22"/>
  <c r="K1" i="22"/>
  <c r="N1" i="22"/>
  <c r="P1" i="22"/>
  <c r="T1" i="22"/>
  <c r="U1" i="22"/>
  <c r="E2" i="22"/>
  <c r="F2" i="22"/>
  <c r="G2" i="22"/>
  <c r="I2" i="22"/>
  <c r="K2" i="22"/>
  <c r="N2" i="22"/>
  <c r="P2" i="22"/>
  <c r="T2" i="22"/>
  <c r="U2" i="22"/>
  <c r="A18" i="22" l="1"/>
  <c r="A60" i="22" l="1"/>
  <c r="A59" i="22"/>
  <c r="A58" i="22"/>
  <c r="A57" i="22"/>
  <c r="A27" i="22"/>
  <c r="A26" i="22"/>
  <c r="A25" i="22"/>
  <c r="G9" i="22" l="1"/>
  <c r="B71" i="22" s="1"/>
  <c r="F9" i="22"/>
  <c r="D71" i="22" s="1"/>
  <c r="M6" i="22"/>
  <c r="J6" i="22"/>
  <c r="R6" i="22"/>
  <c r="O6" i="22"/>
  <c r="M9" i="22"/>
  <c r="K9" i="22"/>
  <c r="J9" i="22"/>
  <c r="O4" i="22"/>
  <c r="R8" i="22"/>
  <c r="O8" i="22"/>
  <c r="R7" i="22"/>
  <c r="O7" i="22"/>
  <c r="J4" i="22"/>
  <c r="M5" i="22"/>
  <c r="J5" i="22"/>
  <c r="R5" i="22"/>
  <c r="O5" i="22"/>
  <c r="M7" i="22"/>
  <c r="J7" i="22"/>
  <c r="M8" i="22"/>
  <c r="J8" i="22"/>
  <c r="R9" i="22"/>
  <c r="O9" i="22"/>
  <c r="A17" i="22"/>
  <c r="C71" i="22" l="1"/>
  <c r="C41" i="22"/>
  <c r="T9" i="22"/>
  <c r="B41" i="22" s="1"/>
  <c r="J3" i="22"/>
  <c r="O3" i="22"/>
  <c r="R3" i="22"/>
  <c r="R4" i="22"/>
  <c r="M4" i="22"/>
  <c r="M3" i="22"/>
  <c r="L9" i="22"/>
  <c r="Q9" i="22"/>
  <c r="P9" i="22"/>
  <c r="I9" i="22"/>
  <c r="N9" i="22"/>
  <c r="G3" i="22" l="1"/>
  <c r="B4" i="22"/>
  <c r="C4" i="22"/>
  <c r="B5" i="22"/>
  <c r="C5" i="22"/>
  <c r="B6" i="22"/>
  <c r="C6" i="22"/>
  <c r="B7" i="22"/>
  <c r="C7" i="22"/>
  <c r="B8" i="22"/>
  <c r="C8" i="22"/>
  <c r="A4" i="22"/>
  <c r="A5" i="22"/>
  <c r="A6" i="22"/>
  <c r="A7" i="22"/>
  <c r="A8" i="22"/>
  <c r="A3" i="22"/>
  <c r="A16" i="22"/>
  <c r="A15" i="22"/>
  <c r="A14" i="22"/>
  <c r="A13" i="22"/>
  <c r="A12" i="22"/>
  <c r="A11" i="22"/>
  <c r="D2" i="22"/>
  <c r="C2" i="22"/>
  <c r="B2" i="22"/>
  <c r="A2" i="22"/>
  <c r="D1" i="22"/>
  <c r="A69" i="22" l="1"/>
  <c r="A39" i="22"/>
  <c r="A67" i="22"/>
  <c r="A37" i="22"/>
  <c r="A40" i="22"/>
  <c r="A70" i="22"/>
  <c r="A68" i="22"/>
  <c r="A38" i="22"/>
  <c r="A36" i="22"/>
  <c r="A66" i="22"/>
  <c r="D8" i="22" l="1"/>
  <c r="Q7" i="22" l="1"/>
  <c r="Q5" i="22"/>
  <c r="L7" i="22"/>
  <c r="Q8" i="22"/>
  <c r="Q6" i="22"/>
  <c r="L5" i="22"/>
  <c r="Q4" i="22"/>
  <c r="L8" i="22"/>
  <c r="L6" i="22"/>
  <c r="L4" i="22"/>
  <c r="P4" i="22"/>
  <c r="P5" i="22"/>
  <c r="P8" i="22"/>
  <c r="P7" i="22"/>
  <c r="P6" i="22"/>
  <c r="G8" i="22"/>
  <c r="B70" i="22" s="1"/>
  <c r="G4" i="22"/>
  <c r="N5" i="22"/>
  <c r="N8" i="22"/>
  <c r="N6" i="22"/>
  <c r="N7" i="22"/>
  <c r="L3" i="22" l="1"/>
  <c r="Q3" i="22"/>
  <c r="U5" i="22"/>
  <c r="U4" i="22"/>
  <c r="U8" i="22"/>
  <c r="U7" i="22"/>
  <c r="U6" i="22"/>
  <c r="K6" i="22"/>
  <c r="K5" i="22"/>
  <c r="K7" i="22"/>
  <c r="K4" i="22"/>
  <c r="K8" i="22"/>
  <c r="I8" i="22"/>
  <c r="I7" i="22"/>
  <c r="I6" i="22"/>
  <c r="I5" i="22"/>
  <c r="F4" i="22"/>
  <c r="D66" i="22" s="1"/>
  <c r="I4" i="22"/>
  <c r="N4" i="22"/>
  <c r="G5" i="22"/>
  <c r="B67" i="22" s="1"/>
  <c r="F8" i="22"/>
  <c r="D70" i="22" s="1"/>
  <c r="F6" i="22"/>
  <c r="D68" i="22" s="1"/>
  <c r="F5" i="22"/>
  <c r="D67" i="22" s="1"/>
  <c r="G6" i="22"/>
  <c r="B68" i="22" s="1"/>
  <c r="G7" i="22"/>
  <c r="B69" i="22" s="1"/>
  <c r="F7" i="22"/>
  <c r="D69" i="22" s="1"/>
  <c r="B66" i="22"/>
  <c r="P3" i="22" l="1"/>
  <c r="N3" i="22"/>
  <c r="I3" i="22"/>
  <c r="K3" i="22"/>
  <c r="C40" i="22"/>
  <c r="C70" i="22"/>
  <c r="C36" i="22"/>
  <c r="C66" i="22"/>
  <c r="C39" i="22"/>
  <c r="C69" i="22"/>
  <c r="C67" i="22"/>
  <c r="C37" i="22"/>
  <c r="C38" i="22"/>
  <c r="C68" i="22"/>
  <c r="T8" i="22"/>
  <c r="B40" i="22" s="1"/>
  <c r="T5" i="22"/>
  <c r="B37" i="22" s="1"/>
  <c r="T7" i="22"/>
  <c r="B39" i="22" s="1"/>
  <c r="T4" i="22"/>
  <c r="B36" i="22" s="1"/>
  <c r="T6" i="22"/>
  <c r="B38" i="22" s="1"/>
  <c r="U9" i="22" l="1"/>
</calcChain>
</file>

<file path=xl/sharedStrings.xml><?xml version="1.0" encoding="utf-8"?>
<sst xmlns="http://schemas.openxmlformats.org/spreadsheetml/2006/main" count="1146" uniqueCount="175">
  <si>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</si>
  <si>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</si>
  <si>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</si>
  <si>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</si>
  <si>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</si>
  <si>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</si>
  <si>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</si>
  <si>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</si>
  <si>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</si>
  <si>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</si>
  <si>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</si>
  <si>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</si>
  <si>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</si>
  <si>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</si>
  <si>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</si>
  <si>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</si>
  <si>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</si>
  <si>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</si>
  <si>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</si>
  <si>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</si>
  <si>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</si>
  <si>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</si>
  <si>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</si>
  <si>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</si>
  <si>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</si>
  <si>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</si>
  <si>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</si>
  <si>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</si>
  <si>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</si>
  <si>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</si>
  <si>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</si>
  <si>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</si>
  <si>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</si>
  <si>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</si>
  <si>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</si>
  <si>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</si>
  <si>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</si>
  <si>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</si>
  <si>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</si>
  <si>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</si>
  <si>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</si>
  <si>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</si>
  <si>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</si>
  <si>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</si>
  <si>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</si>
  <si>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</si>
  <si>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</si>
  <si>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</si>
  <si>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</si>
  <si>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</si>
  <si>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</si>
  <si>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</si>
  <si>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</si>
  <si>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</si>
  <si>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</si>
  <si>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</si>
  <si>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</si>
  <si>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</si>
  <si>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Pensijų turto išsaugojimo pensijų fondai</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</si>
  <si>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</si>
  <si>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</si>
  <si>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</si>
  <si>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</si>
  <si>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</si>
  <si>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</si>
  <si>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</si>
  <si>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</si>
  <si>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</si>
  <si>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</si>
  <si>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</si>
  <si>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</si>
  <si>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</si>
  <si>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</si>
  <si>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</si>
  <si>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</si>
  <si>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</si>
  <si>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</si>
  <si>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</si>
  <si>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</si>
  <si>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</si>
  <si>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</si>
  <si>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</si>
  <si>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</si>
  <si>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</si>
  <si>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</si>
  <si>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</si>
  <si>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</si>
  <si>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</si>
  <si>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</si>
  <si>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</si>
  <si>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</si>
  <si>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</si>
  <si>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</si>
  <si>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</si>
  <si>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</si>
  <si>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</si>
  <si>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</si>
  <si>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</si>
  <si>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</si>
  <si>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</si>
  <si>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</si>
  <si>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</si>
  <si>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</si>
  <si>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</si>
  <si>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</si>
  <si>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</si>
  <si>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</si>
  <si>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</si>
  <si>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</si>
  <si>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</si>
  <si>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</si>
  <si>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</si>
  <si>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</si>
  <si>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Goindex, UAB</t>
  </si>
  <si>
    <t>GOX-96/02</t>
  </si>
  <si>
    <t>GOX-89/95</t>
  </si>
  <si>
    <t>GOX-82/88</t>
  </si>
  <si>
    <t>GOX-75/81</t>
  </si>
  <si>
    <t>GOX-68/74</t>
  </si>
  <si>
    <t>GOX-61/67</t>
  </si>
  <si>
    <t>GOX-TIPF</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</si>
  <si>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</si>
  <si>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</si>
  <si>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</si>
  <si>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</si>
  <si>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</si>
  <si>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</si>
  <si>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</si>
  <si>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</si>
  <si>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</si>
  <si>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</si>
  <si>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</si>
  <si>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</si>
  <si>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</si>
  <si>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</si>
  <si>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[11] Goindex, UAB valdomi pensijų fondai įsteigti 2022-07-05</t>
  </si>
  <si>
    <t>[10] Apskaičiuota taikant geometrinį vidurkį.</t>
  </si>
  <si>
    <t>vidutinis metinis vieneto vertės pokytis [10] per praėjusius 3 metus, proc.</t>
  </si>
  <si>
    <t>vidutinis lyginamojo indekso vertės pokytis [10] per praėjusius 3 metus, proc.</t>
  </si>
  <si>
    <t>Veikia trumpiau</t>
  </si>
  <si>
    <t>SBN-03/09</t>
  </si>
  <si>
    <t>SWD-03/09</t>
  </si>
  <si>
    <t>GOX-03/09</t>
  </si>
  <si>
    <t>AVI-03/09</t>
  </si>
  <si>
    <t>LMN-03/09</t>
  </si>
  <si>
    <t>INV-03/09</t>
  </si>
  <si>
    <t>Luminor 2003-2009 tikslinės grupės pensijų fondas</t>
  </si>
  <si>
    <t>SEB 2003-2009 metų tikslinės grupės pensijų kaupimo fondas</t>
  </si>
  <si>
    <t>Goindex pensija 2003-2009 tikslinės grupės pensijų fondas</t>
  </si>
  <si>
    <t>Swedbank pensija 2003-2009</t>
  </si>
  <si>
    <t>Allianz D1 2003-2009 tikslinės grupės pensijų fondas</t>
  </si>
  <si>
    <t>vidutinis metinis vieneto vertės pokytis [10] per praėjusius 5 metus, proc.</t>
  </si>
  <si>
    <t>vidutinis lyginamojo indekso vertės pokytis [10] per praėjusius 5 metus, proc.</t>
  </si>
  <si>
    <t>Tikslinės pensijų fondų dalyvių grupės pensijų fondai, 2003-2009</t>
  </si>
  <si>
    <t>vieneto vertės pokytis [1] per praėjusius 1 metus, proc.</t>
  </si>
  <si>
    <t>lyginamojo indekso vertės pokytis [2] per praėjusius 1 metus, proc.</t>
  </si>
  <si>
    <t>[12] Apskaičiuota nuo faktinės GCF (t. y., gyvenimo ciklo fondų) pradžios. Išskyrus Goindex, UAB pensijų fondus, kurių grąža apskaičiuota nuo fondų veiklos pradžios (2022 m. liepos mėn.) ir 2003-2009 m. tikslinės pensijų fondų dalyvių grupės pensijų fondus, kurių grąža apskaičiuota nuo fondų veiklos pradžios (2025 m.).</t>
  </si>
  <si>
    <t>vidutinis metinis lyginamojo indekso vertės pokytis [2] nuo faktinės GCF [12] pradžios</t>
  </si>
  <si>
    <t>vidutinis metinis vieneto vertės pokytis [1] nuo faktinės GCF [12] pradžios</t>
  </si>
  <si>
    <t>Išlaidų rodikliai (2024 m.)</t>
  </si>
  <si>
    <t>Artea pensija 2003-2009 Index Plus</t>
  </si>
  <si>
    <t>Artea pensija 1996–2002 Index Plus</t>
  </si>
  <si>
    <t>Artea pensija 1989–1995 Index Plus</t>
  </si>
  <si>
    <t>Artea pensija 1982–1988 Index Plus</t>
  </si>
  <si>
    <t>Artea pensija 1975–1981 Index Plus</t>
  </si>
  <si>
    <t>Artea pensija 1968–1974 Index Plus</t>
  </si>
  <si>
    <t>Artea pensijų turto išsaugojimo fondas</t>
  </si>
  <si>
    <t>UAB Artea Asset Management</t>
  </si>
  <si>
    <t>Artea pensija 1961–1967 Index Plus</t>
  </si>
  <si>
    <t>1 m.</t>
  </si>
  <si>
    <t>7m.</t>
  </si>
  <si>
    <t>3 m. 5 mėn.</t>
  </si>
  <si>
    <t>[4] Svertiniam vidurkiui apskaičiuoti naudotas 2025-12-31 dienos fondų grynųjų aktyvų dydis.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</si>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</sst>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_€_-;\-* #,##0.00\ _€_-;_-* &quot;-&quot;??\ _€_-;_-@_-"/>
    <numFmt numFmtId="165" formatCode="_-* #,##0\ _€_-;\-* #,##0\ _€_-;_-* &quot;-&quot;??\ _€_-;_-@_-"/>
    <numFmt numFmtId="166" formatCode="0.00_ ;[Red]\-0.00\ "/>
    <numFmt numFmtId="167" formatCode="0.000"/>
    <numFmt numFmtId="168" formatCode="0.0%"/>
    <numFmt numFmtId="169" formatCode="_-* #,##0.000\ _€_-;\-* #,##0.000\ _€_-;_-* &quot;-&quot;??\ _€_-;_-@_-"/>
  </numFmts>
  <fonts count="33"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theme="1"/>
      <name val="Calibri"/>
      <family val="2"/>
      <scheme val="minor"/>
    </font>
    <font>
      <sz val="10"/>
      <name val="Calibri"/>
      <family val="2"/>
      <scheme val="minor"/>
    </font>
    <font>
      <b/>
      <u/>
      <sz val="10"/>
      <name val="Verdana"/>
      <family val="2"/>
      <charset val="186"/>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style="thin">
        <color theme="0"/>
      </left>
      <right/>
      <top/>
      <bottom style="thin">
        <color theme="0"/>
      </bottom>
      <diagonal/>
    </border>
    <border>
      <left/>
      <right/>
      <top/>
      <bottom style="thin">
        <color theme="0"/>
      </bottom>
      <diagonal/>
    </border>
    <border>
      <left/>
      <right/>
      <top style="thin">
        <color theme="0"/>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11">
    <xf numFmtId="0" fontId="0" fillId="0" borderId="0" xfId="0"/>
    <xf numFmtId="0" fontId="0" fillId="0" borderId="0" xfId="0" applyFill="1"/>
    <xf numFmtId="0" fontId="4" fillId="0" borderId="0" xfId="0" applyFont="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0"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29" fillId="0" borderId="0" xfId="0" applyFont="1"/>
    <xf numFmtId="0" fontId="23" fillId="0" borderId="0" xfId="0" applyFont="1" applyAlignment="1"/>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5" fillId="0" borderId="0" xfId="0" applyFont="1" applyAlignment="1">
      <alignment wrapText="1"/>
    </xf>
    <xf numFmtId="0" fontId="19" fillId="3" borderId="0" xfId="0" applyFont="1" applyFill="1" applyBorder="1" applyAlignment="1">
      <alignment horizontal="center" vertical="center" wrapText="1"/>
    </xf>
    <xf numFmtId="0" fontId="28" fillId="2" borderId="0" xfId="4" applyFont="1" applyFill="1"/>
    <xf numFmtId="2" fontId="23" fillId="2" borderId="6" xfId="0" applyNumberFormat="1" applyFont="1" applyFill="1" applyBorder="1" applyAlignment="1">
      <alignment horizontal="center" vertical="center"/>
    </xf>
    <xf numFmtId="14" fontId="7" fillId="0" borderId="0" xfId="3" applyNumberFormat="1" applyAlignment="1">
      <alignment vertical="top"/>
    </xf>
    <xf numFmtId="0" fontId="19" fillId="3" borderId="2" xfId="0" applyFont="1" applyFill="1" applyBorder="1" applyAlignment="1">
      <alignment horizontal="center" vertical="center" wrapText="1"/>
    </xf>
    <xf numFmtId="1" fontId="16" fillId="0" borderId="6" xfId="0" applyNumberFormat="1" applyFont="1" applyFill="1" applyBorder="1" applyAlignment="1">
      <alignment horizontal="center" vertical="center"/>
    </xf>
    <xf numFmtId="1" fontId="28" fillId="0" borderId="6" xfId="0" applyNumberFormat="1" applyFont="1" applyFill="1" applyBorder="1" applyAlignment="1">
      <alignment horizontal="right" vertical="center"/>
    </xf>
    <xf numFmtId="2" fontId="28" fillId="0" borderId="6" xfId="0" applyNumberFormat="1" applyFont="1" applyBorder="1" applyAlignment="1">
      <alignment horizontal="center" vertical="center"/>
    </xf>
    <xf numFmtId="169" fontId="8" fillId="0" borderId="0" xfId="1" applyNumberFormat="1" applyFont="1" applyFill="1" applyBorder="1"/>
    <xf numFmtId="0" fontId="19" fillId="3" borderId="2"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30" fillId="0" borderId="0" xfId="0" applyFont="1"/>
    <xf numFmtId="0" fontId="7" fillId="0" borderId="0" xfId="3" applyAlignment="1">
      <alignment vertical="top"/>
    </xf>
    <xf numFmtId="2" fontId="14" fillId="0" borderId="0" xfId="0" applyNumberFormat="1" applyFont="1"/>
    <xf numFmtId="14" fontId="20" fillId="2" borderId="1" xfId="0" applyNumberFormat="1" applyFont="1" applyFill="1" applyBorder="1" applyAlignment="1">
      <alignment horizontal="left" wrapText="1"/>
    </xf>
    <xf numFmtId="0" fontId="27" fillId="0" borderId="0" xfId="0" applyFont="1" applyFill="1" applyBorder="1" applyAlignment="1">
      <alignment wrapText="1"/>
    </xf>
    <xf numFmtId="1" fontId="6" fillId="0" borderId="6" xfId="0" applyNumberFormat="1" applyFont="1" applyBorder="1" applyAlignment="1">
      <alignment horizontal="center" vertical="center"/>
    </xf>
    <xf numFmtId="1" fontId="23" fillId="0" borderId="6" xfId="0" applyNumberFormat="1" applyFont="1" applyBorder="1" applyAlignment="1">
      <alignment horizontal="center" vertical="center"/>
    </xf>
    <xf numFmtId="10" fontId="4" fillId="0" borderId="0" xfId="0" applyNumberFormat="1" applyFont="1"/>
    <xf numFmtId="0" fontId="26" fillId="0" borderId="7" xfId="0" applyFont="1" applyFill="1" applyBorder="1" applyAlignment="1">
      <alignment horizontal="left" wrapText="1"/>
    </xf>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26" fillId="0" borderId="11" xfId="0" applyFont="1" applyFill="1" applyBorder="1" applyAlignment="1">
      <alignment horizontal="lef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63">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CCFFCC"/>
      <color rgb="FF903F98"/>
      <color rgb="FF00B07D"/>
      <color rgb="FFFCAF17"/>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'2003-2009'!$C$35</c:f>
              <c:strCache>
                <c:ptCount val="1"/>
                <c:pt idx="0">
                  <c:v>Grąža</c:v>
                </c:pt>
              </c:strCache>
            </c:strRef>
          </c:tx>
          <c:spPr>
            <a:ln w="28575">
              <a:noFill/>
            </a:ln>
          </c:spPr>
          <c:marker>
            <c:symbol val="diamond"/>
            <c:size val="15"/>
            <c:spPr>
              <a:solidFill>
                <a:srgbClr val="00B07D"/>
              </a:solidFill>
            </c:spPr>
          </c:marker>
          <c:dLbls>
            <c:dLbl>
              <c:idx val="0"/>
              <c:layout>
                <c:manualLayout>
                  <c:x val="-4.6964649902132893E-2"/>
                  <c:y val="-5.4971048056560966E-2"/>
                </c:manualLayout>
              </c:layout>
              <c:tx>
                <c:rich>
                  <a:bodyPr wrap="square" lIns="38100" tIns="19050" rIns="38100" bIns="19050" anchor="ctr">
                    <a:spAutoFit/>
                  </a:bodyPr>
                  <a:lstStyle/>
                  <a:p>
                    <a:pPr>
                      <a:defRPr b="0"/>
                    </a:pPr>
                    <a:r>
                      <a:rPr lang="en-US" sz="1100" b="0" i="0" u="none" strike="noStrike" baseline="0">
                        <a:effectLst/>
                      </a:rPr>
                      <a:t>LMN-03/09</a:t>
                    </a:r>
                    <a:r>
                      <a:rPr lang="en-US" sz="1100" b="0" i="0" u="none" strike="noStrike" baseline="0"/>
                      <a:t> </a:t>
                    </a:r>
                    <a:endParaRPr lang="en-US" b="0"/>
                  </a:p>
                </c:rich>
              </c:tx>
              <c:spPr>
                <a:noFill/>
                <a:ln>
                  <a:noFill/>
                </a:ln>
                <a:effectLst/>
              </c:spPr>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E3D0-41A3-B541-7460FBE8F9B1}"/>
                </c:ext>
              </c:extLst>
            </c:dLbl>
            <c:dLbl>
              <c:idx val="1"/>
              <c:layout>
                <c:manualLayout>
                  <c:x val="3.7328937154873829E-4"/>
                  <c:y val="-2.0978161782844198E-2"/>
                </c:manualLayout>
              </c:layout>
              <c:tx>
                <c:rich>
                  <a:bodyPr/>
                  <a:lstStyle/>
                  <a:p>
                    <a:r>
                      <a:rPr lang="en-US" sz="1100" b="0" i="0" u="none" strike="noStrike" baseline="0">
                        <a:effectLst/>
                      </a:rPr>
                      <a:t>INV-03/09</a:t>
                    </a:r>
                    <a:r>
                      <a:rPr lang="en-US" sz="1100" b="0" i="0" u="none" strike="noStrike" baseline="0"/>
                      <a:t> </a:t>
                    </a:r>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E3D0-41A3-B541-7460FBE8F9B1}"/>
                </c:ext>
              </c:extLst>
            </c:dLbl>
            <c:dLbl>
              <c:idx val="2"/>
              <c:layout>
                <c:manualLayout>
                  <c:x val="-2.7122859370390152E-2"/>
                  <c:y val="-6.0536833722085535E-2"/>
                </c:manualLayout>
              </c:layout>
              <c:tx>
                <c:rich>
                  <a:bodyPr/>
                  <a:lstStyle/>
                  <a:p>
                    <a:r>
                      <a:rPr lang="en-US"/>
                      <a:t>SBN-03/09</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E3D0-41A3-B541-7460FBE8F9B1}"/>
                </c:ext>
              </c:extLst>
            </c:dLbl>
            <c:dLbl>
              <c:idx val="3"/>
              <c:layout>
                <c:manualLayout>
                  <c:x val="-4.0095122842978399E-2"/>
                  <c:y val="-3.3055454171810612E-2"/>
                </c:manualLayout>
              </c:layout>
              <c:tx>
                <c:rich>
                  <a:bodyPr/>
                  <a:lstStyle/>
                  <a:p>
                    <a:r>
                      <a:rPr lang="en-US"/>
                      <a:t>SWD-03/09</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E3D0-41A3-B541-7460FBE8F9B1}"/>
                </c:ext>
              </c:extLst>
            </c:dLbl>
            <c:dLbl>
              <c:idx val="4"/>
              <c:layout>
                <c:manualLayout>
                  <c:x val="-9.2805629000064893E-2"/>
                  <c:y val="7.7519819320951394E-2"/>
                </c:manualLayout>
              </c:layout>
              <c:tx>
                <c:rich>
                  <a:bodyPr wrap="square" lIns="38100" tIns="19050" rIns="38100" bIns="19050" anchor="ctr" anchorCtr="0">
                    <a:spAutoFit/>
                  </a:bodyPr>
                  <a:lstStyle/>
                  <a:p>
                    <a:pPr algn="ctr" rtl="0">
                      <a:defRPr lang="en-US" sz="11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r>
                      <a:rPr lang="en-US" sz="1100" b="0" i="0" u="none" strike="noStrike" kern="1200" baseline="0">
                        <a:solidFill>
                          <a:sysClr val="windowText" lastClr="000000"/>
                        </a:solidFill>
                        <a:latin typeface="Verdana" panose="020B0604030504040204" pitchFamily="34" charset="0"/>
                        <a:ea typeface="Verdana" panose="020B0604030504040204" pitchFamily="34" charset="0"/>
                        <a:cs typeface="+mn-cs"/>
                      </a:rPr>
                      <a:t>AVI-03/09</a:t>
                    </a:r>
                  </a:p>
                </c:rich>
              </c:tx>
              <c:spPr>
                <a:noFill/>
                <a:ln>
                  <a:noFill/>
                </a:ln>
                <a:effectLst/>
              </c:spPr>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E3D0-41A3-B541-7460FBE8F9B1}"/>
                </c:ext>
              </c:extLst>
            </c:dLbl>
            <c:dLbl>
              <c:idx val="5"/>
              <c:tx>
                <c:rich>
                  <a:bodyPr wrap="square" lIns="38100" tIns="19050" rIns="38100" bIns="19050" anchor="ctr" anchorCtr="0">
                    <a:spAutoFit/>
                  </a:bodyPr>
                  <a:lstStyle/>
                  <a:p>
                    <a:pPr algn="ctr" rtl="0">
                      <a:defRPr lang="en-US" sz="11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fld id="{A7A763AB-9466-4B9F-9B7A-8D8746605201}" type="CELLRANGE">
                      <a:rPr lang="en-US"/>
                      <a:pPr algn="ctr" rtl="0">
                        <a:defRPr lang="en-US" sz="11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t>[CELLRANGE]</a:t>
                    </a:fld>
                    <a:endParaRPr lang="lt-LT"/>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5B1-4635-9765-B751F8B37D1A}"/>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strRef>
              <c:f>'2003-2009'!$B$36:$B$41</c:f>
              <c:strCache>
                <c:ptCount val="6"/>
                <c:pt idx="0">
                  <c:v>Veikia trumpiau</c:v>
                </c:pt>
                <c:pt idx="1">
                  <c:v>Veikia trumpiau</c:v>
                </c:pt>
                <c:pt idx="2">
                  <c:v>Veikia trumpiau</c:v>
                </c:pt>
                <c:pt idx="3">
                  <c:v>Veikia trumpiau</c:v>
                </c:pt>
                <c:pt idx="4">
                  <c:v>Veikia trumpiau</c:v>
                </c:pt>
                <c:pt idx="5">
                  <c:v>Veikia trumpiau</c:v>
                </c:pt>
              </c:strCache>
            </c:strRef>
          </c:xVal>
          <c:yVal>
            <c:numRef>
              <c:f>'2003-2009'!$C$36:$C$41</c:f>
              <c:numCache>
                <c:formatCode>0.00</c:formatCode>
                <c:ptCount val="6"/>
                <c:pt idx="0">
                  <c:v>0</c:v>
                </c:pt>
                <c:pt idx="1">
                  <c:v>0</c:v>
                </c:pt>
                <c:pt idx="2">
                  <c:v>0</c:v>
                </c:pt>
                <c:pt idx="3">
                  <c:v>0</c:v>
                </c:pt>
                <c:pt idx="4">
                  <c:v>0</c:v>
                </c:pt>
                <c:pt idx="5">
                  <c:v>0</c:v>
                </c:pt>
              </c:numCache>
            </c:numRef>
          </c:yVal>
          <c:smooth val="0"/>
          <c:extLst>
            <c:ext xmlns:c15="http://schemas.microsoft.com/office/drawing/2012/chart" uri="{02D57815-91ED-43cb-92C2-25804820EDAC}">
              <c15:datalabelsRange>
                <c15:f>'2003-2009'!$A$36:$A$41</c15:f>
                <c15:dlblRangeCache>
                  <c:ptCount val="6"/>
                  <c:pt idx="0">
                    <c:v>LMN-03/09</c:v>
                  </c:pt>
                  <c:pt idx="1">
                    <c:v>INV-03/09</c:v>
                  </c:pt>
                  <c:pt idx="2">
                    <c:v>SBN-03/09</c:v>
                  </c:pt>
                  <c:pt idx="3">
                    <c:v>SWD-03/09</c:v>
                  </c:pt>
                  <c:pt idx="4">
                    <c:v>AVI-03/09</c:v>
                  </c:pt>
                  <c:pt idx="5">
                    <c:v>GOX-03/09</c:v>
                  </c:pt>
                </c15:dlblRangeCache>
              </c15:datalabelsRange>
            </c:ext>
            <c:ext xmlns:c16="http://schemas.microsoft.com/office/drawing/2014/chart" uri="{C3380CC4-5D6E-409C-BE32-E72D297353CC}">
              <c16:uniqueId val="{00000005-E3D0-41A3-B541-7460FBE8F9B1}"/>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'2003-2009'!$C$65</c:f>
              <c:strCache>
                <c:ptCount val="1"/>
                <c:pt idx="0">
                  <c:v>Grąža (proc.)</c:v>
                </c:pt>
              </c:strCache>
            </c:strRef>
          </c:tx>
          <c:spPr>
            <a:solidFill>
              <a:srgbClr val="00B07D"/>
            </a:solidFill>
          </c:spPr>
          <c:invertIfNegative val="0"/>
          <c:dLbls>
            <c:dLbl>
              <c:idx val="0"/>
              <c:tx>
                <c:rich>
                  <a:bodyPr/>
                  <a:lstStyle/>
                  <a:p>
                    <a:r>
                      <a:rPr lang="en-US"/>
                      <a:t>LMN-03/09</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D1F-4973-B0BB-08A245F13C09}"/>
                </c:ext>
              </c:extLst>
            </c:dLbl>
            <c:dLbl>
              <c:idx val="1"/>
              <c:tx>
                <c:rich>
                  <a:bodyPr/>
                  <a:lstStyle/>
                  <a:p>
                    <a:r>
                      <a:rPr lang="en-US"/>
                      <a:t>INV-03/09</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D1F-4973-B0BB-08A245F13C09}"/>
                </c:ext>
              </c:extLst>
            </c:dLbl>
            <c:dLbl>
              <c:idx val="2"/>
              <c:tx>
                <c:rich>
                  <a:bodyPr/>
                  <a:lstStyle/>
                  <a:p>
                    <a:r>
                      <a:rPr lang="en-US"/>
                      <a:t>SBN-03/09</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D1F-4973-B0BB-08A245F13C09}"/>
                </c:ext>
              </c:extLst>
            </c:dLbl>
            <c:dLbl>
              <c:idx val="3"/>
              <c:tx>
                <c:rich>
                  <a:bodyPr/>
                  <a:lstStyle/>
                  <a:p>
                    <a:r>
                      <a:rPr lang="en-US"/>
                      <a:t>SWD-03/09</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D1F-4973-B0BB-08A245F13C09}"/>
                </c:ext>
              </c:extLst>
            </c:dLbl>
            <c:dLbl>
              <c:idx val="4"/>
              <c:tx>
                <c:rich>
                  <a:bodyPr/>
                  <a:lstStyle/>
                  <a:p>
                    <a:r>
                      <a:rPr lang="en-US"/>
                      <a:t>AVI-03/09</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D1F-4973-B0BB-08A245F13C09}"/>
                </c:ext>
              </c:extLst>
            </c:dLbl>
            <c:dLbl>
              <c:idx val="5"/>
              <c:tx>
                <c:rich>
                  <a:bodyPr/>
                  <a:lstStyle/>
                  <a:p>
                    <a:r>
                      <a:rPr lang="en-US"/>
                      <a:t>GOX-03/09</a:t>
                    </a:r>
                  </a:p>
                </c:rich>
              </c:tx>
              <c:dLblPos val="t"/>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FB2-45BF-AD92-67BB3DFBF383}"/>
                </c:ext>
              </c:extLst>
            </c:dLbl>
            <c:spPr>
              <a:noFill/>
              <a:ln>
                <a:noFill/>
              </a:ln>
              <a:effectLst/>
            </c:spPr>
            <c:dLblPos val="t"/>
            <c:showLegendKey val="0"/>
            <c:showVal val="1"/>
            <c:showCatName val="1"/>
            <c:showSerName val="0"/>
            <c:showPercent val="0"/>
            <c:showBubbleSize val="1"/>
            <c:showLeaderLines val="0"/>
            <c:extLst>
              <c:ext xmlns:c15="http://schemas.microsoft.com/office/drawing/2012/chart" uri="{CE6537A1-D6FC-4f65-9D91-7224C49458BB}">
                <c15:showLeaderLines val="1"/>
              </c:ext>
            </c:extLst>
          </c:dLbls>
          <c:xVal>
            <c:numRef>
              <c:f>'2003-2009'!$B$66:$B$71</c:f>
              <c:numCache>
                <c:formatCode>0.00</c:formatCode>
                <c:ptCount val="6"/>
                <c:pt idx="0">
                  <c:v>5.9189999999999996</c:v>
                </c:pt>
                <c:pt idx="1">
                  <c:v>4.2409999999999997</c:v>
                </c:pt>
                <c:pt idx="2">
                  <c:v>3.0529999999999999</c:v>
                </c:pt>
                <c:pt idx="3">
                  <c:v>3.7669999999999999</c:v>
                </c:pt>
                <c:pt idx="4">
                  <c:v>2.4489999999999998</c:v>
                </c:pt>
                <c:pt idx="5">
                  <c:v>4.7549999999999999</c:v>
                </c:pt>
              </c:numCache>
            </c:numRef>
          </c:xVal>
          <c:yVal>
            <c:numRef>
              <c:f>'2003-2009'!$C$66:$C$71</c:f>
              <c:numCache>
                <c:formatCode>0.00</c:formatCode>
                <c:ptCount val="6"/>
                <c:pt idx="0">
                  <c:v>0</c:v>
                </c:pt>
                <c:pt idx="1">
                  <c:v>0</c:v>
                </c:pt>
                <c:pt idx="2">
                  <c:v>0</c:v>
                </c:pt>
                <c:pt idx="3">
                  <c:v>0</c:v>
                </c:pt>
                <c:pt idx="4">
                  <c:v>0</c:v>
                </c:pt>
                <c:pt idx="5">
                  <c:v>0</c:v>
                </c:pt>
              </c:numCache>
            </c:numRef>
          </c:yVal>
          <c:bubbleSize>
            <c:numRef>
              <c:f>'2003-2009'!$D$66:$D$71</c:f>
              <c:numCache>
                <c:formatCode>0.00</c:formatCode>
                <c:ptCount val="6"/>
                <c:pt idx="0">
                  <c:v>4.1563697099999999</c:v>
                </c:pt>
                <c:pt idx="1">
                  <c:v>2.4900214900000002</c:v>
                </c:pt>
                <c:pt idx="2">
                  <c:v>2.9165786699999998</c:v>
                </c:pt>
                <c:pt idx="3">
                  <c:v>4.3606964100000001</c:v>
                </c:pt>
                <c:pt idx="4">
                  <c:v>2.17530709</c:v>
                </c:pt>
                <c:pt idx="5">
                  <c:v>4.6978947153000004</c:v>
                </c:pt>
              </c:numCache>
            </c:numRef>
          </c:bubbleSize>
          <c:bubble3D val="1"/>
          <c:extLst>
            <c:ext xmlns:c16="http://schemas.microsoft.com/office/drawing/2014/chart" uri="{C3380CC4-5D6E-409C-BE32-E72D297353CC}">
              <c16:uniqueId val="{00000005-AD1F-4973-B0BB-08A245F13C09}"/>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4.6097982617939411E-2"/>
                  <c:y val="6.6576268100036751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1.5666799106426311E-2"/>
                  <c:y val="-3.4743832790833561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dLbl>
              <c:idx val="5"/>
              <c:tx>
                <c:rich>
                  <a:bodyPr/>
                  <a:lstStyle/>
                  <a:p>
                    <a:r>
                      <a:rPr lang="en-US"/>
                      <a:t>GOX-96/02</a:t>
                    </a:r>
                  </a:p>
                </c:rich>
              </c:tx>
              <c:dLblPos val="t"/>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FC4-4B45-9EB1-F4D4521B7183}"/>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'1996-2002'!$B$36:$B$41</c:f>
              <c:numCache>
                <c:formatCode>0.00</c:formatCode>
                <c:ptCount val="6"/>
                <c:pt idx="0">
                  <c:v>10.063970325376077</c:v>
                </c:pt>
                <c:pt idx="1">
                  <c:v>9.5172304627861664</c:v>
                </c:pt>
                <c:pt idx="2">
                  <c:v>10.601814667813336</c:v>
                </c:pt>
                <c:pt idx="3">
                  <c:v>10.956220586865383</c:v>
                </c:pt>
                <c:pt idx="4">
                  <c:v>10.838278866075088</c:v>
                </c:pt>
                <c:pt idx="5">
                  <c:v>11.247602379795628</c:v>
                </c:pt>
              </c:numCache>
            </c:numRef>
          </c:xVal>
          <c:yVal>
            <c:numRef>
              <c:f>'1996-2002'!$C$36:$C$41</c:f>
              <c:numCache>
                <c:formatCode>0.00</c:formatCode>
                <c:ptCount val="6"/>
                <c:pt idx="0">
                  <c:v>14.635019927787773</c:v>
                </c:pt>
                <c:pt idx="1">
                  <c:v>13.709858962927512</c:v>
                </c:pt>
                <c:pt idx="2">
                  <c:v>14.576113240479982</c:v>
                </c:pt>
                <c:pt idx="3">
                  <c:v>13.111689362033218</c:v>
                </c:pt>
                <c:pt idx="4">
                  <c:v>16.222711992650041</c:v>
                </c:pt>
                <c:pt idx="5">
                  <c:v>16.439071338860977</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A53C-4946-AE92-4A6B05DD8755}"/>
                </c:ext>
              </c:extLst>
            </c:dLbl>
            <c:dLbl>
              <c:idx val="5"/>
              <c:tx>
                <c:rich>
                  <a:bodyPr/>
                  <a:lstStyle/>
                  <a:p>
                    <a:fld id="{CAAD9761-D1F6-41CC-BE5B-B470E6F9904B}" type="CELLRANGE">
                      <a:rPr lang="en-US"/>
                      <a:pPr/>
                      <a:t>[CELLRANGE]</a:t>
                    </a:fld>
                    <a:endParaRPr lang="lt-LT"/>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603-4A70-8CF3-E62D10BD7754}"/>
                </c:ext>
              </c:extLst>
            </c:dLbl>
            <c:spPr>
              <a:noFill/>
              <a:ln>
                <a:noFill/>
              </a:ln>
              <a:effectLst/>
            </c:sp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'1996-2002'!$B$66:$B$71</c:f>
              <c:numCache>
                <c:formatCode>0.00</c:formatCode>
                <c:ptCount val="6"/>
                <c:pt idx="0">
                  <c:v>14.957000000000001</c:v>
                </c:pt>
                <c:pt idx="1">
                  <c:v>19.326000000000001</c:v>
                </c:pt>
                <c:pt idx="2">
                  <c:v>22.170999999999999</c:v>
                </c:pt>
                <c:pt idx="3">
                  <c:v>50.783999999999999</c:v>
                </c:pt>
                <c:pt idx="4">
                  <c:v>19.939</c:v>
                </c:pt>
                <c:pt idx="5" formatCode="General">
                  <c:v>12.84</c:v>
                </c:pt>
              </c:numCache>
            </c:numRef>
          </c:xVal>
          <c:yVal>
            <c:numRef>
              <c:f>'1996-2002'!$C$66:$C$71</c:f>
              <c:numCache>
                <c:formatCode>0.00</c:formatCode>
                <c:ptCount val="6"/>
                <c:pt idx="0">
                  <c:v>14.635019927787773</c:v>
                </c:pt>
                <c:pt idx="1">
                  <c:v>13.709858962927512</c:v>
                </c:pt>
                <c:pt idx="2">
                  <c:v>14.576113240479982</c:v>
                </c:pt>
                <c:pt idx="3">
                  <c:v>13.111689362033218</c:v>
                </c:pt>
                <c:pt idx="4">
                  <c:v>16.222711992650041</c:v>
                </c:pt>
                <c:pt idx="5" formatCode="General">
                  <c:v>16.439071338860977</c:v>
                </c:pt>
              </c:numCache>
            </c:numRef>
          </c:yVal>
          <c:bubbleSize>
            <c:numRef>
              <c:f>'1996-2002'!$D$66:$D$71</c:f>
              <c:numCache>
                <c:formatCode>0.00</c:formatCode>
                <c:ptCount val="6"/>
                <c:pt idx="0">
                  <c:v>37.472794399999998</c:v>
                </c:pt>
                <c:pt idx="1">
                  <c:v>59.517166930000002</c:v>
                </c:pt>
                <c:pt idx="2">
                  <c:v>85.870046799999997</c:v>
                </c:pt>
                <c:pt idx="3">
                  <c:v>188.41916015000001</c:v>
                </c:pt>
                <c:pt idx="4">
                  <c:v>69.952308269999989</c:v>
                </c:pt>
                <c:pt idx="5" formatCode="General">
                  <c:v>47.484372251900005</c:v>
                </c:pt>
              </c:numCache>
            </c:numRef>
          </c:bubbleSize>
          <c:bubble3D val="1"/>
          <c:extLst>
            <c:ext xmlns:c15="http://schemas.microsoft.com/office/drawing/2012/chart" uri="{02D57815-91ED-43cb-92C2-25804820EDAC}">
              <c15:datalabelsRange>
                <c15:f>'1996-2002'!$A$66:$A$71</c15:f>
                <c15:dlblRangeCache>
                  <c:ptCount val="6"/>
                  <c:pt idx="0">
                    <c:v>LMN-96/02</c:v>
                  </c:pt>
                  <c:pt idx="1">
                    <c:v>INV-96/02</c:v>
                  </c:pt>
                  <c:pt idx="2">
                    <c:v>SBN-96/02</c:v>
                  </c:pt>
                  <c:pt idx="3">
                    <c:v>SWD-96/02</c:v>
                  </c:pt>
                  <c:pt idx="4">
                    <c:v>AVI-96/02</c:v>
                  </c:pt>
                  <c:pt idx="5">
                    <c:v>GOX-96/02</c:v>
                  </c:pt>
                </c15:dlblRangeCache>
              </c15:datalabelsRange>
            </c:ex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dLbl>
              <c:idx val="5"/>
              <c:tx>
                <c:rich>
                  <a:bodyPr/>
                  <a:lstStyle/>
                  <a:p>
                    <a:r>
                      <a:rPr lang="en-US"/>
                      <a:t>GOX-89/95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562-4472-A1AD-C6652C6333F0}"/>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'1989-1995'!$B$36:$B$41</c:f>
              <c:numCache>
                <c:formatCode>0.00</c:formatCode>
                <c:ptCount val="6"/>
                <c:pt idx="0">
                  <c:v>10.060780921375136</c:v>
                </c:pt>
                <c:pt idx="1">
                  <c:v>9.0700720338596934</c:v>
                </c:pt>
                <c:pt idx="2">
                  <c:v>10.476499391965241</c:v>
                </c:pt>
                <c:pt idx="3">
                  <c:v>10.607804923471175</c:v>
                </c:pt>
                <c:pt idx="4">
                  <c:v>10.162212138274631</c:v>
                </c:pt>
                <c:pt idx="5">
                  <c:v>11.234738027708449</c:v>
                </c:pt>
              </c:numCache>
            </c:numRef>
          </c:xVal>
          <c:yVal>
            <c:numRef>
              <c:f>'1989-1995'!$C$36:$C$41</c:f>
              <c:numCache>
                <c:formatCode>0.00</c:formatCode>
                <c:ptCount val="6"/>
                <c:pt idx="0">
                  <c:v>14.687655525371458</c:v>
                </c:pt>
                <c:pt idx="1">
                  <c:v>13.360042084340563</c:v>
                </c:pt>
                <c:pt idx="2">
                  <c:v>14.35355933689706</c:v>
                </c:pt>
                <c:pt idx="3">
                  <c:v>12.858816801412987</c:v>
                </c:pt>
                <c:pt idx="4">
                  <c:v>16.734572112789571</c:v>
                </c:pt>
                <c:pt idx="5">
                  <c:v>16.458555907883476</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min val="9"/>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dLbl>
              <c:idx val="5"/>
              <c:layout>
                <c:manualLayout>
                  <c:x val="-0.11193440118689314"/>
                  <c:y val="6.2567871076078321E-2"/>
                </c:manualLayout>
              </c:layout>
              <c:tx>
                <c:rich>
                  <a:bodyPr/>
                  <a:lstStyle/>
                  <a:p>
                    <a:r>
                      <a:rPr lang="en-US"/>
                      <a:t>GOX-89/95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1BF-49A7-B395-308999B71C47}"/>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'1989-1995'!$B$66:$B$71</c:f>
              <c:numCache>
                <c:formatCode>0.00</c:formatCode>
                <c:ptCount val="6"/>
                <c:pt idx="0">
                  <c:v>22.623000000000001</c:v>
                </c:pt>
                <c:pt idx="1">
                  <c:v>36.524000000000001</c:v>
                </c:pt>
                <c:pt idx="2">
                  <c:v>46.451999999999998</c:v>
                </c:pt>
                <c:pt idx="3">
                  <c:v>96.02</c:v>
                </c:pt>
                <c:pt idx="4">
                  <c:v>34.36</c:v>
                </c:pt>
                <c:pt idx="5">
                  <c:v>13.448</c:v>
                </c:pt>
              </c:numCache>
            </c:numRef>
          </c:xVal>
          <c:yVal>
            <c:numRef>
              <c:f>'1989-1995'!$C$66:$C$71</c:f>
              <c:numCache>
                <c:formatCode>0.00</c:formatCode>
                <c:ptCount val="6"/>
                <c:pt idx="0">
                  <c:v>14.687655525371458</c:v>
                </c:pt>
                <c:pt idx="1">
                  <c:v>13.360042084340563</c:v>
                </c:pt>
                <c:pt idx="2">
                  <c:v>14.35355933689706</c:v>
                </c:pt>
                <c:pt idx="3">
                  <c:v>12.858816801412987</c:v>
                </c:pt>
                <c:pt idx="4">
                  <c:v>16.734572112789571</c:v>
                </c:pt>
                <c:pt idx="5">
                  <c:v>16.458555907883476</c:v>
                </c:pt>
              </c:numCache>
            </c:numRef>
          </c:yVal>
          <c:bubbleSize>
            <c:numRef>
              <c:f>'1989-1995'!$D$66:$D$71</c:f>
              <c:numCache>
                <c:formatCode>0.00</c:formatCode>
                <c:ptCount val="6"/>
                <c:pt idx="0">
                  <c:v>103.47336728000001</c:v>
                </c:pt>
                <c:pt idx="1">
                  <c:v>192.49501325</c:v>
                </c:pt>
                <c:pt idx="2">
                  <c:v>279.46909462999997</c:v>
                </c:pt>
                <c:pt idx="3">
                  <c:v>541.15940119000004</c:v>
                </c:pt>
                <c:pt idx="4">
                  <c:v>178.95154391</c:v>
                </c:pt>
                <c:pt idx="5">
                  <c:v>77.413357075200011</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dLbl>
              <c:idx val="5"/>
              <c:tx>
                <c:rich>
                  <a:bodyPr/>
                  <a:lstStyle/>
                  <a:p>
                    <a:r>
                      <a:rPr lang="en-US"/>
                      <a:t>GOX-82/88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094-4DEC-9D52-87EF2B16D7B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'1982-1988'!$B$36:$B$41</c:f>
              <c:numCache>
                <c:formatCode>0.00</c:formatCode>
                <c:ptCount val="6"/>
                <c:pt idx="0">
                  <c:v>10.004815825188922</c:v>
                </c:pt>
                <c:pt idx="1">
                  <c:v>9.0340028173807809</c:v>
                </c:pt>
                <c:pt idx="2">
                  <c:v>10.423404223592344</c:v>
                </c:pt>
                <c:pt idx="3">
                  <c:v>10.600653385256519</c:v>
                </c:pt>
                <c:pt idx="4">
                  <c:v>10.177915857696405</c:v>
                </c:pt>
                <c:pt idx="5">
                  <c:v>11.256194729207639</c:v>
                </c:pt>
              </c:numCache>
            </c:numRef>
          </c:xVal>
          <c:yVal>
            <c:numRef>
              <c:f>'1982-1988'!$C$36:$C$41</c:f>
              <c:numCache>
                <c:formatCode>0.00</c:formatCode>
                <c:ptCount val="6"/>
                <c:pt idx="0">
                  <c:v>14.738979712062616</c:v>
                </c:pt>
                <c:pt idx="1">
                  <c:v>13.356768950158493</c:v>
                </c:pt>
                <c:pt idx="2">
                  <c:v>14.244514790149744</c:v>
                </c:pt>
                <c:pt idx="3">
                  <c:v>12.898400526823494</c:v>
                </c:pt>
                <c:pt idx="4">
                  <c:v>16.752115235267585</c:v>
                </c:pt>
                <c:pt idx="5">
                  <c:v>16.443577031901601</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min val="9"/>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dLbl>
              <c:idx val="5"/>
              <c:tx>
                <c:rich>
                  <a:bodyPr/>
                  <a:lstStyle/>
                  <a:p>
                    <a:r>
                      <a:rPr lang="en-US"/>
                      <a:t>GOX-82/88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4D5A-4299-9F29-8E2C485F1302}"/>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'1982-1988'!$B$66:$B$71</c:f>
              <c:numCache>
                <c:formatCode>0.00</c:formatCode>
                <c:ptCount val="6"/>
                <c:pt idx="0">
                  <c:v>28.878</c:v>
                </c:pt>
                <c:pt idx="1">
                  <c:v>42.682000000000002</c:v>
                </c:pt>
                <c:pt idx="2">
                  <c:v>74.337999999999994</c:v>
                </c:pt>
                <c:pt idx="3">
                  <c:v>114.002</c:v>
                </c:pt>
                <c:pt idx="4">
                  <c:v>48.03</c:v>
                </c:pt>
                <c:pt idx="5">
                  <c:v>10.505000000000001</c:v>
                </c:pt>
              </c:numCache>
            </c:numRef>
          </c:xVal>
          <c:yVal>
            <c:numRef>
              <c:f>'1982-1988'!$C$66:$C$71</c:f>
              <c:numCache>
                <c:formatCode>0.00</c:formatCode>
                <c:ptCount val="6"/>
                <c:pt idx="0">
                  <c:v>14.738979712062616</c:v>
                </c:pt>
                <c:pt idx="1">
                  <c:v>13.356768950158493</c:v>
                </c:pt>
                <c:pt idx="2">
                  <c:v>14.244514790149744</c:v>
                </c:pt>
                <c:pt idx="3">
                  <c:v>12.898400526823494</c:v>
                </c:pt>
                <c:pt idx="4">
                  <c:v>16.752115235267585</c:v>
                </c:pt>
                <c:pt idx="5">
                  <c:v>16.443577031901601</c:v>
                </c:pt>
              </c:numCache>
            </c:numRef>
          </c:yVal>
          <c:bubbleSize>
            <c:numRef>
              <c:f>'1982-1988'!$D$66:$D$71</c:f>
              <c:numCache>
                <c:formatCode>0.00</c:formatCode>
                <c:ptCount val="6"/>
                <c:pt idx="0">
                  <c:v>182.51374527000002</c:v>
                </c:pt>
                <c:pt idx="1">
                  <c:v>321.58774989999995</c:v>
                </c:pt>
                <c:pt idx="2">
                  <c:v>578.57098887999996</c:v>
                </c:pt>
                <c:pt idx="3">
                  <c:v>733.87588208</c:v>
                </c:pt>
                <c:pt idx="4">
                  <c:v>293.01942564000001</c:v>
                </c:pt>
                <c:pt idx="5">
                  <c:v>80.566327821599998</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0.11522365125974875"/>
                  <c:y val="-3.176740647861518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5.2824530861771857E-2"/>
                  <c:y val="-3.7906594674019231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8.6782303888975725E-3"/>
                  <c:y val="-7.3211084669456417E-3"/>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dLbl>
              <c:idx val="5"/>
              <c:tx>
                <c:rich>
                  <a:bodyPr/>
                  <a:lstStyle/>
                  <a:p>
                    <a:r>
                      <a:rPr lang="en-US"/>
                      <a:t>GOX-75/81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0B6-46C6-AFC0-7E65BAABD9ED}"/>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'1975-1981'!$B$36:$B$41</c:f>
              <c:numCache>
                <c:formatCode>0.00</c:formatCode>
                <c:ptCount val="6"/>
                <c:pt idx="0">
                  <c:v>9.9957414587187294</c:v>
                </c:pt>
                <c:pt idx="1">
                  <c:v>8.9049332058427151</c:v>
                </c:pt>
                <c:pt idx="2">
                  <c:v>10.380070101778244</c:v>
                </c:pt>
                <c:pt idx="3">
                  <c:v>10.52392747082469</c:v>
                </c:pt>
                <c:pt idx="4">
                  <c:v>10.172996377054782</c:v>
                </c:pt>
                <c:pt idx="5">
                  <c:v>11.235966106374146</c:v>
                </c:pt>
              </c:numCache>
            </c:numRef>
          </c:xVal>
          <c:yVal>
            <c:numRef>
              <c:f>'1975-1981'!$C$36:$C$41</c:f>
              <c:numCache>
                <c:formatCode>0.00</c:formatCode>
                <c:ptCount val="6"/>
                <c:pt idx="0">
                  <c:v>14.70714667081765</c:v>
                </c:pt>
                <c:pt idx="1">
                  <c:v>13.133303030320874</c:v>
                </c:pt>
                <c:pt idx="2">
                  <c:v>14.18939025642565</c:v>
                </c:pt>
                <c:pt idx="3">
                  <c:v>12.889449427170208</c:v>
                </c:pt>
                <c:pt idx="4">
                  <c:v>16.620097133944544</c:v>
                </c:pt>
                <c:pt idx="5">
                  <c:v>16.495646623118574</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min val="8"/>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tx>
                <c:rich>
                  <a:bodyPr/>
                  <a:lstStyle/>
                  <a:p>
                    <a:r>
                      <a:rPr lang="en-US"/>
                      <a:t>LMN-75/81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tx>
                <c:rich>
                  <a:bodyPr/>
                  <a:lstStyle/>
                  <a:p>
                    <a:r>
                      <a:rPr lang="en-US"/>
                      <a:t>INV-75/81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tx>
                <c:rich>
                  <a:bodyPr/>
                  <a:lstStyle/>
                  <a:p>
                    <a:r>
                      <a:rPr lang="en-US"/>
                      <a:t>SBN-75/81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tx>
                <c:rich>
                  <a:bodyPr/>
                  <a:lstStyle/>
                  <a:p>
                    <a:r>
                      <a:rPr lang="en-US"/>
                      <a:t>SWD-75/81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tx>
                <c:rich>
                  <a:bodyPr/>
                  <a:lstStyle/>
                  <a:p>
                    <a:r>
                      <a:rPr lang="en-US"/>
                      <a:t>AVI-75/81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dLbl>
              <c:idx val="5"/>
              <c:tx>
                <c:rich>
                  <a:bodyPr/>
                  <a:lstStyle/>
                  <a:p>
                    <a:r>
                      <a:rPr lang="en-US"/>
                      <a:t>GOX-75/81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448-4F67-97FD-34F99F734FCC}"/>
                </c:ext>
              </c:extLst>
            </c:dLbl>
            <c:spPr>
              <a:noFill/>
              <a:ln>
                <a:noFill/>
              </a:ln>
              <a:effectLst/>
            </c:spPr>
            <c:dLblPos val="t"/>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'1975-1981'!$B$66:$B$71</c:f>
              <c:numCache>
                <c:formatCode>0.00</c:formatCode>
                <c:ptCount val="6"/>
                <c:pt idx="0">
                  <c:v>25.872</c:v>
                </c:pt>
                <c:pt idx="1">
                  <c:v>19.611000000000001</c:v>
                </c:pt>
                <c:pt idx="2">
                  <c:v>62.238999999999997</c:v>
                </c:pt>
                <c:pt idx="3">
                  <c:v>96.813999999999993</c:v>
                </c:pt>
                <c:pt idx="4">
                  <c:v>40.106000000000002</c:v>
                </c:pt>
                <c:pt idx="5">
                  <c:v>5.0439999999999996</c:v>
                </c:pt>
              </c:numCache>
            </c:numRef>
          </c:xVal>
          <c:yVal>
            <c:numRef>
              <c:f>'1975-1981'!$C$66:$C$71</c:f>
              <c:numCache>
                <c:formatCode>0.00</c:formatCode>
                <c:ptCount val="6"/>
                <c:pt idx="0">
                  <c:v>13.133303030320874</c:v>
                </c:pt>
                <c:pt idx="1">
                  <c:v>14.70714667081765</c:v>
                </c:pt>
                <c:pt idx="2">
                  <c:v>14.18939025642565</c:v>
                </c:pt>
                <c:pt idx="3">
                  <c:v>12.889449427170208</c:v>
                </c:pt>
                <c:pt idx="4">
                  <c:v>16.620097133944544</c:v>
                </c:pt>
                <c:pt idx="5">
                  <c:v>16.495646623118574</c:v>
                </c:pt>
              </c:numCache>
            </c:numRef>
          </c:yVal>
          <c:bubbleSize>
            <c:numRef>
              <c:f>'1975-1981'!$D$66:$D$71</c:f>
              <c:numCache>
                <c:formatCode>0.00</c:formatCode>
                <c:ptCount val="6"/>
                <c:pt idx="0">
                  <c:v>311.22315437999998</c:v>
                </c:pt>
                <c:pt idx="1">
                  <c:v>187.64337394</c:v>
                </c:pt>
                <c:pt idx="2">
                  <c:v>686.27157708000004</c:v>
                </c:pt>
                <c:pt idx="3">
                  <c:v>838.96081248999997</c:v>
                </c:pt>
                <c:pt idx="4">
                  <c:v>345.18832601999998</c:v>
                </c:pt>
                <c:pt idx="5">
                  <c:v>65.660425860100005</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dLbl>
              <c:idx val="5"/>
              <c:tx>
                <c:rich>
                  <a:bodyPr/>
                  <a:lstStyle/>
                  <a:p>
                    <a:r>
                      <a:rPr lang="en-US"/>
                      <a:t>GOX-68/74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FFF-4A42-830F-9075A5EE23F5}"/>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'1968-1974'!$B$36:$B$41</c:f>
              <c:numCache>
                <c:formatCode>0.00</c:formatCode>
                <c:ptCount val="6"/>
                <c:pt idx="0">
                  <c:v>8.0763417080618662</c:v>
                </c:pt>
                <c:pt idx="1">
                  <c:v>6.2715083620987322</c:v>
                </c:pt>
                <c:pt idx="2">
                  <c:v>7.8274595980422426</c:v>
                </c:pt>
                <c:pt idx="3">
                  <c:v>8.0703747150271319</c:v>
                </c:pt>
                <c:pt idx="4">
                  <c:v>8.0333057548912379</c:v>
                </c:pt>
                <c:pt idx="5">
                  <c:v>11.248518884853228</c:v>
                </c:pt>
              </c:numCache>
            </c:numRef>
          </c:xVal>
          <c:yVal>
            <c:numRef>
              <c:f>'1968-1974'!$C$36:$C$41</c:f>
              <c:numCache>
                <c:formatCode>0.00</c:formatCode>
                <c:ptCount val="6"/>
                <c:pt idx="0">
                  <c:v>12.618038588913748</c:v>
                </c:pt>
                <c:pt idx="1">
                  <c:v>11.181691053811637</c:v>
                </c:pt>
                <c:pt idx="2">
                  <c:v>11.839915975888914</c:v>
                </c:pt>
                <c:pt idx="3">
                  <c:v>10.655023878840563</c:v>
                </c:pt>
                <c:pt idx="4">
                  <c:v>14.564892996229361</c:v>
                </c:pt>
                <c:pt idx="5">
                  <c:v>16.312399676961121</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min val="6"/>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tx>
                <c:rich>
                  <a:bodyPr/>
                  <a:lstStyle/>
                  <a:p>
                    <a:r>
                      <a:rPr lang="en-US"/>
                      <a:t>LMN-68/74</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D98E-4B4A-8C0F-A76F2F968B7C}"/>
                </c:ext>
              </c:extLst>
            </c:dLbl>
            <c:dLbl>
              <c:idx val="1"/>
              <c:tx>
                <c:rich>
                  <a:bodyPr/>
                  <a:lstStyle/>
                  <a:p>
                    <a:r>
                      <a:rPr lang="en-US"/>
                      <a:t>INV-68/74</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D98E-4B4A-8C0F-A76F2F968B7C}"/>
                </c:ext>
              </c:extLst>
            </c:dLbl>
            <c:dLbl>
              <c:idx val="2"/>
              <c:tx>
                <c:rich>
                  <a:bodyPr/>
                  <a:lstStyle/>
                  <a:p>
                    <a:r>
                      <a:rPr lang="en-US"/>
                      <a:t>SBN-68/74</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D98E-4B4A-8C0F-A76F2F968B7C}"/>
                </c:ext>
              </c:extLst>
            </c:dLbl>
            <c:dLbl>
              <c:idx val="3"/>
              <c:tx>
                <c:rich>
                  <a:bodyPr/>
                  <a:lstStyle/>
                  <a:p>
                    <a:r>
                      <a:rPr lang="en-US"/>
                      <a:t>SWD-68/74</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D98E-4B4A-8C0F-A76F2F968B7C}"/>
                </c:ext>
              </c:extLst>
            </c:dLbl>
            <c:dLbl>
              <c:idx val="4"/>
              <c:tx>
                <c:rich>
                  <a:bodyPr/>
                  <a:lstStyle/>
                  <a:p>
                    <a:r>
                      <a:rPr lang="en-US"/>
                      <a:t>AVI-68/74</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D98E-4B4A-8C0F-A76F2F968B7C}"/>
                </c:ext>
              </c:extLst>
            </c:dLbl>
            <c:dLbl>
              <c:idx val="5"/>
              <c:tx>
                <c:rich>
                  <a:bodyPr/>
                  <a:lstStyle/>
                  <a:p>
                    <a:fld id="{B9B0A7CF-ED1A-4823-9259-0492C619DD30}" type="CELLRANGE">
                      <a:rPr lang="en-US"/>
                      <a:pPr/>
                      <a:t>[CELLRANGE]</a:t>
                    </a:fld>
                    <a:endParaRPr lang="lt-LT"/>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C08-476B-88BD-6DB95536B8AE}"/>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'1968-1974'!$B$66:$B$71</c:f>
              <c:numCache>
                <c:formatCode>0.00</c:formatCode>
                <c:ptCount val="6"/>
                <c:pt idx="0">
                  <c:v>22.088000000000001</c:v>
                </c:pt>
                <c:pt idx="1">
                  <c:v>17.989999999999998</c:v>
                </c:pt>
                <c:pt idx="2">
                  <c:v>52.923999999999999</c:v>
                </c:pt>
                <c:pt idx="3">
                  <c:v>93.44</c:v>
                </c:pt>
                <c:pt idx="4">
                  <c:v>38.561999999999998</c:v>
                </c:pt>
                <c:pt idx="5">
                  <c:v>3.5489999999999999</c:v>
                </c:pt>
              </c:numCache>
            </c:numRef>
          </c:xVal>
          <c:yVal>
            <c:numRef>
              <c:f>'1968-1974'!$C$66:$C$71</c:f>
              <c:numCache>
                <c:formatCode>0.00</c:formatCode>
                <c:ptCount val="6"/>
                <c:pt idx="0">
                  <c:v>11.181691053811637</c:v>
                </c:pt>
                <c:pt idx="1">
                  <c:v>12.618038588913748</c:v>
                </c:pt>
                <c:pt idx="2">
                  <c:v>11.839915975888914</c:v>
                </c:pt>
                <c:pt idx="3">
                  <c:v>10.655023878840563</c:v>
                </c:pt>
                <c:pt idx="4">
                  <c:v>14.564892996229361</c:v>
                </c:pt>
                <c:pt idx="5">
                  <c:v>16.312399676961121</c:v>
                </c:pt>
              </c:numCache>
            </c:numRef>
          </c:yVal>
          <c:bubbleSize>
            <c:numRef>
              <c:f>'1968-1974'!$D$66:$D$71</c:f>
              <c:numCache>
                <c:formatCode>0.00</c:formatCode>
                <c:ptCount val="6"/>
                <c:pt idx="0">
                  <c:v>248.29906109000001</c:v>
                </c:pt>
                <c:pt idx="1">
                  <c:v>170.57982618</c:v>
                </c:pt>
                <c:pt idx="2">
                  <c:v>579.84994542999993</c:v>
                </c:pt>
                <c:pt idx="3">
                  <c:v>803.83452649000003</c:v>
                </c:pt>
                <c:pt idx="4">
                  <c:v>339.84283105000003</c:v>
                </c:pt>
                <c:pt idx="5">
                  <c:v>44.530986701300002</c:v>
                </c:pt>
              </c:numCache>
            </c:numRef>
          </c:bubbleSize>
          <c:bubble3D val="1"/>
          <c:extLst>
            <c:ext xmlns:c15="http://schemas.microsoft.com/office/drawing/2012/chart" uri="{02D57815-91ED-43cb-92C2-25804820EDAC}">
              <c15:datalabelsRange>
                <c15:f>'1968-1974'!$A$66:$A$71</c15:f>
                <c15:dlblRangeCache>
                  <c:ptCount val="6"/>
                  <c:pt idx="0">
                    <c:v>INV-68/74</c:v>
                  </c:pt>
                  <c:pt idx="1">
                    <c:v>LMN-68/74</c:v>
                  </c:pt>
                  <c:pt idx="2">
                    <c:v>SBN-68/74</c:v>
                  </c:pt>
                  <c:pt idx="3">
                    <c:v>SWD-68/74</c:v>
                  </c:pt>
                  <c:pt idx="4">
                    <c:v>AVI-68/74</c:v>
                  </c:pt>
                  <c:pt idx="5">
                    <c:v>GOX-68/74</c:v>
                  </c:pt>
                </c15:dlblRangeCache>
              </c15:datalabelsRange>
            </c:ex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58AE-48EE-B7CC-A6410D89A4DD}"/>
                </c:ext>
              </c:extLst>
            </c:dLbl>
            <c:dLbl>
              <c:idx val="5"/>
              <c:tx>
                <c:rich>
                  <a:bodyPr/>
                  <a:lstStyle/>
                  <a:p>
                    <a:fld id="{287FA543-1485-4299-85A6-E2FCD1F709EB}" type="CELLRANGE">
                      <a:rPr lang="en-US"/>
                      <a:pPr/>
                      <a:t>[CELLRANGE]</a:t>
                    </a:fld>
                    <a:endParaRPr lang="lt-LT"/>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7E6-4065-BC97-2D3C70DBAB3C}"/>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'1961-1967'!$B$36:$B$41</c:f>
              <c:numCache>
                <c:formatCode>0.00</c:formatCode>
                <c:ptCount val="6"/>
                <c:pt idx="0">
                  <c:v>5.6666193373530618</c:v>
                </c:pt>
                <c:pt idx="1">
                  <c:v>4.0243488158230578</c:v>
                </c:pt>
                <c:pt idx="2">
                  <c:v>4.8946719179296068</c:v>
                </c:pt>
                <c:pt idx="3">
                  <c:v>4.9687369667386863</c:v>
                </c:pt>
                <c:pt idx="4">
                  <c:v>4.5630576224307635</c:v>
                </c:pt>
                <c:pt idx="5">
                  <c:v>5.326726500804531</c:v>
                </c:pt>
              </c:numCache>
            </c:numRef>
          </c:xVal>
          <c:yVal>
            <c:numRef>
              <c:f>'1961-1967'!$C$36:$C$41</c:f>
              <c:numCache>
                <c:formatCode>0.00</c:formatCode>
                <c:ptCount val="6"/>
                <c:pt idx="0">
                  <c:v>8.9775220019737709</c:v>
                </c:pt>
                <c:pt idx="1">
                  <c:v>8.8986728016897452</c:v>
                </c:pt>
                <c:pt idx="2">
                  <c:v>8.6406116020934398</c:v>
                </c:pt>
                <c:pt idx="3">
                  <c:v>7.6910794815833183</c:v>
                </c:pt>
                <c:pt idx="4">
                  <c:v>9.5285290104270679</c:v>
                </c:pt>
                <c:pt idx="5">
                  <c:v>8.9412369001310221</c:v>
                </c:pt>
              </c:numCache>
            </c:numRef>
          </c:yVal>
          <c:smooth val="0"/>
          <c:extLst>
            <c:ext xmlns:c15="http://schemas.microsoft.com/office/drawing/2012/chart" uri="{02D57815-91ED-43cb-92C2-25804820EDAC}">
              <c15:datalabelsRange>
                <c15:f>'1961-1967'!$A$36:$A$41</c15:f>
                <c15:dlblRangeCache>
                  <c:ptCount val="6"/>
                  <c:pt idx="0">
                    <c:v>LMN-61/67</c:v>
                  </c:pt>
                  <c:pt idx="1">
                    <c:v>INV-61/67</c:v>
                  </c:pt>
                  <c:pt idx="2">
                    <c:v>SBN-61/67</c:v>
                  </c:pt>
                  <c:pt idx="3">
                    <c:v>SWD-61/67</c:v>
                  </c:pt>
                  <c:pt idx="4">
                    <c:v>AVI-61/67</c:v>
                  </c:pt>
                  <c:pt idx="5">
                    <c:v>GOX-61/67</c:v>
                  </c:pt>
                </c15:dlblRangeCache>
              </c15:datalabelsRange>
            </c:ex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min val="3"/>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CB46-428A-89DC-04A981D16938}"/>
                </c:ext>
              </c:extLst>
            </c:dLbl>
            <c:dLbl>
              <c:idx val="2"/>
              <c:layout>
                <c:manualLayout>
                  <c:x val="-8.8001284910312227E-2"/>
                  <c:y val="-0.12474076790415757"/>
                </c:manualLayout>
              </c:layout>
              <c:tx>
                <c:rich>
                  <a:bodyPr/>
                  <a:lstStyle/>
                  <a:p>
                    <a:r>
                      <a:rPr lang="en-US"/>
                      <a:t>SBN-61/67</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CB46-428A-89DC-04A981D16938}"/>
                </c:ext>
              </c:extLst>
            </c:dLbl>
            <c:dLbl>
              <c:idx val="4"/>
              <c:layout>
                <c:manualLayout>
                  <c:x val="-7.7066348566345838E-2"/>
                  <c:y val="-0.10660570239162544"/>
                </c:manualLayout>
              </c:layout>
              <c:tx>
                <c:rich>
                  <a:bodyPr/>
                  <a:lstStyle/>
                  <a:p>
                    <a:r>
                      <a:rPr lang="en-US"/>
                      <a:t>AVI-61/67</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CB46-428A-89DC-04A981D16938}"/>
                </c:ext>
              </c:extLst>
            </c:dLbl>
            <c:dLbl>
              <c:idx val="5"/>
              <c:tx>
                <c:rich>
                  <a:bodyPr/>
                  <a:lstStyle/>
                  <a:p>
                    <a:fld id="{CB54A204-E7B1-4BAB-9535-8C4B10E0DBF3}" type="CELLRANGE">
                      <a:rPr lang="lt-LT"/>
                      <a:pPr/>
                      <a:t>[CELLRANGE]</a:t>
                    </a:fld>
                    <a:endParaRPr lang="lt-L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A4-4028-836A-A34A657B85D3}"/>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'1961-1967'!$B$66:$B$71</c:f>
              <c:numCache>
                <c:formatCode>0.00</c:formatCode>
                <c:ptCount val="6"/>
                <c:pt idx="0">
                  <c:v>15.881</c:v>
                </c:pt>
                <c:pt idx="1">
                  <c:v>16.739999999999998</c:v>
                </c:pt>
                <c:pt idx="2">
                  <c:v>45.314999999999998</c:v>
                </c:pt>
                <c:pt idx="3">
                  <c:v>78.991</c:v>
                </c:pt>
                <c:pt idx="4">
                  <c:v>34.648000000000003</c:v>
                </c:pt>
                <c:pt idx="5">
                  <c:v>1.335</c:v>
                </c:pt>
              </c:numCache>
            </c:numRef>
          </c:xVal>
          <c:yVal>
            <c:numRef>
              <c:f>'1961-1967'!$C$66:$C$71</c:f>
              <c:numCache>
                <c:formatCode>0.00</c:formatCode>
                <c:ptCount val="6"/>
                <c:pt idx="0">
                  <c:v>8.9775220019737709</c:v>
                </c:pt>
                <c:pt idx="1">
                  <c:v>8.8986728016897452</c:v>
                </c:pt>
                <c:pt idx="2">
                  <c:v>8.6406116020934398</c:v>
                </c:pt>
                <c:pt idx="3">
                  <c:v>7.6910794815833183</c:v>
                </c:pt>
                <c:pt idx="4">
                  <c:v>9.5285290104270679</c:v>
                </c:pt>
                <c:pt idx="5">
                  <c:v>8.9412369001310221</c:v>
                </c:pt>
              </c:numCache>
            </c:numRef>
          </c:yVal>
          <c:bubbleSize>
            <c:numRef>
              <c:f>'1961-1967'!$D$66:$D$71</c:f>
              <c:numCache>
                <c:formatCode>0.00</c:formatCode>
                <c:ptCount val="6"/>
                <c:pt idx="0">
                  <c:v>126.72778362000001</c:v>
                </c:pt>
                <c:pt idx="1">
                  <c:v>152.67929046</c:v>
                </c:pt>
                <c:pt idx="2">
                  <c:v>413.40451451000001</c:v>
                </c:pt>
                <c:pt idx="3">
                  <c:v>578.75341508000008</c:v>
                </c:pt>
                <c:pt idx="4">
                  <c:v>267.26285072999997</c:v>
                </c:pt>
                <c:pt idx="5">
                  <c:v>13.551247999099999</c:v>
                </c:pt>
              </c:numCache>
            </c:numRef>
          </c:bubbleSize>
          <c:bubble3D val="1"/>
          <c:extLst>
            <c:ext xmlns:c15="http://schemas.microsoft.com/office/drawing/2012/chart" uri="{02D57815-91ED-43cb-92C2-25804820EDAC}">
              <c15:datalabelsRange>
                <c15:f>'1961-1967'!$A$66:$A$71</c15:f>
                <c15:dlblRangeCache>
                  <c:ptCount val="6"/>
                  <c:pt idx="0">
                    <c:v>LMN-61/67</c:v>
                  </c:pt>
                  <c:pt idx="1">
                    <c:v>INV-61/67</c:v>
                  </c:pt>
                  <c:pt idx="2">
                    <c:v>SBN-61/67</c:v>
                  </c:pt>
                  <c:pt idx="3">
                    <c:v>SWD-61/67</c:v>
                  </c:pt>
                  <c:pt idx="4">
                    <c:v>AVI-61/67</c:v>
                  </c:pt>
                  <c:pt idx="5">
                    <c:v>GOX-61/67</c:v>
                  </c:pt>
                </c15:dlblRangeCache>
              </c15:datalabelsRange>
            </c:ex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E5E1-4D3B-9813-EF7F39486E9A}"/>
                </c:ext>
              </c:extLst>
            </c:dLbl>
            <c:dLbl>
              <c:idx val="5"/>
              <c:tx>
                <c:rich>
                  <a:bodyPr/>
                  <a:lstStyle/>
                  <a:p>
                    <a:fld id="{5840E590-9102-4F42-B8DB-E5436813B763}" type="CELLRANGE">
                      <a:rPr lang="en-US"/>
                      <a:pPr/>
                      <a:t>[CELLRANGE]</a:t>
                    </a:fld>
                    <a:endParaRPr lang="lt-L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D08-463A-AF9E-9A81D2A6BBE5}"/>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TIF!$B$36:$B$41</c:f>
              <c:numCache>
                <c:formatCode>0.00</c:formatCode>
                <c:ptCount val="6"/>
                <c:pt idx="0">
                  <c:v>3.38909773858339</c:v>
                </c:pt>
                <c:pt idx="1">
                  <c:v>2.635145200059732</c:v>
                </c:pt>
                <c:pt idx="2">
                  <c:v>3.2896385161789539</c:v>
                </c:pt>
                <c:pt idx="3">
                  <c:v>3.5472974344520569</c:v>
                </c:pt>
                <c:pt idx="4">
                  <c:v>2.7585579182073343</c:v>
                </c:pt>
                <c:pt idx="5">
                  <c:v>2.0667130254238244</c:v>
                </c:pt>
              </c:numCache>
            </c:numRef>
          </c:xVal>
          <c:yVal>
            <c:numRef>
              <c:f>TIF!$C$36:$C$41</c:f>
              <c:numCache>
                <c:formatCode>0.00</c:formatCode>
                <c:ptCount val="6"/>
                <c:pt idx="0">
                  <c:v>5.0407496694640175</c:v>
                </c:pt>
                <c:pt idx="1">
                  <c:v>5.6804193494415012</c:v>
                </c:pt>
                <c:pt idx="2">
                  <c:v>6.0807482381887379</c:v>
                </c:pt>
                <c:pt idx="3">
                  <c:v>5.7256106458779099</c:v>
                </c:pt>
                <c:pt idx="4">
                  <c:v>6.1333062058643195</c:v>
                </c:pt>
                <c:pt idx="5">
                  <c:v>3.1104633030107021</c:v>
                </c:pt>
              </c:numCache>
            </c:numRef>
          </c:yVal>
          <c:smooth val="0"/>
          <c:extLst>
            <c:ext xmlns:c15="http://schemas.microsoft.com/office/drawing/2012/chart" uri="{02D57815-91ED-43cb-92C2-25804820EDAC}">
              <c15:datalabelsRange>
                <c15:f>TIF!$A$36:$A$41</c15:f>
                <c15:dlblRangeCache>
                  <c:ptCount val="6"/>
                  <c:pt idx="0">
                    <c:v>LMN-TIPF</c:v>
                  </c:pt>
                  <c:pt idx="1">
                    <c:v>INV-TIPF</c:v>
                  </c:pt>
                  <c:pt idx="2">
                    <c:v>SBN-TIPF</c:v>
                  </c:pt>
                  <c:pt idx="3">
                    <c:v>SWD-TIPF</c:v>
                  </c:pt>
                  <c:pt idx="4">
                    <c:v>AVI-TIPF</c:v>
                  </c:pt>
                  <c:pt idx="5">
                    <c:v>GOX-TIPF</c:v>
                  </c:pt>
                </c15:dlblRangeCache>
              </c15:datalabelsRange>
            </c:ex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7.8952748075250944E-3"/>
                  <c:y val="-4.6230533763779003E-2"/>
                </c:manualLayout>
              </c:layout>
              <c:tx>
                <c:rich>
                  <a:bodyPr/>
                  <a:lstStyle/>
                  <a:p>
                    <a:r>
                      <a:rPr lang="en-US"/>
                      <a:t>LMN-TIPF</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121C-460D-B8F3-9A44B1F95391}"/>
                </c:ext>
              </c:extLst>
            </c:dLbl>
            <c:dLbl>
              <c:idx val="1"/>
              <c:tx>
                <c:rich>
                  <a:bodyPr/>
                  <a:lstStyle/>
                  <a:p>
                    <a:r>
                      <a:rPr lang="en-US"/>
                      <a:t>INV-TIPF</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121C-460D-B8F3-9A44B1F95391}"/>
                </c:ext>
              </c:extLst>
            </c:dLbl>
            <c:dLbl>
              <c:idx val="2"/>
              <c:layout>
                <c:manualLayout>
                  <c:x val="-9.3818388318186022E-2"/>
                  <c:y val="-0.14970067670668175"/>
                </c:manualLayout>
              </c:layout>
              <c:tx>
                <c:rich>
                  <a:bodyPr/>
                  <a:lstStyle/>
                  <a:p>
                    <a:r>
                      <a:rPr lang="en-US"/>
                      <a:t>SBN-TIPF</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121C-460D-B8F3-9A44B1F95391}"/>
                </c:ext>
              </c:extLst>
            </c:dLbl>
            <c:dLbl>
              <c:idx val="3"/>
              <c:tx>
                <c:rich>
                  <a:bodyPr/>
                  <a:lstStyle/>
                  <a:p>
                    <a:r>
                      <a:rPr lang="en-US"/>
                      <a:t>SWD-TIPF</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121C-460D-B8F3-9A44B1F95391}"/>
                </c:ext>
              </c:extLst>
            </c:dLbl>
            <c:dLbl>
              <c:idx val="4"/>
              <c:layout>
                <c:manualLayout>
                  <c:x val="-0.11590595712899995"/>
                  <c:y val="0.20697002306489953"/>
                </c:manualLayout>
              </c:layout>
              <c:tx>
                <c:rich>
                  <a:bodyPr/>
                  <a:lstStyle/>
                  <a:p>
                    <a:r>
                      <a:rPr lang="en-US"/>
                      <a:t>AVI-TIPF</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121C-460D-B8F3-9A44B1F95391}"/>
                </c:ext>
              </c:extLst>
            </c:dLbl>
            <c:dLbl>
              <c:idx val="5"/>
              <c:tx>
                <c:rich>
                  <a:bodyPr/>
                  <a:lstStyle/>
                  <a:p>
                    <a:fld id="{C869ACEF-F2FB-4C72-B703-168F7B27C163}" type="CELLRANGE">
                      <a:rPr lang="en-US"/>
                      <a:pPr/>
                      <a:t>[CELLRANGE]</a:t>
                    </a:fld>
                    <a:endParaRPr lang="lt-LT"/>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E29-4860-B8E2-E1177DA22B1E}"/>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TIF!$B$66:$B$71</c:f>
              <c:numCache>
                <c:formatCode>0.00</c:formatCode>
                <c:ptCount val="6"/>
                <c:pt idx="0">
                  <c:v>4.8090000000000002</c:v>
                </c:pt>
                <c:pt idx="1">
                  <c:v>4.2670000000000003</c:v>
                </c:pt>
                <c:pt idx="2">
                  <c:v>10.997999999999999</c:v>
                </c:pt>
                <c:pt idx="3">
                  <c:v>12.268000000000001</c:v>
                </c:pt>
                <c:pt idx="4">
                  <c:v>10.683</c:v>
                </c:pt>
                <c:pt idx="5">
                  <c:v>0.158</c:v>
                </c:pt>
              </c:numCache>
            </c:numRef>
          </c:xVal>
          <c:yVal>
            <c:numRef>
              <c:f>TIF!$C$66:$C$71</c:f>
              <c:numCache>
                <c:formatCode>0.00</c:formatCode>
                <c:ptCount val="6"/>
                <c:pt idx="0">
                  <c:v>5.0407496694640175</c:v>
                </c:pt>
                <c:pt idx="1">
                  <c:v>5.6804193494415012</c:v>
                </c:pt>
                <c:pt idx="2">
                  <c:v>6.0807482381887379</c:v>
                </c:pt>
                <c:pt idx="3">
                  <c:v>5.7256106458779099</c:v>
                </c:pt>
                <c:pt idx="4">
                  <c:v>6.1333062058643195</c:v>
                </c:pt>
                <c:pt idx="5">
                  <c:v>3.1104633030107021</c:v>
                </c:pt>
              </c:numCache>
            </c:numRef>
          </c:yVal>
          <c:bubbleSize>
            <c:numRef>
              <c:f>TIF!$D$66:$D$71</c:f>
              <c:numCache>
                <c:formatCode>0.00</c:formatCode>
                <c:ptCount val="6"/>
                <c:pt idx="0">
                  <c:v>28.106034620000003</c:v>
                </c:pt>
                <c:pt idx="1">
                  <c:v>30.3757558</c:v>
                </c:pt>
                <c:pt idx="2">
                  <c:v>97.240802090000003</c:v>
                </c:pt>
                <c:pt idx="3">
                  <c:v>133.49013637000002</c:v>
                </c:pt>
                <c:pt idx="4">
                  <c:v>70.272019310000005</c:v>
                </c:pt>
                <c:pt idx="5">
                  <c:v>2.2987906428999998</c:v>
                </c:pt>
              </c:numCache>
            </c:numRef>
          </c:bubbleSize>
          <c:bubble3D val="1"/>
          <c:extLst>
            <c:ext xmlns:c15="http://schemas.microsoft.com/office/drawing/2012/chart" uri="{02D57815-91ED-43cb-92C2-25804820EDAC}">
              <c15:datalabelsRange>
                <c15:f>TIF!$A$66:$A$71</c15:f>
                <c15:dlblRangeCache>
                  <c:ptCount val="6"/>
                  <c:pt idx="0">
                    <c:v>LMN-TIPF</c:v>
                  </c:pt>
                  <c:pt idx="1">
                    <c:v>INV-TIPF</c:v>
                  </c:pt>
                  <c:pt idx="2">
                    <c:v>SBN-TIPF</c:v>
                  </c:pt>
                  <c:pt idx="3">
                    <c:v>SWD-TIPF</c:v>
                  </c:pt>
                  <c:pt idx="4">
                    <c:v>AVI-TIPF</c:v>
                  </c:pt>
                  <c:pt idx="5">
                    <c:v>GOX-TIPF</c:v>
                  </c:pt>
                </c15:dlblRangeCache>
              </c15:datalabelsRange>
            </c:ex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77095806615270224"/>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B7A0-47BA-B0EF-40AA3599A1A7}"/>
            </c:ext>
          </c:extLst>
        </c:ser>
        <c:ser>
          <c:idx val="2"/>
          <c:order val="1"/>
          <c:tx>
            <c:strRef>
              <c:f>Strategijų_palyginimas!$C$2</c:f>
              <c:strCache>
                <c:ptCount val="1"/>
                <c:pt idx="0">
                  <c:v>UAB Artea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B7A0-47BA-B0EF-40AA3599A1A7}"/>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B7A0-47BA-B0EF-40AA3599A1A7}"/>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B7A0-47BA-B0EF-40AA3599A1A7}"/>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B7A0-47BA-B0EF-40AA3599A1A7}"/>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5-B7A0-47BA-B0EF-40AA3599A1A7}"/>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title>
          <c:tx>
            <c:rich>
              <a:bodyPr anchor="b" anchorCtr="1"/>
              <a:lstStyle/>
              <a:p>
                <a:pPr>
                  <a:defRPr/>
                </a:pPr>
                <a:r>
                  <a:rPr lang="lt-LT" sz="1000" b="1" i="0" u="none" strike="noStrike" baseline="0">
                    <a:effectLst/>
                  </a:rPr>
                  <a:t>Dalyvio amžius</a:t>
                </a:r>
                <a:r>
                  <a:rPr lang="lt-LT" sz="1000" b="1" i="0" u="none" strike="noStrike" baseline="0"/>
                  <a:t> </a:t>
                </a:r>
                <a:endParaRPr lang="lt-LT"/>
              </a:p>
            </c:rich>
          </c:tx>
          <c:overlay val="0"/>
        </c:title>
        <c:numFmt formatCode="0" sourceLinked="1"/>
        <c:majorTickMark val="none"/>
        <c:minorTickMark val="none"/>
        <c:tickLblPos val="nextTo"/>
        <c:txPr>
          <a:bodyPr rot="-5400000" vert="horz"/>
          <a:lstStyle/>
          <a:p>
            <a:pPr>
              <a:defRPr/>
            </a:pPr>
            <a:endParaRPr lang="lt-LT"/>
          </a:p>
        </c:txPr>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2" name="Chart 1">
          <a:extLst>
            <a:ext uri="{FF2B5EF4-FFF2-40B4-BE49-F238E27FC236}">
              <a16:creationId xmlns:a16="http://schemas.microsoft.com/office/drawing/2014/main" id="{26A6A7CE-D90F-4D52-9967-78960BB21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3" name="Chart 2">
          <a:extLst>
            <a:ext uri="{FF2B5EF4-FFF2-40B4-BE49-F238E27FC236}">
              <a16:creationId xmlns:a16="http://schemas.microsoft.com/office/drawing/2014/main" id="{EFF1657B-53C8-44D7-B205-95F69D36D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38098</xdr:rowOff>
    </xdr:from>
    <xdr:to>
      <xdr:col>29</xdr:col>
      <xdr:colOff>21772</xdr:colOff>
      <xdr:row>48</xdr:row>
      <xdr:rowOff>52917</xdr:rowOff>
    </xdr:to>
    <xdr:graphicFrame macro="">
      <xdr:nvGraphicFramePr>
        <xdr:cNvPr id="2" name="Chart 1">
          <a:extLst>
            <a:ext uri="{FF2B5EF4-FFF2-40B4-BE49-F238E27FC236}">
              <a16:creationId xmlns:a16="http://schemas.microsoft.com/office/drawing/2014/main" id="{2FAE49E7-4B50-421E-B8C7-6558E4D71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AD85"/>
  <sheetViews>
    <sheetView showGridLines="0" tabSelected="1" zoomScale="70" zoomScaleNormal="70" workbookViewId="0">
      <pane xSplit="3" ySplit="2" topLeftCell="D3" activePane="bottomRight" state="frozen"/>
      <selection activeCell="D39" sqref="D39"/>
      <selection pane="topRight" activeCell="D39" sqref="D39"/>
      <selection pane="bottomLeft" activeCell="D39" sqref="D39"/>
      <selection pane="bottomRight"/>
    </sheetView>
  </sheetViews>
  <sheetFormatPr defaultRowHeight="14.5" x14ac:dyDescent="0.35"/>
  <cols>
    <col min="1" max="1" width="46.453125" style="5" customWidth="1"/>
    <col min="2" max="2" width="16.453125" style="5" customWidth="1"/>
    <col min="3" max="3" width="71.26953125" style="5" customWidth="1"/>
    <col min="4" max="4" width="12.81640625" customWidth="1"/>
    <col min="5" max="5" width="13.54296875" customWidth="1"/>
    <col min="6" max="6" width="14.81640625" customWidth="1"/>
    <col min="7" max="7" width="15.453125" customWidth="1"/>
    <col min="8" max="8" width="1.81640625" customWidth="1"/>
    <col min="9" max="9" width="17.26953125" bestFit="1" customWidth="1"/>
    <col min="10" max="10" width="17.26953125" customWidth="1"/>
    <col min="11" max="11" width="17.54296875" customWidth="1"/>
    <col min="12" max="13" width="17.81640625" customWidth="1"/>
    <col min="14" max="14" width="17.26953125" bestFit="1" customWidth="1"/>
    <col min="15" max="16" width="17.26953125" customWidth="1"/>
    <col min="17" max="17" width="17.453125" customWidth="1"/>
    <col min="18" max="18" width="19.54296875" customWidth="1"/>
    <col min="19" max="19" width="1.81640625" customWidth="1"/>
    <col min="20" max="20" width="17.1796875" customWidth="1"/>
    <col min="21" max="21" width="19.1796875" customWidth="1"/>
    <col min="22" max="22" width="1.81640625" customWidth="1"/>
    <col min="23" max="23" width="14.453125" bestFit="1" customWidth="1"/>
    <col min="24" max="24" width="18.453125" bestFit="1" customWidth="1"/>
    <col min="25" max="25" width="15.54296875" bestFit="1" customWidth="1"/>
    <col min="27" max="27" width="10.7265625" bestFit="1" customWidth="1"/>
  </cols>
  <sheetData>
    <row r="1" spans="1:27" ht="20.149999999999999" customHeight="1" x14ac:dyDescent="0.35">
      <c r="A1" s="95">
        <v>46022</v>
      </c>
      <c r="B1" s="22"/>
      <c r="C1" s="23"/>
      <c r="D1" s="103" t="s">
        <v>80</v>
      </c>
      <c r="E1" s="27" t="s">
        <v>65</v>
      </c>
      <c r="F1" s="103" t="s">
        <v>90</v>
      </c>
      <c r="G1" s="103" t="s">
        <v>61</v>
      </c>
      <c r="H1" s="24"/>
      <c r="I1" s="101" t="s">
        <v>62</v>
      </c>
      <c r="J1" s="107"/>
      <c r="K1" s="107"/>
      <c r="L1" s="107"/>
      <c r="M1" s="107"/>
      <c r="N1" s="107"/>
      <c r="O1" s="107"/>
      <c r="P1" s="107"/>
      <c r="Q1" s="107"/>
      <c r="R1" s="107"/>
      <c r="S1" s="25"/>
      <c r="T1" s="105" t="s">
        <v>87</v>
      </c>
      <c r="U1" s="106"/>
      <c r="W1" s="101" t="s">
        <v>159</v>
      </c>
      <c r="X1" s="102"/>
      <c r="Y1" s="102"/>
    </row>
    <row r="2" spans="1:27" ht="85" customHeight="1" x14ac:dyDescent="0.35">
      <c r="A2" s="21" t="s">
        <v>37</v>
      </c>
      <c r="B2" s="21" t="s">
        <v>38</v>
      </c>
      <c r="C2" s="21" t="s">
        <v>39</v>
      </c>
      <c r="D2" s="104"/>
      <c r="E2" s="21" t="s">
        <v>89</v>
      </c>
      <c r="F2" s="104"/>
      <c r="G2" s="104"/>
      <c r="H2" s="24"/>
      <c r="I2" s="90" t="s">
        <v>82</v>
      </c>
      <c r="J2" s="21" t="s">
        <v>154</v>
      </c>
      <c r="K2" s="21" t="s">
        <v>137</v>
      </c>
      <c r="L2" s="21" t="s">
        <v>151</v>
      </c>
      <c r="M2" s="21" t="s">
        <v>158</v>
      </c>
      <c r="N2" s="21" t="s">
        <v>84</v>
      </c>
      <c r="O2" s="21" t="s">
        <v>155</v>
      </c>
      <c r="P2" s="21" t="s">
        <v>138</v>
      </c>
      <c r="Q2" s="21" t="s">
        <v>152</v>
      </c>
      <c r="R2" s="21" t="s">
        <v>157</v>
      </c>
      <c r="S2" s="26"/>
      <c r="T2" s="21" t="s">
        <v>101</v>
      </c>
      <c r="U2" s="21" t="s">
        <v>102</v>
      </c>
      <c r="W2" s="21" t="s">
        <v>129</v>
      </c>
      <c r="X2" s="21" t="s">
        <v>130</v>
      </c>
      <c r="Y2" s="21" t="s">
        <v>131</v>
      </c>
      <c r="Z2" s="44"/>
    </row>
    <row r="3" spans="1:27" s="43" customFormat="1" ht="18.75" customHeight="1" x14ac:dyDescent="0.35">
      <c r="A3" s="100" t="s">
        <v>153</v>
      </c>
      <c r="B3" s="100"/>
      <c r="C3" s="100"/>
      <c r="D3" s="40"/>
      <c r="E3" s="40"/>
      <c r="F3" s="41"/>
      <c r="G3" s="42" t="s">
        <v>88</v>
      </c>
      <c r="H3" s="40"/>
      <c r="I3" s="63">
        <v>6.0766499481509806</v>
      </c>
      <c r="J3" s="63">
        <v>6.0766499481509806</v>
      </c>
      <c r="K3" s="63" t="s">
        <v>139</v>
      </c>
      <c r="L3" s="63" t="s">
        <v>139</v>
      </c>
      <c r="M3" s="63">
        <v>6.0766499481509806</v>
      </c>
      <c r="N3" s="63">
        <v>7.3524060782778315</v>
      </c>
      <c r="O3" s="63">
        <v>7.3524060782778315</v>
      </c>
      <c r="P3" s="63" t="s">
        <v>139</v>
      </c>
      <c r="Q3" s="63" t="s">
        <v>139</v>
      </c>
      <c r="R3" s="63">
        <v>7.3524060782778315</v>
      </c>
      <c r="S3" s="40"/>
      <c r="T3" s="63" t="s">
        <v>139</v>
      </c>
      <c r="U3" s="63" t="s">
        <v>139</v>
      </c>
      <c r="W3"/>
      <c r="X3"/>
      <c r="Y3"/>
    </row>
    <row r="4" spans="1:27" ht="14.5" customHeight="1" x14ac:dyDescent="0.35">
      <c r="A4" s="28" t="s">
        <v>31</v>
      </c>
      <c r="B4" s="28" t="s">
        <v>144</v>
      </c>
      <c r="C4" s="28" t="s">
        <v>146</v>
      </c>
      <c r="D4" s="87" t="s">
        <v>169</v>
      </c>
      <c r="E4" s="30">
        <v>90</v>
      </c>
      <c r="F4" s="29">
        <v>4.1563697099999999</v>
      </c>
      <c r="G4" s="31">
        <v>5919</v>
      </c>
      <c r="H4" s="19"/>
      <c r="I4" s="32">
        <v>5.6100000000000039</v>
      </c>
      <c r="J4" s="32">
        <v>5.6100000000000039</v>
      </c>
      <c r="K4" s="32" t="s">
        <v>139</v>
      </c>
      <c r="L4" s="32" t="s">
        <v>139</v>
      </c>
      <c r="M4" s="32">
        <v>5.6100000000000039</v>
      </c>
      <c r="N4" s="32">
        <v>8.4595999999999894</v>
      </c>
      <c r="O4" s="32">
        <v>8.4595999999999894</v>
      </c>
      <c r="P4" s="32" t="s">
        <v>139</v>
      </c>
      <c r="Q4" s="32" t="s">
        <v>139</v>
      </c>
      <c r="R4" s="32">
        <v>8.4595999999999894</v>
      </c>
      <c r="S4" s="20"/>
      <c r="T4" s="32" t="s">
        <v>139</v>
      </c>
      <c r="U4" s="32" t="s">
        <v>139</v>
      </c>
      <c r="W4" s="88" t="s">
        <v>81</v>
      </c>
      <c r="X4" s="88" t="s">
        <v>81</v>
      </c>
      <c r="Y4" s="88" t="s">
        <v>81</v>
      </c>
      <c r="Z4" s="53"/>
      <c r="AA4" s="53"/>
    </row>
    <row r="5" spans="1:27" ht="14.5" customHeight="1" x14ac:dyDescent="0.35">
      <c r="A5" s="28" t="s">
        <v>167</v>
      </c>
      <c r="B5" s="28" t="s">
        <v>145</v>
      </c>
      <c r="C5" s="28" t="s">
        <v>160</v>
      </c>
      <c r="D5" s="87" t="s">
        <v>169</v>
      </c>
      <c r="E5" s="30">
        <v>97</v>
      </c>
      <c r="F5" s="29">
        <v>2.4900214900000002</v>
      </c>
      <c r="G5" s="31">
        <v>4241</v>
      </c>
      <c r="H5" s="19"/>
      <c r="I5" s="32">
        <v>6.6400000000000015</v>
      </c>
      <c r="J5" s="32">
        <v>6.6400000000000015</v>
      </c>
      <c r="K5" s="32" t="s">
        <v>139</v>
      </c>
      <c r="L5" s="32" t="s">
        <v>139</v>
      </c>
      <c r="M5" s="32">
        <v>6.6400000000000015</v>
      </c>
      <c r="N5" s="32">
        <v>7.7930999999999973</v>
      </c>
      <c r="O5" s="32">
        <v>7.7930999999999973</v>
      </c>
      <c r="P5" s="32" t="s">
        <v>139</v>
      </c>
      <c r="Q5" s="32" t="s">
        <v>139</v>
      </c>
      <c r="R5" s="32">
        <v>7.7930999999999973</v>
      </c>
      <c r="S5" s="20"/>
      <c r="T5" s="32" t="s">
        <v>139</v>
      </c>
      <c r="U5" s="32" t="s">
        <v>139</v>
      </c>
      <c r="W5" s="88" t="s">
        <v>81</v>
      </c>
      <c r="X5" s="88" t="s">
        <v>81</v>
      </c>
      <c r="Y5" s="88" t="s">
        <v>81</v>
      </c>
      <c r="Z5" s="53"/>
      <c r="AA5" s="53"/>
    </row>
    <row r="6" spans="1:27" ht="14.5" customHeight="1" x14ac:dyDescent="0.35">
      <c r="A6" s="28" t="s">
        <v>78</v>
      </c>
      <c r="B6" s="28" t="s">
        <v>140</v>
      </c>
      <c r="C6" s="28" t="s">
        <v>147</v>
      </c>
      <c r="D6" s="87" t="s">
        <v>169</v>
      </c>
      <c r="E6" s="30">
        <v>98</v>
      </c>
      <c r="F6" s="29">
        <v>2.9165786699999998</v>
      </c>
      <c r="G6" s="31">
        <v>3053</v>
      </c>
      <c r="H6" s="19"/>
      <c r="I6" s="32">
        <v>5.1199999999999912</v>
      </c>
      <c r="J6" s="32">
        <v>5.1199999999999912</v>
      </c>
      <c r="K6" s="32" t="s">
        <v>139</v>
      </c>
      <c r="L6" s="32" t="s">
        <v>139</v>
      </c>
      <c r="M6" s="32">
        <v>5.1199999999999912</v>
      </c>
      <c r="N6" s="32">
        <v>8.0323000000000135</v>
      </c>
      <c r="O6" s="32">
        <v>8.0323000000000135</v>
      </c>
      <c r="P6" s="32" t="s">
        <v>139</v>
      </c>
      <c r="Q6" s="32" t="s">
        <v>139</v>
      </c>
      <c r="R6" s="32">
        <v>8.0323000000000135</v>
      </c>
      <c r="S6" s="20"/>
      <c r="T6" s="32" t="s">
        <v>139</v>
      </c>
      <c r="U6" s="32" t="s">
        <v>139</v>
      </c>
      <c r="W6" s="88" t="s">
        <v>81</v>
      </c>
      <c r="X6" s="88" t="s">
        <v>81</v>
      </c>
      <c r="Y6" s="88" t="s">
        <v>81</v>
      </c>
      <c r="Z6" s="53"/>
      <c r="AA6" s="53"/>
    </row>
    <row r="7" spans="1:27" ht="14.5" customHeight="1" x14ac:dyDescent="0.35">
      <c r="A7" s="28" t="s">
        <v>79</v>
      </c>
      <c r="B7" s="28" t="s">
        <v>141</v>
      </c>
      <c r="C7" s="28" t="s">
        <v>149</v>
      </c>
      <c r="D7" s="87" t="s">
        <v>169</v>
      </c>
      <c r="E7" s="30">
        <v>97</v>
      </c>
      <c r="F7" s="29">
        <v>4.3606964100000001</v>
      </c>
      <c r="G7" s="31">
        <v>3767</v>
      </c>
      <c r="H7" s="19"/>
      <c r="I7" s="32">
        <v>3.9299999999999891</v>
      </c>
      <c r="J7" s="32">
        <v>3.9299999999999891</v>
      </c>
      <c r="K7" s="32" t="s">
        <v>139</v>
      </c>
      <c r="L7" s="32" t="s">
        <v>139</v>
      </c>
      <c r="M7" s="32">
        <v>3.9299999999999891</v>
      </c>
      <c r="N7" s="32">
        <v>6.9255999999999984</v>
      </c>
      <c r="O7" s="32">
        <v>6.9255999999999984</v>
      </c>
      <c r="P7" s="32" t="s">
        <v>139</v>
      </c>
      <c r="Q7" s="32" t="s">
        <v>139</v>
      </c>
      <c r="R7" s="32">
        <v>6.9255999999999984</v>
      </c>
      <c r="S7" s="20"/>
      <c r="T7" s="32" t="s">
        <v>139</v>
      </c>
      <c r="U7" s="32" t="s">
        <v>139</v>
      </c>
      <c r="W7" s="88" t="s">
        <v>81</v>
      </c>
      <c r="X7" s="88" t="s">
        <v>81</v>
      </c>
      <c r="Y7" s="88" t="s">
        <v>81</v>
      </c>
      <c r="Z7" s="53"/>
      <c r="AA7" s="53"/>
    </row>
    <row r="8" spans="1:27" ht="14.5" customHeight="1" x14ac:dyDescent="0.35">
      <c r="A8" s="28" t="s">
        <v>106</v>
      </c>
      <c r="B8" s="28" t="s">
        <v>143</v>
      </c>
      <c r="C8" s="28" t="s">
        <v>150</v>
      </c>
      <c r="D8" s="87" t="s">
        <v>169</v>
      </c>
      <c r="E8" s="30">
        <v>90</v>
      </c>
      <c r="F8" s="29">
        <v>2.17530709</v>
      </c>
      <c r="G8" s="31">
        <v>2449</v>
      </c>
      <c r="H8" s="19"/>
      <c r="I8" s="32">
        <v>9.9800000000000111</v>
      </c>
      <c r="J8" s="32">
        <v>9.9800000000000111</v>
      </c>
      <c r="K8" s="32" t="s">
        <v>139</v>
      </c>
      <c r="L8" s="32" t="s">
        <v>139</v>
      </c>
      <c r="M8" s="32">
        <v>9.9800000000000111</v>
      </c>
      <c r="N8" s="32">
        <v>5.5455000000000032</v>
      </c>
      <c r="O8" s="32">
        <v>5.5455000000000032</v>
      </c>
      <c r="P8" s="32" t="s">
        <v>139</v>
      </c>
      <c r="Q8" s="32" t="s">
        <v>139</v>
      </c>
      <c r="R8" s="32">
        <v>5.5455000000000032</v>
      </c>
      <c r="S8" s="20"/>
      <c r="T8" s="32" t="s">
        <v>139</v>
      </c>
      <c r="U8" s="32" t="s">
        <v>139</v>
      </c>
      <c r="W8" s="88" t="s">
        <v>81</v>
      </c>
      <c r="X8" s="88" t="s">
        <v>81</v>
      </c>
      <c r="Y8" s="88" t="s">
        <v>81</v>
      </c>
      <c r="AA8" s="53"/>
    </row>
    <row r="9" spans="1:27" ht="14.5" customHeight="1" x14ac:dyDescent="0.35">
      <c r="A9" s="28" t="s">
        <v>134</v>
      </c>
      <c r="B9" s="28" t="s">
        <v>142</v>
      </c>
      <c r="C9" s="28" t="s">
        <v>148</v>
      </c>
      <c r="D9" s="87" t="s">
        <v>169</v>
      </c>
      <c r="E9" s="30">
        <v>100</v>
      </c>
      <c r="F9" s="29">
        <v>4.6978947153000004</v>
      </c>
      <c r="G9" s="31">
        <v>4755</v>
      </c>
      <c r="H9" s="19"/>
      <c r="I9" s="32">
        <v>6.9700000000000095</v>
      </c>
      <c r="J9" s="32">
        <v>6.9700000000000095</v>
      </c>
      <c r="K9" s="32" t="s">
        <v>139</v>
      </c>
      <c r="L9" s="32" t="s">
        <v>139</v>
      </c>
      <c r="M9" s="32">
        <v>6.9700000000000095</v>
      </c>
      <c r="N9" s="32">
        <v>6.9499999999999895</v>
      </c>
      <c r="O9" s="32">
        <v>6.9499999999999895</v>
      </c>
      <c r="P9" s="32" t="s">
        <v>139</v>
      </c>
      <c r="Q9" s="32" t="s">
        <v>139</v>
      </c>
      <c r="R9" s="32">
        <v>6.9499999999999895</v>
      </c>
      <c r="S9" s="20"/>
      <c r="T9" s="32" t="s">
        <v>139</v>
      </c>
      <c r="U9" s="32" t="s">
        <v>139</v>
      </c>
      <c r="W9" s="88" t="s">
        <v>81</v>
      </c>
      <c r="X9" s="88" t="s">
        <v>81</v>
      </c>
      <c r="Y9" s="88" t="s">
        <v>81</v>
      </c>
      <c r="Z9" s="53"/>
      <c r="AA9" s="53"/>
    </row>
    <row r="10" spans="1:27" s="43" customFormat="1" ht="18.649999999999999" customHeight="1" x14ac:dyDescent="0.35">
      <c r="A10" s="100" t="s">
        <v>40</v>
      </c>
      <c r="B10" s="100"/>
      <c r="C10" s="100"/>
      <c r="D10" s="96"/>
      <c r="E10" s="40"/>
      <c r="F10" s="41"/>
      <c r="G10" s="42" t="s">
        <v>88</v>
      </c>
      <c r="H10" s="40"/>
      <c r="I10" s="63">
        <v>6.5912777051989906</v>
      </c>
      <c r="J10" s="63">
        <v>6.5912777051989906</v>
      </c>
      <c r="K10" s="63">
        <v>14.327235819182187</v>
      </c>
      <c r="L10" s="63">
        <v>9.6553654663679911</v>
      </c>
      <c r="M10" s="63">
        <v>10.758474737497718</v>
      </c>
      <c r="N10" s="63">
        <v>7.6988505118696802</v>
      </c>
      <c r="O10" s="63">
        <v>7.6988505118696802</v>
      </c>
      <c r="P10" s="63">
        <v>16.131278536285318</v>
      </c>
      <c r="Q10" s="63">
        <v>11.168683045556371</v>
      </c>
      <c r="R10" s="63">
        <v>12.163586316336483</v>
      </c>
      <c r="S10" s="40"/>
      <c r="T10" s="40"/>
      <c r="U10" s="40"/>
      <c r="W10"/>
      <c r="X10"/>
      <c r="Y10"/>
    </row>
    <row r="11" spans="1:27" ht="14.5" customHeight="1" x14ac:dyDescent="0.35">
      <c r="A11" s="28" t="s">
        <v>31</v>
      </c>
      <c r="B11" s="28" t="s">
        <v>4</v>
      </c>
      <c r="C11" s="28" t="s">
        <v>41</v>
      </c>
      <c r="D11" s="87" t="s">
        <v>170</v>
      </c>
      <c r="E11" s="30">
        <v>90</v>
      </c>
      <c r="F11" s="29">
        <v>37.472794399999998</v>
      </c>
      <c r="G11" s="31">
        <v>14957</v>
      </c>
      <c r="H11" s="19"/>
      <c r="I11" s="32">
        <v>7.5594067301047119</v>
      </c>
      <c r="J11" s="32">
        <v>7.5594067301047119</v>
      </c>
      <c r="K11" s="32">
        <v>14.635019927787773</v>
      </c>
      <c r="L11" s="32">
        <v>8.3632217782081408</v>
      </c>
      <c r="M11" s="32">
        <v>10.583084296232625</v>
      </c>
      <c r="N11" s="32">
        <v>8.8673132981066836</v>
      </c>
      <c r="O11" s="32">
        <v>8.8673132981066836</v>
      </c>
      <c r="P11" s="32">
        <v>15.67899269516364</v>
      </c>
      <c r="Q11" s="32">
        <v>10.173083643722247</v>
      </c>
      <c r="R11" s="32">
        <v>11.673337669486195</v>
      </c>
      <c r="S11" s="20"/>
      <c r="T11" s="32">
        <v>10.063970325376077</v>
      </c>
      <c r="U11" s="32">
        <v>10.378471888012665</v>
      </c>
      <c r="W11" s="79">
        <v>0.49</v>
      </c>
      <c r="X11" s="79">
        <v>0.7</v>
      </c>
      <c r="Y11" s="79" t="s">
        <v>81</v>
      </c>
      <c r="Z11" s="53"/>
      <c r="AA11" s="53"/>
    </row>
    <row r="12" spans="1:27" ht="14.5" customHeight="1" x14ac:dyDescent="0.35">
      <c r="A12" s="28" t="s">
        <v>167</v>
      </c>
      <c r="B12" s="28" t="s">
        <v>2</v>
      </c>
      <c r="C12" s="28" t="s">
        <v>161</v>
      </c>
      <c r="D12" s="87" t="s">
        <v>170</v>
      </c>
      <c r="E12" s="30">
        <v>97</v>
      </c>
      <c r="F12" s="29">
        <v>59.517166930000002</v>
      </c>
      <c r="G12" s="31">
        <v>19326</v>
      </c>
      <c r="H12" s="19"/>
      <c r="I12" s="32">
        <v>8.1376665111698507</v>
      </c>
      <c r="J12" s="32">
        <v>8.1376665111698507</v>
      </c>
      <c r="K12" s="32">
        <v>13.709858962927512</v>
      </c>
      <c r="L12" s="32">
        <v>10.177959783307067</v>
      </c>
      <c r="M12" s="32">
        <v>11.068156771021954</v>
      </c>
      <c r="N12" s="32">
        <v>8.4179276277735369</v>
      </c>
      <c r="O12" s="32">
        <v>8.4179276277735369</v>
      </c>
      <c r="P12" s="32">
        <v>15.601022079863602</v>
      </c>
      <c r="Q12" s="32">
        <v>10.945157925545868</v>
      </c>
      <c r="R12" s="32">
        <v>12.26688829459901</v>
      </c>
      <c r="S12" s="20"/>
      <c r="T12" s="32">
        <v>9.5172304627861664</v>
      </c>
      <c r="U12" s="32">
        <v>11.21035248043421</v>
      </c>
      <c r="W12" s="79">
        <v>0.5</v>
      </c>
      <c r="X12" s="79" t="s">
        <v>81</v>
      </c>
      <c r="Y12" s="79">
        <v>1.06</v>
      </c>
      <c r="Z12" s="53"/>
      <c r="AA12" s="53"/>
    </row>
    <row r="13" spans="1:27" ht="14.5" customHeight="1" x14ac:dyDescent="0.35">
      <c r="A13" s="28" t="s">
        <v>78</v>
      </c>
      <c r="B13" s="28" t="s">
        <v>1</v>
      </c>
      <c r="C13" s="28" t="s">
        <v>42</v>
      </c>
      <c r="D13" s="87" t="s">
        <v>170</v>
      </c>
      <c r="E13" s="30">
        <v>98</v>
      </c>
      <c r="F13" s="29">
        <v>85.870046799999997</v>
      </c>
      <c r="G13" s="31">
        <v>22171</v>
      </c>
      <c r="H13" s="19"/>
      <c r="I13" s="32">
        <v>6.8009563050002608</v>
      </c>
      <c r="J13" s="32">
        <v>6.8009563050002608</v>
      </c>
      <c r="K13" s="32">
        <v>14.576113240479982</v>
      </c>
      <c r="L13" s="32">
        <v>9.7201037730616271</v>
      </c>
      <c r="M13" s="32">
        <v>11.168952687940514</v>
      </c>
      <c r="N13" s="32">
        <v>8.7022104425803271</v>
      </c>
      <c r="O13" s="32">
        <v>8.7022104425803271</v>
      </c>
      <c r="P13" s="32">
        <v>17.879220688285514</v>
      </c>
      <c r="Q13" s="32">
        <v>12.280017716539128</v>
      </c>
      <c r="R13" s="32">
        <v>13.372685398417739</v>
      </c>
      <c r="S13" s="20"/>
      <c r="T13" s="32">
        <v>10.601814667813336</v>
      </c>
      <c r="U13" s="32">
        <v>11.581168567360802</v>
      </c>
      <c r="W13" s="79">
        <v>0.5</v>
      </c>
      <c r="X13" s="79" t="s">
        <v>81</v>
      </c>
      <c r="Y13" s="79">
        <v>0.78</v>
      </c>
      <c r="Z13" s="53"/>
      <c r="AA13" s="53"/>
    </row>
    <row r="14" spans="1:27" ht="14.5" customHeight="1" x14ac:dyDescent="0.35">
      <c r="A14" s="28" t="s">
        <v>79</v>
      </c>
      <c r="B14" s="28" t="s">
        <v>3</v>
      </c>
      <c r="C14" s="28" t="s">
        <v>92</v>
      </c>
      <c r="D14" s="87" t="s">
        <v>170</v>
      </c>
      <c r="E14" s="30">
        <v>97</v>
      </c>
      <c r="F14" s="29">
        <v>188.41916015000001</v>
      </c>
      <c r="G14" s="31">
        <v>50784</v>
      </c>
      <c r="H14" s="19"/>
      <c r="I14" s="32">
        <v>4.0944379453365931</v>
      </c>
      <c r="J14" s="32">
        <v>4.0944379453365931</v>
      </c>
      <c r="K14" s="32">
        <v>13.111689362033218</v>
      </c>
      <c r="L14" s="32">
        <v>9.3897644598555772</v>
      </c>
      <c r="M14" s="32">
        <v>10.414898471452583</v>
      </c>
      <c r="N14" s="32">
        <v>7.4805837650161022</v>
      </c>
      <c r="O14" s="32">
        <v>7.4805837650161022</v>
      </c>
      <c r="P14" s="32">
        <v>16.213888808158284</v>
      </c>
      <c r="Q14" s="32">
        <v>11.209001206646164</v>
      </c>
      <c r="R14" s="32">
        <v>12.314826316842108</v>
      </c>
      <c r="S14" s="20"/>
      <c r="T14" s="32">
        <v>10.956220586865383</v>
      </c>
      <c r="U14" s="32">
        <v>11.17935919350767</v>
      </c>
      <c r="W14" s="79">
        <v>0.41000000000000003</v>
      </c>
      <c r="X14" s="79" t="s">
        <v>81</v>
      </c>
      <c r="Y14" s="79">
        <v>0.66990000000000005</v>
      </c>
      <c r="Z14" s="53"/>
      <c r="AA14" s="53"/>
    </row>
    <row r="15" spans="1:27" ht="14.5" customHeight="1" x14ac:dyDescent="0.35">
      <c r="A15" s="28" t="s">
        <v>106</v>
      </c>
      <c r="B15" s="28" t="s">
        <v>5</v>
      </c>
      <c r="C15" s="28" t="s">
        <v>107</v>
      </c>
      <c r="D15" s="87" t="s">
        <v>170</v>
      </c>
      <c r="E15" s="30">
        <v>90</v>
      </c>
      <c r="F15" s="29">
        <v>69.952308269999989</v>
      </c>
      <c r="G15" s="31">
        <v>19939</v>
      </c>
      <c r="H15" s="19"/>
      <c r="I15" s="32">
        <v>10.034529664120551</v>
      </c>
      <c r="J15" s="32">
        <v>10.034529664120551</v>
      </c>
      <c r="K15" s="32">
        <v>16.222711992650041</v>
      </c>
      <c r="L15" s="32">
        <v>10.538855093068022</v>
      </c>
      <c r="M15" s="32">
        <v>11.196141650254109</v>
      </c>
      <c r="N15" s="32">
        <v>5.9134873298321455</v>
      </c>
      <c r="O15" s="32">
        <v>5.9134873298321455</v>
      </c>
      <c r="P15" s="32">
        <v>14.346589188102898</v>
      </c>
      <c r="Q15" s="32">
        <v>10.419378240826216</v>
      </c>
      <c r="R15" s="32">
        <v>11.472871936744934</v>
      </c>
      <c r="S15" s="20"/>
      <c r="T15" s="32">
        <v>10.838278866075088</v>
      </c>
      <c r="U15" s="32">
        <v>10.520281325119972</v>
      </c>
      <c r="W15" s="79">
        <v>0.5</v>
      </c>
      <c r="X15" s="79">
        <v>1.1100000000000001</v>
      </c>
      <c r="Y15" s="79" t="s">
        <v>81</v>
      </c>
      <c r="Z15" s="53"/>
      <c r="AA15" s="53"/>
    </row>
    <row r="16" spans="1:27" ht="14.5" customHeight="1" x14ac:dyDescent="0.35">
      <c r="A16" s="28" t="s">
        <v>113</v>
      </c>
      <c r="B16" s="28" t="s">
        <v>114</v>
      </c>
      <c r="C16" s="28" t="s">
        <v>126</v>
      </c>
      <c r="D16" s="61" t="s">
        <v>171</v>
      </c>
      <c r="E16" s="30">
        <v>100</v>
      </c>
      <c r="F16" s="29">
        <v>47.484372251900005</v>
      </c>
      <c r="G16" s="31">
        <v>12840</v>
      </c>
      <c r="H16" s="19"/>
      <c r="I16" s="32">
        <v>8.3448806774441877</v>
      </c>
      <c r="J16" s="32">
        <v>8.3448806774441877</v>
      </c>
      <c r="K16" s="32">
        <v>16.439071338860977</v>
      </c>
      <c r="L16" s="32" t="s">
        <v>139</v>
      </c>
      <c r="M16" s="32">
        <v>10.484990076265444</v>
      </c>
      <c r="N16" s="32">
        <v>7.5572112825971427</v>
      </c>
      <c r="O16" s="32">
        <v>7.5572112825971427</v>
      </c>
      <c r="P16" s="32">
        <v>16.293219886891762</v>
      </c>
      <c r="Q16" s="32" t="s">
        <v>139</v>
      </c>
      <c r="R16" s="32">
        <v>10.651886901039331</v>
      </c>
      <c r="S16" s="20"/>
      <c r="T16" s="32">
        <v>11.247602379795628</v>
      </c>
      <c r="U16" s="32">
        <v>11.471015332834895</v>
      </c>
      <c r="W16" s="79">
        <v>0.44690000000000002</v>
      </c>
      <c r="X16" s="83">
        <v>0.57340000000000002</v>
      </c>
      <c r="Y16" s="79" t="s">
        <v>81</v>
      </c>
      <c r="Z16" s="53"/>
      <c r="AA16" s="53"/>
    </row>
    <row r="17" spans="1:30" s="43" customFormat="1" ht="18.649999999999999" customHeight="1" x14ac:dyDescent="0.35">
      <c r="A17" s="100" t="s">
        <v>43</v>
      </c>
      <c r="B17" s="100"/>
      <c r="C17" s="100"/>
      <c r="D17" s="96"/>
      <c r="E17" s="40"/>
      <c r="F17" s="41"/>
      <c r="G17" s="42" t="s">
        <v>88</v>
      </c>
      <c r="H17" s="40"/>
      <c r="I17" s="63">
        <v>6.6840296370165158</v>
      </c>
      <c r="J17" s="63">
        <v>6.6840296370165158</v>
      </c>
      <c r="K17" s="63">
        <v>14.079312611880823</v>
      </c>
      <c r="L17" s="63">
        <v>9.7086262000871653</v>
      </c>
      <c r="M17" s="63">
        <v>10.850926108730809</v>
      </c>
      <c r="N17" s="63">
        <v>7.7652443931789321</v>
      </c>
      <c r="O17" s="63">
        <v>7.7652443931789321</v>
      </c>
      <c r="P17" s="63">
        <v>16.187721027261635</v>
      </c>
      <c r="Q17" s="63">
        <v>11.209026964974623</v>
      </c>
      <c r="R17" s="63">
        <v>12.271585011179557</v>
      </c>
      <c r="S17" s="40"/>
      <c r="T17" s="40"/>
      <c r="U17" s="40"/>
      <c r="W17" s="80"/>
      <c r="X17" s="80"/>
      <c r="Y17" s="80"/>
      <c r="Z17" s="53"/>
      <c r="AA17" s="53"/>
    </row>
    <row r="18" spans="1:30" ht="14.5" customHeight="1" x14ac:dyDescent="0.35">
      <c r="A18" s="28" t="s">
        <v>31</v>
      </c>
      <c r="B18" s="28" t="s">
        <v>9</v>
      </c>
      <c r="C18" s="28" t="s">
        <v>44</v>
      </c>
      <c r="D18" s="87" t="s">
        <v>170</v>
      </c>
      <c r="E18" s="30">
        <v>90</v>
      </c>
      <c r="F18" s="29">
        <v>103.47336728000001</v>
      </c>
      <c r="G18" s="31">
        <v>22623</v>
      </c>
      <c r="H18" s="19"/>
      <c r="I18" s="32">
        <v>7.5067880530266695</v>
      </c>
      <c r="J18" s="32">
        <v>7.5067880530266695</v>
      </c>
      <c r="K18" s="32">
        <v>14.687655525371458</v>
      </c>
      <c r="L18" s="32">
        <v>8.4278535339877827</v>
      </c>
      <c r="M18" s="32">
        <v>10.551850925699968</v>
      </c>
      <c r="N18" s="32">
        <v>8.8673132981066836</v>
      </c>
      <c r="O18" s="32">
        <v>8.8673132981066836</v>
      </c>
      <c r="P18" s="32">
        <v>15.67899269516364</v>
      </c>
      <c r="Q18" s="32">
        <v>10.173083643722247</v>
      </c>
      <c r="R18" s="32">
        <v>11.673337669486195</v>
      </c>
      <c r="S18" s="20"/>
      <c r="T18" s="32">
        <v>10.060780921375136</v>
      </c>
      <c r="U18" s="32">
        <v>10.378471888012665</v>
      </c>
      <c r="W18" s="79">
        <v>0.49</v>
      </c>
      <c r="X18" s="79">
        <v>0.71</v>
      </c>
      <c r="Y18" s="79" t="s">
        <v>81</v>
      </c>
      <c r="Z18" s="53"/>
      <c r="AA18" s="53"/>
    </row>
    <row r="19" spans="1:30" ht="14.5" customHeight="1" x14ac:dyDescent="0.35">
      <c r="A19" s="28" t="s">
        <v>167</v>
      </c>
      <c r="B19" s="28" t="s">
        <v>7</v>
      </c>
      <c r="C19" s="28" t="s">
        <v>162</v>
      </c>
      <c r="D19" s="87" t="s">
        <v>170</v>
      </c>
      <c r="E19" s="30">
        <v>97</v>
      </c>
      <c r="F19" s="29">
        <v>192.49501325</v>
      </c>
      <c r="G19" s="31">
        <v>36524</v>
      </c>
      <c r="H19" s="19"/>
      <c r="I19" s="32">
        <v>8.0419217598837633</v>
      </c>
      <c r="J19" s="32">
        <v>8.0419217598837633</v>
      </c>
      <c r="K19" s="32">
        <v>13.360042084340563</v>
      </c>
      <c r="L19" s="32">
        <v>10.160751344063801</v>
      </c>
      <c r="M19" s="32">
        <v>11.03849563423136</v>
      </c>
      <c r="N19" s="32">
        <v>8.4179276277735369</v>
      </c>
      <c r="O19" s="32">
        <v>8.4179276277735369</v>
      </c>
      <c r="P19" s="32">
        <v>15.601022079863602</v>
      </c>
      <c r="Q19" s="32">
        <v>10.945157925545868</v>
      </c>
      <c r="R19" s="32">
        <v>12.26688829459901</v>
      </c>
      <c r="S19" s="20"/>
      <c r="T19" s="32">
        <v>9.0700720338596934</v>
      </c>
      <c r="U19" s="32">
        <v>11.21035248043421</v>
      </c>
      <c r="W19" s="79">
        <v>0.5</v>
      </c>
      <c r="X19" s="79" t="s">
        <v>81</v>
      </c>
      <c r="Y19" s="79">
        <v>1.27</v>
      </c>
      <c r="Z19" s="53"/>
      <c r="AA19" s="53"/>
    </row>
    <row r="20" spans="1:30" ht="14.5" customHeight="1" x14ac:dyDescent="0.35">
      <c r="A20" s="28" t="s">
        <v>78</v>
      </c>
      <c r="B20" s="28" t="s">
        <v>6</v>
      </c>
      <c r="C20" s="28" t="s">
        <v>45</v>
      </c>
      <c r="D20" s="87" t="s">
        <v>170</v>
      </c>
      <c r="E20" s="30">
        <v>98</v>
      </c>
      <c r="F20" s="29">
        <v>279.46909462999997</v>
      </c>
      <c r="G20" s="31">
        <v>46452</v>
      </c>
      <c r="H20" s="19"/>
      <c r="I20" s="32">
        <v>6.6755400839561885</v>
      </c>
      <c r="J20" s="32">
        <v>6.6755400839561885</v>
      </c>
      <c r="K20" s="32">
        <v>14.35355933689706</v>
      </c>
      <c r="L20" s="32">
        <v>9.6259648931636974</v>
      </c>
      <c r="M20" s="32">
        <v>11.049148696637179</v>
      </c>
      <c r="N20" s="32">
        <v>8.7022104425803271</v>
      </c>
      <c r="O20" s="32">
        <v>8.7022104425803271</v>
      </c>
      <c r="P20" s="32">
        <v>17.879220688285514</v>
      </c>
      <c r="Q20" s="32">
        <v>12.280017716539128</v>
      </c>
      <c r="R20" s="32">
        <v>13.372685398417739</v>
      </c>
      <c r="S20" s="20"/>
      <c r="T20" s="32">
        <v>10.476499391965241</v>
      </c>
      <c r="U20" s="32">
        <v>11.581168567360802</v>
      </c>
      <c r="W20" s="79">
        <v>0.5</v>
      </c>
      <c r="X20" s="79" t="s">
        <v>81</v>
      </c>
      <c r="Y20" s="79">
        <v>0.81</v>
      </c>
      <c r="Z20" s="53"/>
      <c r="AA20" s="53"/>
    </row>
    <row r="21" spans="1:30" ht="14.5" customHeight="1" x14ac:dyDescent="0.35">
      <c r="A21" s="28" t="s">
        <v>79</v>
      </c>
      <c r="B21" s="28" t="s">
        <v>8</v>
      </c>
      <c r="C21" s="28" t="s">
        <v>93</v>
      </c>
      <c r="D21" s="87" t="s">
        <v>170</v>
      </c>
      <c r="E21" s="30">
        <v>97</v>
      </c>
      <c r="F21" s="29">
        <v>541.15940119000004</v>
      </c>
      <c r="G21" s="31">
        <v>96020</v>
      </c>
      <c r="H21" s="19"/>
      <c r="I21" s="32">
        <v>4.703823513814509</v>
      </c>
      <c r="J21" s="32">
        <v>4.703823513814509</v>
      </c>
      <c r="K21" s="32">
        <v>12.858816801412987</v>
      </c>
      <c r="L21" s="32">
        <v>9.4615120341429382</v>
      </c>
      <c r="M21" s="32">
        <v>10.682627251066791</v>
      </c>
      <c r="N21" s="32">
        <v>7.4805837650161022</v>
      </c>
      <c r="O21" s="32">
        <v>7.4805837650161022</v>
      </c>
      <c r="P21" s="32">
        <v>16.213888808158284</v>
      </c>
      <c r="Q21" s="32">
        <v>11.209001206646164</v>
      </c>
      <c r="R21" s="32">
        <v>12.314826316842108</v>
      </c>
      <c r="S21" s="20"/>
      <c r="T21" s="32">
        <v>10.607804923471175</v>
      </c>
      <c r="U21" s="32">
        <v>11.17935919350767</v>
      </c>
      <c r="W21" s="79">
        <v>0.41000000000000003</v>
      </c>
      <c r="X21" s="79" t="s">
        <v>81</v>
      </c>
      <c r="Y21" s="79">
        <v>0.68300000000000005</v>
      </c>
      <c r="Z21" s="53"/>
      <c r="AA21" s="53"/>
    </row>
    <row r="22" spans="1:30" ht="14.5" customHeight="1" x14ac:dyDescent="0.35">
      <c r="A22" s="28" t="s">
        <v>106</v>
      </c>
      <c r="B22" s="28" t="s">
        <v>10</v>
      </c>
      <c r="C22" s="28" t="s">
        <v>108</v>
      </c>
      <c r="D22" s="87" t="s">
        <v>170</v>
      </c>
      <c r="E22" s="30">
        <v>90</v>
      </c>
      <c r="F22" s="29">
        <v>178.95154391</v>
      </c>
      <c r="G22" s="31">
        <v>34360</v>
      </c>
      <c r="H22" s="19"/>
      <c r="I22" s="32">
        <v>9.999477561255965</v>
      </c>
      <c r="J22" s="32">
        <v>9.999477561255965</v>
      </c>
      <c r="K22" s="32">
        <v>16.734572112789571</v>
      </c>
      <c r="L22" s="32">
        <v>10.839230916621933</v>
      </c>
      <c r="M22" s="32">
        <v>11.213491496826865</v>
      </c>
      <c r="N22" s="32">
        <v>5.9134873298321455</v>
      </c>
      <c r="O22" s="32">
        <v>5.9134873298321455</v>
      </c>
      <c r="P22" s="32">
        <v>14.346589188102898</v>
      </c>
      <c r="Q22" s="32">
        <v>10.419378240826216</v>
      </c>
      <c r="R22" s="32">
        <v>11.472871936744934</v>
      </c>
      <c r="S22" s="20"/>
      <c r="T22" s="32">
        <v>10.162212138274631</v>
      </c>
      <c r="U22" s="32">
        <v>10.520281325119972</v>
      </c>
      <c r="W22" s="79">
        <v>0.5</v>
      </c>
      <c r="X22" s="79">
        <v>0.93</v>
      </c>
      <c r="Y22" s="79" t="s">
        <v>81</v>
      </c>
      <c r="Z22" s="53"/>
      <c r="AA22" s="53"/>
    </row>
    <row r="23" spans="1:30" ht="14.5" customHeight="1" x14ac:dyDescent="0.35">
      <c r="A23" s="28" t="s">
        <v>113</v>
      </c>
      <c r="B23" s="28" t="s">
        <v>115</v>
      </c>
      <c r="C23" s="28" t="s">
        <v>125</v>
      </c>
      <c r="D23" s="61" t="s">
        <v>171</v>
      </c>
      <c r="E23" s="30">
        <v>100</v>
      </c>
      <c r="F23" s="29">
        <v>77.413357075200011</v>
      </c>
      <c r="G23" s="31">
        <v>13448</v>
      </c>
      <c r="H23" s="19"/>
      <c r="I23" s="32">
        <v>8.4169884169884135</v>
      </c>
      <c r="J23" s="32">
        <v>8.4169884169884135</v>
      </c>
      <c r="K23" s="32">
        <v>16.458555907883476</v>
      </c>
      <c r="L23" s="32" t="s">
        <v>139</v>
      </c>
      <c r="M23" s="32">
        <v>10.407047979066864</v>
      </c>
      <c r="N23" s="32">
        <v>7.5572112825971427</v>
      </c>
      <c r="O23" s="32">
        <v>7.5572112825971427</v>
      </c>
      <c r="P23" s="32">
        <v>16.293219886891762</v>
      </c>
      <c r="Q23" s="32" t="s">
        <v>139</v>
      </c>
      <c r="R23" s="32">
        <v>10.651886901039331</v>
      </c>
      <c r="S23" s="20"/>
      <c r="T23" s="32">
        <v>11.234738027708449</v>
      </c>
      <c r="U23" s="32">
        <v>11.471015332834895</v>
      </c>
      <c r="W23" s="79">
        <v>0.4466</v>
      </c>
      <c r="X23" s="79">
        <v>0.5766</v>
      </c>
      <c r="Y23" s="79" t="s">
        <v>81</v>
      </c>
      <c r="Z23" s="53"/>
      <c r="AA23" s="53"/>
    </row>
    <row r="24" spans="1:30" s="43" customFormat="1" ht="18.649999999999999" customHeight="1" x14ac:dyDescent="0.35">
      <c r="A24" s="100" t="s">
        <v>46</v>
      </c>
      <c r="B24" s="100"/>
      <c r="C24" s="100"/>
      <c r="D24" s="96"/>
      <c r="E24" s="40"/>
      <c r="F24" s="41"/>
      <c r="G24" s="42" t="s">
        <v>88</v>
      </c>
      <c r="H24" s="40"/>
      <c r="I24" s="63">
        <v>6.8018139289737078</v>
      </c>
      <c r="J24" s="63">
        <v>6.8018139289737078</v>
      </c>
      <c r="K24" s="63">
        <v>14.120697567869133</v>
      </c>
      <c r="L24" s="63">
        <v>9.7681313110955461</v>
      </c>
      <c r="M24" s="63">
        <v>10.940750317553034</v>
      </c>
      <c r="N24" s="63">
        <v>7.8496557558402813</v>
      </c>
      <c r="O24" s="63">
        <v>7.8496557558402813</v>
      </c>
      <c r="P24" s="63">
        <v>16.272347666010265</v>
      </c>
      <c r="Q24" s="63">
        <v>11.263214326731493</v>
      </c>
      <c r="R24" s="63">
        <v>12.359966880043883</v>
      </c>
      <c r="S24" s="40"/>
      <c r="T24" s="40"/>
      <c r="U24" s="40"/>
      <c r="W24" s="80"/>
      <c r="X24" s="80"/>
      <c r="Y24" s="80"/>
      <c r="Z24" s="53"/>
      <c r="AA24" s="53"/>
    </row>
    <row r="25" spans="1:30" ht="14.5" customHeight="1" x14ac:dyDescent="0.35">
      <c r="A25" s="28" t="s">
        <v>31</v>
      </c>
      <c r="B25" s="28" t="s">
        <v>14</v>
      </c>
      <c r="C25" s="28" t="s">
        <v>47</v>
      </c>
      <c r="D25" s="87" t="s">
        <v>170</v>
      </c>
      <c r="E25" s="30">
        <v>90</v>
      </c>
      <c r="F25" s="29">
        <v>182.51374527000002</v>
      </c>
      <c r="G25" s="31">
        <v>28878</v>
      </c>
      <c r="H25" s="19"/>
      <c r="I25" s="32">
        <v>7.4398249452954257</v>
      </c>
      <c r="J25" s="32">
        <v>7.4398249452954257</v>
      </c>
      <c r="K25" s="32">
        <v>14.738979712062616</v>
      </c>
      <c r="L25" s="32">
        <v>8.5308701789374997</v>
      </c>
      <c r="M25" s="32">
        <v>10.503334224805251</v>
      </c>
      <c r="N25" s="32">
        <v>8.8673132981066836</v>
      </c>
      <c r="O25" s="32">
        <v>8.8673132981066836</v>
      </c>
      <c r="P25" s="32">
        <v>15.67899269516364</v>
      </c>
      <c r="Q25" s="32">
        <v>10.173083643722247</v>
      </c>
      <c r="R25" s="32">
        <v>11.673337669486195</v>
      </c>
      <c r="S25" s="20"/>
      <c r="T25" s="32">
        <v>10.004815825188922</v>
      </c>
      <c r="U25" s="32">
        <v>10.378471888012665</v>
      </c>
      <c r="W25" s="79">
        <v>0.49</v>
      </c>
      <c r="X25" s="79">
        <v>0.72</v>
      </c>
      <c r="Y25" s="79" t="s">
        <v>81</v>
      </c>
      <c r="Z25" s="53"/>
      <c r="AA25" s="53"/>
    </row>
    <row r="26" spans="1:30" ht="14.5" customHeight="1" x14ac:dyDescent="0.35">
      <c r="A26" s="28" t="s">
        <v>167</v>
      </c>
      <c r="B26" s="28" t="s">
        <v>12</v>
      </c>
      <c r="C26" s="28" t="s">
        <v>163</v>
      </c>
      <c r="D26" s="87" t="s">
        <v>170</v>
      </c>
      <c r="E26" s="30">
        <v>97</v>
      </c>
      <c r="F26" s="29">
        <v>321.58774989999995</v>
      </c>
      <c r="G26" s="31">
        <v>42682</v>
      </c>
      <c r="H26" s="19"/>
      <c r="I26" s="32">
        <v>8.1311373201018213</v>
      </c>
      <c r="J26" s="32">
        <v>8.1311373201018213</v>
      </c>
      <c r="K26" s="32">
        <v>13.356768950158493</v>
      </c>
      <c r="L26" s="32">
        <v>10.220275992661087</v>
      </c>
      <c r="M26" s="32">
        <v>11.029359550053798</v>
      </c>
      <c r="N26" s="32">
        <v>8.4179276277735369</v>
      </c>
      <c r="O26" s="32">
        <v>8.4179276277735369</v>
      </c>
      <c r="P26" s="32">
        <v>15.601022079863602</v>
      </c>
      <c r="Q26" s="32">
        <v>10.945157925545868</v>
      </c>
      <c r="R26" s="32">
        <v>12.26688829459901</v>
      </c>
      <c r="S26" s="20"/>
      <c r="T26" s="32">
        <v>9.0340028173807809</v>
      </c>
      <c r="U26" s="32">
        <v>11.21035248043421</v>
      </c>
      <c r="W26" s="79">
        <v>0.5</v>
      </c>
      <c r="X26" s="79" t="s">
        <v>81</v>
      </c>
      <c r="Y26" s="79">
        <v>1.26</v>
      </c>
      <c r="Z26" s="53"/>
      <c r="AA26" s="53"/>
    </row>
    <row r="27" spans="1:30" ht="14.5" customHeight="1" x14ac:dyDescent="0.35">
      <c r="A27" s="28" t="s">
        <v>78</v>
      </c>
      <c r="B27" s="28" t="s">
        <v>11</v>
      </c>
      <c r="C27" s="28" t="s">
        <v>48</v>
      </c>
      <c r="D27" s="87" t="s">
        <v>170</v>
      </c>
      <c r="E27" s="30">
        <v>98</v>
      </c>
      <c r="F27" s="29">
        <v>578.57098887999996</v>
      </c>
      <c r="G27" s="31">
        <v>74338</v>
      </c>
      <c r="H27" s="19"/>
      <c r="I27" s="32">
        <v>6.6104294478527725</v>
      </c>
      <c r="J27" s="32">
        <v>6.6104294478527725</v>
      </c>
      <c r="K27" s="32">
        <v>14.244514790149744</v>
      </c>
      <c r="L27" s="32">
        <v>9.6034613758829721</v>
      </c>
      <c r="M27" s="32">
        <v>11.060555885607615</v>
      </c>
      <c r="N27" s="32">
        <v>8.7022104425803271</v>
      </c>
      <c r="O27" s="32">
        <v>8.7022104425803271</v>
      </c>
      <c r="P27" s="32">
        <v>17.879220688285514</v>
      </c>
      <c r="Q27" s="32">
        <v>12.280017716539128</v>
      </c>
      <c r="R27" s="32">
        <v>13.372685398417739</v>
      </c>
      <c r="S27" s="20"/>
      <c r="T27" s="32">
        <v>10.423404223592344</v>
      </c>
      <c r="U27" s="32">
        <v>11.581168567360802</v>
      </c>
      <c r="W27" s="79">
        <v>0.5</v>
      </c>
      <c r="X27" s="79" t="s">
        <v>81</v>
      </c>
      <c r="Y27" s="79">
        <v>0.82</v>
      </c>
      <c r="Z27" s="53"/>
      <c r="AA27" s="53"/>
    </row>
    <row r="28" spans="1:30" ht="14.5" customHeight="1" x14ac:dyDescent="0.35">
      <c r="A28" s="28" t="s">
        <v>79</v>
      </c>
      <c r="B28" s="28" t="s">
        <v>13</v>
      </c>
      <c r="C28" s="28" t="s">
        <v>94</v>
      </c>
      <c r="D28" s="87" t="s">
        <v>170</v>
      </c>
      <c r="E28" s="30">
        <v>97</v>
      </c>
      <c r="F28" s="29">
        <v>733.87588208</v>
      </c>
      <c r="G28" s="31">
        <v>114002</v>
      </c>
      <c r="H28" s="19"/>
      <c r="I28" s="32">
        <v>4.6840500473136482</v>
      </c>
      <c r="J28" s="32">
        <v>4.6840500473136482</v>
      </c>
      <c r="K28" s="32">
        <v>12.898400526823494</v>
      </c>
      <c r="L28" s="32">
        <v>9.6099029617420229</v>
      </c>
      <c r="M28" s="32">
        <v>10.836959360003441</v>
      </c>
      <c r="N28" s="32">
        <v>7.4805837650161022</v>
      </c>
      <c r="O28" s="32">
        <v>7.4805837650161022</v>
      </c>
      <c r="P28" s="32">
        <v>16.213888808158284</v>
      </c>
      <c r="Q28" s="32">
        <v>11.209001206646164</v>
      </c>
      <c r="R28" s="32">
        <v>12.314826316842108</v>
      </c>
      <c r="S28" s="20"/>
      <c r="T28" s="32">
        <v>10.600653385256519</v>
      </c>
      <c r="U28" s="32">
        <v>11.17935919350767</v>
      </c>
      <c r="W28" s="79">
        <v>0.41000000000000003</v>
      </c>
      <c r="X28" s="79" t="s">
        <v>81</v>
      </c>
      <c r="Y28" s="79">
        <v>0.68959999999999999</v>
      </c>
      <c r="Z28" s="53"/>
      <c r="AA28" s="53"/>
    </row>
    <row r="29" spans="1:30" ht="14.5" customHeight="1" x14ac:dyDescent="0.35">
      <c r="A29" s="28" t="s">
        <v>106</v>
      </c>
      <c r="B29" s="28" t="s">
        <v>15</v>
      </c>
      <c r="C29" s="28" t="s">
        <v>109</v>
      </c>
      <c r="D29" s="87" t="s">
        <v>170</v>
      </c>
      <c r="E29" s="30">
        <v>90</v>
      </c>
      <c r="F29" s="29">
        <v>293.01942564000001</v>
      </c>
      <c r="G29" s="31">
        <v>48030</v>
      </c>
      <c r="H29" s="19"/>
      <c r="I29" s="32">
        <v>10.186588616526414</v>
      </c>
      <c r="J29" s="32">
        <v>10.186588616526414</v>
      </c>
      <c r="K29" s="32">
        <v>16.752115235267585</v>
      </c>
      <c r="L29" s="32">
        <v>10.76399084635511</v>
      </c>
      <c r="M29" s="32">
        <v>11.233837988872185</v>
      </c>
      <c r="N29" s="32">
        <v>5.9134873298321455</v>
      </c>
      <c r="O29" s="32">
        <v>5.9134873298321455</v>
      </c>
      <c r="P29" s="32">
        <v>14.346589188102898</v>
      </c>
      <c r="Q29" s="32">
        <v>10.419378240826216</v>
      </c>
      <c r="R29" s="32">
        <v>11.472871936744934</v>
      </c>
      <c r="S29" s="20"/>
      <c r="T29" s="32">
        <v>10.177915857696405</v>
      </c>
      <c r="U29" s="32">
        <v>10.520281325119972</v>
      </c>
      <c r="W29" s="79">
        <v>0.5</v>
      </c>
      <c r="X29" s="79">
        <v>0.97</v>
      </c>
      <c r="Y29" s="79" t="s">
        <v>81</v>
      </c>
      <c r="Z29" s="53"/>
      <c r="AA29" s="53"/>
    </row>
    <row r="30" spans="1:30" ht="14.5" customHeight="1" x14ac:dyDescent="0.35">
      <c r="A30" s="28" t="s">
        <v>113</v>
      </c>
      <c r="B30" s="28" t="s">
        <v>116</v>
      </c>
      <c r="C30" s="28" t="s">
        <v>124</v>
      </c>
      <c r="D30" s="61" t="s">
        <v>171</v>
      </c>
      <c r="E30" s="30">
        <v>100</v>
      </c>
      <c r="F30" s="29">
        <v>80.566327821599998</v>
      </c>
      <c r="G30" s="31">
        <v>10505</v>
      </c>
      <c r="H30" s="19"/>
      <c r="I30" s="32">
        <v>8.4049739023641443</v>
      </c>
      <c r="J30" s="32">
        <v>8.4049739023641443</v>
      </c>
      <c r="K30" s="32">
        <v>16.443577031901601</v>
      </c>
      <c r="L30" s="32" t="s">
        <v>139</v>
      </c>
      <c r="M30" s="32">
        <v>10.597084152154967</v>
      </c>
      <c r="N30" s="32">
        <v>7.5572112825971427</v>
      </c>
      <c r="O30" s="32">
        <v>7.5572112825971427</v>
      </c>
      <c r="P30" s="32">
        <v>16.293219886891762</v>
      </c>
      <c r="Q30" s="32" t="s">
        <v>139</v>
      </c>
      <c r="R30" s="32">
        <v>10.651886901039331</v>
      </c>
      <c r="S30" s="20"/>
      <c r="T30" s="32">
        <v>11.256194729207639</v>
      </c>
      <c r="U30" s="32">
        <v>11.471015332834895</v>
      </c>
      <c r="W30" s="79">
        <v>0.4466</v>
      </c>
      <c r="X30" s="79">
        <v>0.57699999999999996</v>
      </c>
      <c r="Y30" s="79" t="s">
        <v>81</v>
      </c>
      <c r="Z30" s="53"/>
      <c r="AA30" s="53"/>
    </row>
    <row r="31" spans="1:30" s="43" customFormat="1" ht="18.649999999999999" customHeight="1" x14ac:dyDescent="0.35">
      <c r="A31" s="100" t="s">
        <v>49</v>
      </c>
      <c r="B31" s="100"/>
      <c r="C31" s="100"/>
      <c r="D31" s="96"/>
      <c r="E31" s="40"/>
      <c r="F31" s="41"/>
      <c r="G31" s="42" t="s">
        <v>88</v>
      </c>
      <c r="H31" s="40"/>
      <c r="I31" s="63">
        <v>6.7685894263571811</v>
      </c>
      <c r="J31" s="63">
        <v>6.7685894263571811</v>
      </c>
      <c r="K31" s="63">
        <v>14.053188874163553</v>
      </c>
      <c r="L31" s="63">
        <v>9.7338051576149613</v>
      </c>
      <c r="M31" s="63">
        <v>11.009541199021763</v>
      </c>
      <c r="N31" s="63">
        <v>7.7981502538729766</v>
      </c>
      <c r="O31" s="63">
        <v>7.7981502538729766</v>
      </c>
      <c r="P31" s="63">
        <v>16.289256510478523</v>
      </c>
      <c r="Q31" s="63">
        <v>11.280438873325368</v>
      </c>
      <c r="R31" s="63">
        <v>12.51496060738649</v>
      </c>
      <c r="S31" s="40"/>
      <c r="T31" s="40"/>
      <c r="U31" s="40"/>
      <c r="W31" s="80"/>
      <c r="X31" s="80"/>
      <c r="Y31" s="80"/>
      <c r="Z31" s="53"/>
      <c r="AA31" s="53"/>
      <c r="AB31" s="68"/>
      <c r="AC31" s="68"/>
    </row>
    <row r="32" spans="1:30" ht="14.5" customHeight="1" x14ac:dyDescent="0.35">
      <c r="A32" s="28" t="s">
        <v>31</v>
      </c>
      <c r="B32" s="28" t="s">
        <v>19</v>
      </c>
      <c r="C32" s="28" t="s">
        <v>50</v>
      </c>
      <c r="D32" s="87" t="s">
        <v>170</v>
      </c>
      <c r="E32" s="30">
        <v>90</v>
      </c>
      <c r="F32" s="29">
        <v>187.64337394</v>
      </c>
      <c r="G32" s="31">
        <v>19611</v>
      </c>
      <c r="H32" s="19"/>
      <c r="I32" s="32">
        <v>7.2530864197530853</v>
      </c>
      <c r="J32" s="32">
        <v>7.2530864197530853</v>
      </c>
      <c r="K32" s="32">
        <v>14.70714667081765</v>
      </c>
      <c r="L32" s="32">
        <v>8.6136654506812516</v>
      </c>
      <c r="M32" s="32">
        <v>10.522130058407164</v>
      </c>
      <c r="N32" s="32">
        <v>8.8673132981066836</v>
      </c>
      <c r="O32" s="32">
        <v>8.8673132981066836</v>
      </c>
      <c r="P32" s="32">
        <v>15.67899269516364</v>
      </c>
      <c r="Q32" s="32">
        <v>10.173083643722247</v>
      </c>
      <c r="R32" s="32">
        <v>11.673337669486195</v>
      </c>
      <c r="S32" s="20"/>
      <c r="T32" s="32">
        <v>9.9957414587187294</v>
      </c>
      <c r="U32" s="32">
        <v>10.378471888012665</v>
      </c>
      <c r="W32" s="79">
        <v>0.49</v>
      </c>
      <c r="X32" s="79">
        <v>0.72</v>
      </c>
      <c r="Y32" s="79" t="s">
        <v>81</v>
      </c>
      <c r="Z32" s="53"/>
      <c r="AA32" s="53"/>
      <c r="AB32" s="44"/>
      <c r="AC32" s="44"/>
      <c r="AD32" s="43"/>
    </row>
    <row r="33" spans="1:30" ht="14.5" customHeight="1" x14ac:dyDescent="0.35">
      <c r="A33" s="28" t="s">
        <v>167</v>
      </c>
      <c r="B33" s="28" t="s">
        <v>17</v>
      </c>
      <c r="C33" s="28" t="s">
        <v>164</v>
      </c>
      <c r="D33" s="87" t="s">
        <v>170</v>
      </c>
      <c r="E33" s="30">
        <v>97</v>
      </c>
      <c r="F33" s="29">
        <v>311.22315437999998</v>
      </c>
      <c r="G33" s="31">
        <v>25872</v>
      </c>
      <c r="H33" s="19"/>
      <c r="I33" s="32">
        <v>7.8482193769114916</v>
      </c>
      <c r="J33" s="32">
        <v>7.8482193769114916</v>
      </c>
      <c r="K33" s="32">
        <v>13.133303030320874</v>
      </c>
      <c r="L33" s="32">
        <v>10.113204258506281</v>
      </c>
      <c r="M33" s="32">
        <v>11.024028081977333</v>
      </c>
      <c r="N33" s="32">
        <v>8.1573000778942131</v>
      </c>
      <c r="O33" s="32">
        <v>8.1573000778942131</v>
      </c>
      <c r="P33" s="32">
        <v>15.508316053362424</v>
      </c>
      <c r="Q33" s="32">
        <v>10.891766001306259</v>
      </c>
      <c r="R33" s="32">
        <v>12.228324392858081</v>
      </c>
      <c r="S33" s="20"/>
      <c r="T33" s="32">
        <v>8.9049332058427151</v>
      </c>
      <c r="U33" s="32">
        <v>11.158970080748478</v>
      </c>
      <c r="W33" s="79">
        <v>0.5</v>
      </c>
      <c r="X33" s="79" t="s">
        <v>81</v>
      </c>
      <c r="Y33" s="79">
        <v>1.28</v>
      </c>
      <c r="Z33" s="53"/>
      <c r="AA33" s="53"/>
      <c r="AB33" s="44"/>
      <c r="AC33" s="44"/>
      <c r="AD33" s="43"/>
    </row>
    <row r="34" spans="1:30" ht="14.5" customHeight="1" x14ac:dyDescent="0.35">
      <c r="A34" s="28" t="s">
        <v>78</v>
      </c>
      <c r="B34" s="28" t="s">
        <v>16</v>
      </c>
      <c r="C34" s="28" t="s">
        <v>51</v>
      </c>
      <c r="D34" s="87" t="s">
        <v>170</v>
      </c>
      <c r="E34" s="30">
        <v>98</v>
      </c>
      <c r="F34" s="29">
        <v>686.27157708000004</v>
      </c>
      <c r="G34" s="31">
        <v>62239</v>
      </c>
      <c r="H34" s="19"/>
      <c r="I34" s="32">
        <v>6.6055229790006553</v>
      </c>
      <c r="J34" s="32">
        <v>6.6055229790006553</v>
      </c>
      <c r="K34" s="32">
        <v>14.18939025642565</v>
      </c>
      <c r="L34" s="32">
        <v>9.5762188058664321</v>
      </c>
      <c r="M34" s="32">
        <v>11.375641257018199</v>
      </c>
      <c r="N34" s="32">
        <v>8.7021838078105151</v>
      </c>
      <c r="O34" s="32">
        <v>8.7021838078105151</v>
      </c>
      <c r="P34" s="32">
        <v>17.879173888674373</v>
      </c>
      <c r="Q34" s="32">
        <v>12.279916882915543</v>
      </c>
      <c r="R34" s="32">
        <v>13.82214672467823</v>
      </c>
      <c r="S34" s="20"/>
      <c r="T34" s="32">
        <v>10.380070101778244</v>
      </c>
      <c r="U34" s="32">
        <v>11.581182971402578</v>
      </c>
      <c r="W34" s="79">
        <v>0.5</v>
      </c>
      <c r="X34" s="79" t="s">
        <v>81</v>
      </c>
      <c r="Y34" s="79">
        <v>0.82</v>
      </c>
      <c r="Z34" s="53"/>
      <c r="AA34" s="53"/>
    </row>
    <row r="35" spans="1:30" ht="14.5" customHeight="1" x14ac:dyDescent="0.35">
      <c r="A35" s="28" t="s">
        <v>79</v>
      </c>
      <c r="B35" s="28" t="s">
        <v>18</v>
      </c>
      <c r="C35" s="28" t="s">
        <v>95</v>
      </c>
      <c r="D35" s="87" t="s">
        <v>170</v>
      </c>
      <c r="E35" s="30">
        <v>97</v>
      </c>
      <c r="F35" s="29">
        <v>838.96081248999997</v>
      </c>
      <c r="G35" s="31">
        <v>96814</v>
      </c>
      <c r="H35" s="19"/>
      <c r="I35" s="32">
        <v>4.8716191279590815</v>
      </c>
      <c r="J35" s="32">
        <v>4.8716191279590815</v>
      </c>
      <c r="K35" s="32">
        <v>12.889449427170208</v>
      </c>
      <c r="L35" s="32">
        <v>9.6414823646417958</v>
      </c>
      <c r="M35" s="32">
        <v>10.860365450476595</v>
      </c>
      <c r="N35" s="32">
        <v>7.4805837650161022</v>
      </c>
      <c r="O35" s="32">
        <v>7.4805837650161022</v>
      </c>
      <c r="P35" s="32">
        <v>16.213888808158284</v>
      </c>
      <c r="Q35" s="32">
        <v>11.209001206646164</v>
      </c>
      <c r="R35" s="32">
        <v>12.314826316842108</v>
      </c>
      <c r="S35" s="20"/>
      <c r="T35" s="32">
        <v>10.52392747082469</v>
      </c>
      <c r="U35" s="32">
        <v>11.17935919350767</v>
      </c>
      <c r="W35" s="79">
        <v>0.41000000000000003</v>
      </c>
      <c r="X35" s="79" t="s">
        <v>81</v>
      </c>
      <c r="Y35" s="79">
        <v>0.69630000000000003</v>
      </c>
      <c r="Z35" s="53"/>
      <c r="AA35" s="53"/>
    </row>
    <row r="36" spans="1:30" ht="14.5" customHeight="1" x14ac:dyDescent="0.35">
      <c r="A36" s="28" t="s">
        <v>106</v>
      </c>
      <c r="B36" s="28" t="s">
        <v>20</v>
      </c>
      <c r="C36" s="28" t="s">
        <v>110</v>
      </c>
      <c r="D36" s="87" t="s">
        <v>170</v>
      </c>
      <c r="E36" s="30">
        <v>90</v>
      </c>
      <c r="F36" s="29">
        <v>345.18832601999998</v>
      </c>
      <c r="G36" s="31">
        <v>40106</v>
      </c>
      <c r="H36" s="19"/>
      <c r="I36" s="32">
        <v>10.151611535199322</v>
      </c>
      <c r="J36" s="32">
        <v>10.151611535199322</v>
      </c>
      <c r="K36" s="32">
        <v>16.620097133944544</v>
      </c>
      <c r="L36" s="32">
        <v>10.538326132271681</v>
      </c>
      <c r="M36" s="32">
        <v>11.004212013507008</v>
      </c>
      <c r="N36" s="32">
        <v>5.9134873298321455</v>
      </c>
      <c r="O36" s="32">
        <v>5.9134873298321455</v>
      </c>
      <c r="P36" s="32">
        <v>14.346589188102898</v>
      </c>
      <c r="Q36" s="32">
        <v>10.419378240826216</v>
      </c>
      <c r="R36" s="32">
        <v>11.472871936744934</v>
      </c>
      <c r="S36" s="20"/>
      <c r="T36" s="32">
        <v>10.172996377054782</v>
      </c>
      <c r="U36" s="32">
        <v>10.520281325119972</v>
      </c>
      <c r="W36" s="79">
        <v>0.5</v>
      </c>
      <c r="X36" s="79">
        <v>0.98</v>
      </c>
      <c r="Y36" s="79" t="s">
        <v>81</v>
      </c>
      <c r="Z36" s="53"/>
      <c r="AA36" s="53"/>
    </row>
    <row r="37" spans="1:30" ht="14.5" customHeight="1" x14ac:dyDescent="0.35">
      <c r="A37" s="28" t="s">
        <v>113</v>
      </c>
      <c r="B37" s="28" t="s">
        <v>117</v>
      </c>
      <c r="C37" s="28" t="s">
        <v>123</v>
      </c>
      <c r="D37" s="61" t="s">
        <v>171</v>
      </c>
      <c r="E37" s="30">
        <v>100</v>
      </c>
      <c r="F37" s="29">
        <v>65.660425860100005</v>
      </c>
      <c r="G37" s="31">
        <v>5044</v>
      </c>
      <c r="H37" s="19"/>
      <c r="I37" s="32">
        <v>8.4239759314973295</v>
      </c>
      <c r="J37" s="32">
        <v>8.4239759314973295</v>
      </c>
      <c r="K37" s="32">
        <v>16.495646623118574</v>
      </c>
      <c r="L37" s="32" t="s">
        <v>139</v>
      </c>
      <c r="M37" s="32">
        <v>10.441450658315855</v>
      </c>
      <c r="N37" s="32">
        <v>7.5572112825971427</v>
      </c>
      <c r="O37" s="32">
        <v>7.5572112825971427</v>
      </c>
      <c r="P37" s="32">
        <v>16.293219886891762</v>
      </c>
      <c r="Q37" s="32" t="s">
        <v>139</v>
      </c>
      <c r="R37" s="32">
        <v>10.651886901039331</v>
      </c>
      <c r="S37" s="20"/>
      <c r="T37" s="32">
        <v>11.235966106374146</v>
      </c>
      <c r="U37" s="32">
        <v>11.471015332834895</v>
      </c>
      <c r="W37" s="79">
        <v>0.44690000000000002</v>
      </c>
      <c r="X37" s="79">
        <v>0.57820000000000005</v>
      </c>
      <c r="Y37" s="79" t="s">
        <v>81</v>
      </c>
      <c r="Z37" s="53"/>
      <c r="AA37" s="53"/>
    </row>
    <row r="38" spans="1:30" s="43" customFormat="1" ht="18.649999999999999" customHeight="1" x14ac:dyDescent="0.35">
      <c r="A38" s="100" t="s">
        <v>52</v>
      </c>
      <c r="B38" s="100"/>
      <c r="C38" s="100"/>
      <c r="D38" s="96"/>
      <c r="E38" s="40"/>
      <c r="F38" s="41"/>
      <c r="G38" s="42" t="s">
        <v>88</v>
      </c>
      <c r="H38" s="40"/>
      <c r="I38" s="63">
        <v>5.9008403553834121</v>
      </c>
      <c r="J38" s="63">
        <v>5.9008403553834121</v>
      </c>
      <c r="K38" s="63">
        <v>11.904877251876588</v>
      </c>
      <c r="L38" s="63">
        <v>8.0109179401481576</v>
      </c>
      <c r="M38" s="63">
        <v>9.5594240709098273</v>
      </c>
      <c r="N38" s="63">
        <v>6.2309269730030561</v>
      </c>
      <c r="O38" s="63">
        <v>6.2309269730030561</v>
      </c>
      <c r="P38" s="63">
        <v>13.198715539744221</v>
      </c>
      <c r="Q38" s="63">
        <v>8.7021440379045245</v>
      </c>
      <c r="R38" s="63">
        <v>10.463458573003685</v>
      </c>
      <c r="S38" s="40"/>
      <c r="T38" s="40"/>
      <c r="U38" s="40"/>
      <c r="W38" s="80"/>
      <c r="X38" s="80"/>
      <c r="Y38" s="80"/>
      <c r="Z38" s="53"/>
      <c r="AA38" s="53"/>
    </row>
    <row r="39" spans="1:30" ht="14.5" customHeight="1" x14ac:dyDescent="0.35">
      <c r="A39" s="28" t="s">
        <v>31</v>
      </c>
      <c r="B39" s="28" t="s">
        <v>24</v>
      </c>
      <c r="C39" s="28" t="s">
        <v>53</v>
      </c>
      <c r="D39" s="87" t="s">
        <v>170</v>
      </c>
      <c r="E39" s="30">
        <v>65</v>
      </c>
      <c r="F39" s="29">
        <v>170.57982618</v>
      </c>
      <c r="G39" s="31">
        <v>17990</v>
      </c>
      <c r="H39" s="19"/>
      <c r="I39" s="32">
        <v>6.5132387442743855</v>
      </c>
      <c r="J39" s="32">
        <v>6.5132387442743855</v>
      </c>
      <c r="K39" s="32">
        <v>12.618038588913748</v>
      </c>
      <c r="L39" s="32">
        <v>7.3420304377308288</v>
      </c>
      <c r="M39" s="32">
        <v>9.6509177932855508</v>
      </c>
      <c r="N39" s="32">
        <v>6.8624145268953995</v>
      </c>
      <c r="O39" s="32">
        <v>6.8624145268953995</v>
      </c>
      <c r="P39" s="32">
        <v>13.080789538223826</v>
      </c>
      <c r="Q39" s="32">
        <v>8.3811479577114092</v>
      </c>
      <c r="R39" s="32">
        <v>10.373929638005276</v>
      </c>
      <c r="S39" s="20"/>
      <c r="T39" s="32">
        <v>8.0763417080618662</v>
      </c>
      <c r="U39" s="32">
        <v>8.6678001234495206</v>
      </c>
      <c r="W39" s="79">
        <v>0.49</v>
      </c>
      <c r="X39" s="79">
        <v>0.73</v>
      </c>
      <c r="Y39" s="79" t="s">
        <v>81</v>
      </c>
      <c r="Z39" s="53"/>
      <c r="AA39" s="53"/>
    </row>
    <row r="40" spans="1:30" ht="14.5" customHeight="1" x14ac:dyDescent="0.35">
      <c r="A40" s="28" t="s">
        <v>167</v>
      </c>
      <c r="B40" s="28" t="s">
        <v>22</v>
      </c>
      <c r="C40" s="28" t="s">
        <v>165</v>
      </c>
      <c r="D40" s="87" t="s">
        <v>170</v>
      </c>
      <c r="E40" s="30">
        <v>61.18</v>
      </c>
      <c r="F40" s="29">
        <v>248.29906109000001</v>
      </c>
      <c r="G40" s="31">
        <v>22088</v>
      </c>
      <c r="H40" s="19"/>
      <c r="I40" s="32">
        <v>7.6017007584463503</v>
      </c>
      <c r="J40" s="32">
        <v>7.6017007584463503</v>
      </c>
      <c r="K40" s="32">
        <v>11.181691053811637</v>
      </c>
      <c r="L40" s="32">
        <v>8.0564922435750752</v>
      </c>
      <c r="M40" s="32">
        <v>9.3688347410240347</v>
      </c>
      <c r="N40" s="32">
        <v>7.2509022578152837</v>
      </c>
      <c r="O40" s="32">
        <v>7.2509022578152837</v>
      </c>
      <c r="P40" s="32">
        <v>12.735413300595866</v>
      </c>
      <c r="Q40" s="32">
        <v>7.7849618440747781</v>
      </c>
      <c r="R40" s="32">
        <v>9.8149585517552929</v>
      </c>
      <c r="S40" s="20"/>
      <c r="T40" s="32">
        <v>6.2715083620987322</v>
      </c>
      <c r="U40" s="32">
        <v>8.2435800525721881</v>
      </c>
      <c r="W40" s="79">
        <v>0.5</v>
      </c>
      <c r="X40" s="79" t="s">
        <v>81</v>
      </c>
      <c r="Y40" s="79">
        <v>1.1000000000000001</v>
      </c>
      <c r="Z40" s="53"/>
      <c r="AA40" s="53"/>
    </row>
    <row r="41" spans="1:30" ht="14.5" customHeight="1" x14ac:dyDescent="0.35">
      <c r="A41" s="28" t="s">
        <v>78</v>
      </c>
      <c r="B41" s="28" t="s">
        <v>21</v>
      </c>
      <c r="C41" s="28" t="s">
        <v>54</v>
      </c>
      <c r="D41" s="87" t="s">
        <v>170</v>
      </c>
      <c r="E41" s="30">
        <v>63.3</v>
      </c>
      <c r="F41" s="29">
        <v>579.84994542999993</v>
      </c>
      <c r="G41" s="31">
        <v>52924</v>
      </c>
      <c r="H41" s="19"/>
      <c r="I41" s="32">
        <v>5.7558753264070228</v>
      </c>
      <c r="J41" s="32">
        <v>5.7558753264070228</v>
      </c>
      <c r="K41" s="32">
        <v>11.839915975888914</v>
      </c>
      <c r="L41" s="32">
        <v>7.7810861298570178</v>
      </c>
      <c r="M41" s="32">
        <v>9.6238092868107472</v>
      </c>
      <c r="N41" s="32">
        <v>6.9013373578650894</v>
      </c>
      <c r="O41" s="32">
        <v>6.9013373578650894</v>
      </c>
      <c r="P41" s="32">
        <v>14.22237065913734</v>
      </c>
      <c r="Q41" s="32">
        <v>9.4993532431632222</v>
      </c>
      <c r="R41" s="32">
        <v>11.210935301492775</v>
      </c>
      <c r="S41" s="20"/>
      <c r="T41" s="32">
        <v>7.8274595980422426</v>
      </c>
      <c r="U41" s="32">
        <v>8.8567232606362154</v>
      </c>
      <c r="W41" s="79">
        <v>0.5</v>
      </c>
      <c r="X41" s="79" t="s">
        <v>81</v>
      </c>
      <c r="Y41" s="79">
        <v>0.77</v>
      </c>
      <c r="Z41" s="53"/>
      <c r="AA41" s="53"/>
    </row>
    <row r="42" spans="1:30" ht="14.5" customHeight="1" x14ac:dyDescent="0.35">
      <c r="A42" s="28" t="s">
        <v>79</v>
      </c>
      <c r="B42" s="28" t="s">
        <v>23</v>
      </c>
      <c r="C42" s="28" t="s">
        <v>96</v>
      </c>
      <c r="D42" s="87" t="s">
        <v>170</v>
      </c>
      <c r="E42" s="30">
        <v>65</v>
      </c>
      <c r="F42" s="29">
        <v>803.83452649000003</v>
      </c>
      <c r="G42" s="31">
        <v>93440</v>
      </c>
      <c r="H42" s="19"/>
      <c r="I42" s="32">
        <v>3.3027317510076148</v>
      </c>
      <c r="J42" s="32">
        <v>3.3027317510076148</v>
      </c>
      <c r="K42" s="32">
        <v>10.655023878840563</v>
      </c>
      <c r="L42" s="32">
        <v>7.9630315373126814</v>
      </c>
      <c r="M42" s="32">
        <v>9.6282855630026365</v>
      </c>
      <c r="N42" s="32">
        <v>5.6635346901437122</v>
      </c>
      <c r="O42" s="32">
        <v>5.6635346901437122</v>
      </c>
      <c r="P42" s="32">
        <v>12.92559751425928</v>
      </c>
      <c r="Q42" s="32">
        <v>8.6166879898447633</v>
      </c>
      <c r="R42" s="32">
        <v>10.43992666753708</v>
      </c>
      <c r="S42" s="20"/>
      <c r="T42" s="32">
        <v>8.0703747150271319</v>
      </c>
      <c r="U42" s="32">
        <v>8.8508144010665823</v>
      </c>
      <c r="W42" s="79">
        <v>0.41000000000000003</v>
      </c>
      <c r="X42" s="79" t="s">
        <v>81</v>
      </c>
      <c r="Y42" s="79">
        <v>0.64700000000000002</v>
      </c>
      <c r="Z42" s="53"/>
      <c r="AA42" s="53"/>
    </row>
    <row r="43" spans="1:30" ht="14.5" customHeight="1" x14ac:dyDescent="0.35">
      <c r="A43" s="28" t="s">
        <v>106</v>
      </c>
      <c r="B43" s="28" t="s">
        <v>25</v>
      </c>
      <c r="C43" s="28" t="s">
        <v>111</v>
      </c>
      <c r="D43" s="87" t="s">
        <v>170</v>
      </c>
      <c r="E43" s="30">
        <v>65</v>
      </c>
      <c r="F43" s="29">
        <v>339.84283105000003</v>
      </c>
      <c r="G43" s="31">
        <v>38562</v>
      </c>
      <c r="H43" s="19"/>
      <c r="I43" s="32">
        <v>10.415430267062309</v>
      </c>
      <c r="J43" s="32">
        <v>10.415430267062309</v>
      </c>
      <c r="K43" s="32">
        <v>14.564892996229361</v>
      </c>
      <c r="L43" s="32">
        <v>8.8187718616250308</v>
      </c>
      <c r="M43" s="32">
        <v>9.2668434102616928</v>
      </c>
      <c r="N43" s="32">
        <v>5.1931336829510011</v>
      </c>
      <c r="O43" s="32">
        <v>5.1931336829510011</v>
      </c>
      <c r="P43" s="32">
        <v>12.090342326835968</v>
      </c>
      <c r="Q43" s="32">
        <v>8.3752921847866091</v>
      </c>
      <c r="R43" s="32">
        <v>9.7378122376624798</v>
      </c>
      <c r="S43" s="20"/>
      <c r="T43" s="32">
        <v>8.0333057548912379</v>
      </c>
      <c r="U43" s="32">
        <v>8.3597129644290966</v>
      </c>
      <c r="W43" s="79">
        <v>0.5</v>
      </c>
      <c r="X43" s="79">
        <v>0.89</v>
      </c>
      <c r="Y43" s="79" t="s">
        <v>81</v>
      </c>
      <c r="Z43" s="53"/>
      <c r="AA43" s="53"/>
    </row>
    <row r="44" spans="1:30" ht="14.5" customHeight="1" x14ac:dyDescent="0.35">
      <c r="A44" s="28" t="s">
        <v>113</v>
      </c>
      <c r="B44" s="28" t="s">
        <v>118</v>
      </c>
      <c r="C44" s="28" t="s">
        <v>122</v>
      </c>
      <c r="D44" s="61" t="s">
        <v>171</v>
      </c>
      <c r="E44" s="30">
        <v>100</v>
      </c>
      <c r="F44" s="29">
        <v>44.530986701300002</v>
      </c>
      <c r="G44" s="31">
        <v>3549</v>
      </c>
      <c r="H44" s="19"/>
      <c r="I44" s="32">
        <v>8.4040747028862448</v>
      </c>
      <c r="J44" s="32">
        <v>8.4040747028862448</v>
      </c>
      <c r="K44" s="32">
        <v>16.312399676961121</v>
      </c>
      <c r="L44" s="32" t="s">
        <v>139</v>
      </c>
      <c r="M44" s="32">
        <v>10.423105800480737</v>
      </c>
      <c r="N44" s="32">
        <v>7.5572112825971427</v>
      </c>
      <c r="O44" s="32">
        <v>7.5572112825971427</v>
      </c>
      <c r="P44" s="32">
        <v>16.293219886891762</v>
      </c>
      <c r="Q44" s="32" t="s">
        <v>139</v>
      </c>
      <c r="R44" s="32">
        <v>10.651886901039331</v>
      </c>
      <c r="S44" s="20"/>
      <c r="T44" s="32">
        <v>11.248518884853228</v>
      </c>
      <c r="U44" s="32">
        <v>11.471015332834895</v>
      </c>
      <c r="W44" s="79">
        <v>0.44640000000000002</v>
      </c>
      <c r="X44" s="79">
        <v>0.57769999999999999</v>
      </c>
      <c r="Y44" s="79" t="s">
        <v>81</v>
      </c>
      <c r="Z44" s="53"/>
      <c r="AA44" s="53"/>
    </row>
    <row r="45" spans="1:30" s="43" customFormat="1" ht="18.649999999999999" customHeight="1" x14ac:dyDescent="0.35">
      <c r="A45" s="100" t="s">
        <v>55</v>
      </c>
      <c r="B45" s="100"/>
      <c r="C45" s="100"/>
      <c r="D45" s="96"/>
      <c r="E45" s="40"/>
      <c r="F45" s="41"/>
      <c r="G45" s="42" t="s">
        <v>88</v>
      </c>
      <c r="H45" s="40"/>
      <c r="I45" s="63">
        <v>4.5730158511206822</v>
      </c>
      <c r="J45" s="63">
        <v>4.5730158511206822</v>
      </c>
      <c r="K45" s="63">
        <v>8.4949852777719634</v>
      </c>
      <c r="L45" s="63">
        <v>4.4568966000018877</v>
      </c>
      <c r="M45" s="63">
        <v>5.9419098791772944</v>
      </c>
      <c r="N45" s="63">
        <v>4.1466298263266026</v>
      </c>
      <c r="O45" s="63">
        <v>4.1466298263266026</v>
      </c>
      <c r="P45" s="63">
        <v>8.7265959475274819</v>
      </c>
      <c r="Q45" s="63">
        <v>4.149558522307121</v>
      </c>
      <c r="R45" s="63">
        <v>6.0487944813674615</v>
      </c>
      <c r="S45" s="40"/>
      <c r="T45" s="40"/>
      <c r="U45" s="40"/>
      <c r="W45" s="80"/>
      <c r="X45" s="80"/>
      <c r="Y45" s="80"/>
      <c r="Z45" s="53"/>
      <c r="AA45" s="53"/>
    </row>
    <row r="46" spans="1:30" ht="14.5" customHeight="1" x14ac:dyDescent="0.35">
      <c r="A46" s="28" t="s">
        <v>31</v>
      </c>
      <c r="B46" s="28" t="s">
        <v>27</v>
      </c>
      <c r="C46" s="28" t="s">
        <v>56</v>
      </c>
      <c r="D46" s="87" t="s">
        <v>170</v>
      </c>
      <c r="E46" s="30">
        <v>30</v>
      </c>
      <c r="F46" s="29">
        <v>126.72778362000001</v>
      </c>
      <c r="G46" s="31">
        <v>15881</v>
      </c>
      <c r="H46" s="19"/>
      <c r="I46" s="32">
        <v>5.3947094355342617</v>
      </c>
      <c r="J46" s="32">
        <v>5.3947094355342617</v>
      </c>
      <c r="K46" s="32">
        <v>8.9775220019737709</v>
      </c>
      <c r="L46" s="32">
        <v>3.9747678104059547</v>
      </c>
      <c r="M46" s="32">
        <v>6.1391761702405345</v>
      </c>
      <c r="N46" s="32">
        <v>5.3706778023822954</v>
      </c>
      <c r="O46" s="32">
        <v>5.3706778023822954</v>
      </c>
      <c r="P46" s="32">
        <v>9.1735443572205533</v>
      </c>
      <c r="Q46" s="32">
        <v>4.5931333124030083</v>
      </c>
      <c r="R46" s="32">
        <v>6.6164533710812545</v>
      </c>
      <c r="S46" s="20"/>
      <c r="T46" s="32">
        <v>5.6666193373530618</v>
      </c>
      <c r="U46" s="32">
        <v>6.1242626955401755</v>
      </c>
      <c r="W46" s="79">
        <v>0.49</v>
      </c>
      <c r="X46" s="79">
        <v>0.71</v>
      </c>
      <c r="Y46" s="79" t="s">
        <v>81</v>
      </c>
      <c r="Z46" s="53"/>
      <c r="AA46" s="53"/>
    </row>
    <row r="47" spans="1:30" ht="14.5" customHeight="1" x14ac:dyDescent="0.35">
      <c r="A47" s="28" t="s">
        <v>167</v>
      </c>
      <c r="B47" s="28" t="s">
        <v>29</v>
      </c>
      <c r="C47" s="28" t="s">
        <v>168</v>
      </c>
      <c r="D47" s="87" t="s">
        <v>170</v>
      </c>
      <c r="E47" s="30">
        <v>25.35</v>
      </c>
      <c r="F47" s="29">
        <v>152.67929046</v>
      </c>
      <c r="G47" s="31">
        <v>16740</v>
      </c>
      <c r="H47" s="19"/>
      <c r="I47" s="32">
        <v>6.2491203377902815</v>
      </c>
      <c r="J47" s="32">
        <v>6.2491203377902815</v>
      </c>
      <c r="K47" s="32">
        <v>8.8986728016897452</v>
      </c>
      <c r="L47" s="32">
        <v>4.7596610284591501</v>
      </c>
      <c r="M47" s="32">
        <v>6.0571433408141084</v>
      </c>
      <c r="N47" s="32">
        <v>5.5526115858058889</v>
      </c>
      <c r="O47" s="32">
        <v>5.5526115858058889</v>
      </c>
      <c r="P47" s="32">
        <v>8.9958570359158117</v>
      </c>
      <c r="Q47" s="32">
        <v>3.1723243870252826</v>
      </c>
      <c r="R47" s="32">
        <v>5.365094784375013</v>
      </c>
      <c r="S47" s="20"/>
      <c r="T47" s="32">
        <v>4.0243488158230578</v>
      </c>
      <c r="U47" s="32">
        <v>4.9537151643883215</v>
      </c>
      <c r="W47" s="79">
        <v>0.5</v>
      </c>
      <c r="X47" s="79" t="s">
        <v>81</v>
      </c>
      <c r="Y47" s="79">
        <v>0.83</v>
      </c>
      <c r="Z47" s="53"/>
      <c r="AA47" s="53"/>
    </row>
    <row r="48" spans="1:30" ht="14.5" customHeight="1" x14ac:dyDescent="0.35">
      <c r="A48" s="28" t="s">
        <v>78</v>
      </c>
      <c r="B48" s="28" t="s">
        <v>28</v>
      </c>
      <c r="C48" s="28" t="s">
        <v>57</v>
      </c>
      <c r="D48" s="87" t="s">
        <v>170</v>
      </c>
      <c r="E48" s="30">
        <v>30.8</v>
      </c>
      <c r="F48" s="29">
        <v>413.40451451000001</v>
      </c>
      <c r="G48" s="31">
        <v>45315</v>
      </c>
      <c r="H48" s="19"/>
      <c r="I48" s="32">
        <v>4.2711299395791436</v>
      </c>
      <c r="J48" s="32">
        <v>4.2711299395791436</v>
      </c>
      <c r="K48" s="32">
        <v>8.6406116020934398</v>
      </c>
      <c r="L48" s="32">
        <v>4.3600511034741052</v>
      </c>
      <c r="M48" s="32">
        <v>5.9727127277317216</v>
      </c>
      <c r="N48" s="32">
        <v>4.4318479844028813</v>
      </c>
      <c r="O48" s="32">
        <v>4.4318479844028813</v>
      </c>
      <c r="P48" s="32">
        <v>9.3391727679404966</v>
      </c>
      <c r="Q48" s="32">
        <v>5.0245970324525047</v>
      </c>
      <c r="R48" s="32">
        <v>6.9083632565032804</v>
      </c>
      <c r="S48" s="20"/>
      <c r="T48" s="32">
        <v>4.8946719179296068</v>
      </c>
      <c r="U48" s="32">
        <v>5.9073267435162515</v>
      </c>
      <c r="W48" s="79">
        <v>0.5</v>
      </c>
      <c r="X48" s="79" t="s">
        <v>81</v>
      </c>
      <c r="Y48" s="79">
        <v>0.67</v>
      </c>
      <c r="Z48" s="53"/>
      <c r="AA48" s="53"/>
    </row>
    <row r="49" spans="1:27" ht="14.5" customHeight="1" x14ac:dyDescent="0.35">
      <c r="A49" s="28" t="s">
        <v>79</v>
      </c>
      <c r="B49" s="28" t="s">
        <v>26</v>
      </c>
      <c r="C49" s="28" t="s">
        <v>97</v>
      </c>
      <c r="D49" s="87" t="s">
        <v>170</v>
      </c>
      <c r="E49" s="30">
        <v>30</v>
      </c>
      <c r="F49" s="29">
        <v>578.75341508000008</v>
      </c>
      <c r="G49" s="31">
        <v>78991</v>
      </c>
      <c r="H49" s="19"/>
      <c r="I49" s="32">
        <v>2.7183263367971833</v>
      </c>
      <c r="J49" s="32">
        <v>2.7183263367971833</v>
      </c>
      <c r="K49" s="32">
        <v>7.6910794815833183</v>
      </c>
      <c r="L49" s="32">
        <v>4.5111439172957235</v>
      </c>
      <c r="M49" s="32">
        <v>6.1896192811427886</v>
      </c>
      <c r="N49" s="32">
        <v>3.4469752363356809</v>
      </c>
      <c r="O49" s="32">
        <v>3.4469752363356809</v>
      </c>
      <c r="P49" s="32">
        <v>8.5532332288596358</v>
      </c>
      <c r="Q49" s="32">
        <v>3.594401351438159</v>
      </c>
      <c r="R49" s="32">
        <v>5.8564489298486899</v>
      </c>
      <c r="S49" s="20"/>
      <c r="T49" s="32">
        <v>4.9687369667386863</v>
      </c>
      <c r="U49" s="32">
        <v>6.2231478937250113</v>
      </c>
      <c r="W49" s="79">
        <v>0.41000000000000003</v>
      </c>
      <c r="X49" s="79" t="s">
        <v>81</v>
      </c>
      <c r="Y49" s="79">
        <v>0.4874</v>
      </c>
      <c r="Z49" s="53"/>
      <c r="AA49" s="53"/>
    </row>
    <row r="50" spans="1:27" ht="14.5" customHeight="1" x14ac:dyDescent="0.35">
      <c r="A50" s="28" t="s">
        <v>106</v>
      </c>
      <c r="B50" s="28" t="s">
        <v>30</v>
      </c>
      <c r="C50" s="28" t="s">
        <v>112</v>
      </c>
      <c r="D50" s="87" t="s">
        <v>170</v>
      </c>
      <c r="E50" s="30">
        <v>30</v>
      </c>
      <c r="F50" s="29">
        <v>267.26285072999997</v>
      </c>
      <c r="G50" s="31">
        <v>34648</v>
      </c>
      <c r="H50" s="19"/>
      <c r="I50" s="32">
        <v>7.7307110438729065</v>
      </c>
      <c r="J50" s="32">
        <v>7.7307110438729065</v>
      </c>
      <c r="K50" s="32">
        <v>9.5285290104270679</v>
      </c>
      <c r="L50" s="32">
        <v>4.5448766543906283</v>
      </c>
      <c r="M50" s="32">
        <v>5.1771871521454349</v>
      </c>
      <c r="N50" s="32">
        <v>3.8418357447903118</v>
      </c>
      <c r="O50" s="32">
        <v>3.8418357447903118</v>
      </c>
      <c r="P50" s="32">
        <v>7.7630504801017297</v>
      </c>
      <c r="Q50" s="32">
        <v>4.3461604904010853</v>
      </c>
      <c r="R50" s="32">
        <v>5.2277986967787404</v>
      </c>
      <c r="S50" s="20"/>
      <c r="T50" s="32">
        <v>4.5630576224307635</v>
      </c>
      <c r="U50" s="32">
        <v>4.7479490731477316</v>
      </c>
      <c r="W50" s="79">
        <v>0.5</v>
      </c>
      <c r="X50" s="79">
        <v>0.78</v>
      </c>
      <c r="Y50" s="79" t="s">
        <v>81</v>
      </c>
      <c r="Z50" s="53"/>
      <c r="AA50" s="53"/>
    </row>
    <row r="51" spans="1:27" ht="14.5" customHeight="1" x14ac:dyDescent="0.35">
      <c r="A51" s="28" t="s">
        <v>113</v>
      </c>
      <c r="B51" s="28" t="s">
        <v>119</v>
      </c>
      <c r="C51" s="28" t="s">
        <v>121</v>
      </c>
      <c r="D51" s="61" t="s">
        <v>171</v>
      </c>
      <c r="E51" s="30">
        <v>30</v>
      </c>
      <c r="F51" s="29">
        <v>13.551247999099999</v>
      </c>
      <c r="G51" s="31">
        <v>1335</v>
      </c>
      <c r="H51" s="19"/>
      <c r="I51" s="32">
        <v>4.1476985331310168</v>
      </c>
      <c r="J51" s="32">
        <v>4.1476985331310168</v>
      </c>
      <c r="K51" s="32">
        <v>8.9412369001310221</v>
      </c>
      <c r="L51" s="32" t="s">
        <v>139</v>
      </c>
      <c r="M51" s="32">
        <v>6.3619740716760242</v>
      </c>
      <c r="N51" s="32">
        <v>4.0501043841336015</v>
      </c>
      <c r="O51" s="32">
        <v>4.0501043841336015</v>
      </c>
      <c r="P51" s="32">
        <v>9.2328797665362607</v>
      </c>
      <c r="Q51" s="32" t="s">
        <v>139</v>
      </c>
      <c r="R51" s="32">
        <v>6.6274377288289887</v>
      </c>
      <c r="S51" s="20"/>
      <c r="T51" s="32">
        <v>5.326726500804531</v>
      </c>
      <c r="U51" s="32">
        <v>5.6942509479068333</v>
      </c>
      <c r="W51" s="79">
        <v>0.44669999999999999</v>
      </c>
      <c r="X51" s="79">
        <v>0.59330000000000005</v>
      </c>
      <c r="Y51" s="79" t="s">
        <v>81</v>
      </c>
      <c r="Z51" s="53"/>
      <c r="AA51" s="53"/>
    </row>
    <row r="52" spans="1:27" s="43" customFormat="1" ht="18.649999999999999" customHeight="1" x14ac:dyDescent="0.35">
      <c r="A52" s="100" t="s">
        <v>58</v>
      </c>
      <c r="B52" s="100"/>
      <c r="C52" s="100"/>
      <c r="D52" s="96"/>
      <c r="E52" s="40"/>
      <c r="F52" s="41"/>
      <c r="G52" s="42" t="s">
        <v>88</v>
      </c>
      <c r="H52" s="40"/>
      <c r="I52" s="63">
        <v>3.4613520143273018</v>
      </c>
      <c r="J52" s="63">
        <v>3.4613520143273018</v>
      </c>
      <c r="K52" s="63">
        <v>5.8266388252447534</v>
      </c>
      <c r="L52" s="63">
        <v>1.5659899808400832</v>
      </c>
      <c r="M52" s="63">
        <v>2.359923888747427</v>
      </c>
      <c r="N52" s="63">
        <v>2.8248503547708697</v>
      </c>
      <c r="O52" s="63">
        <v>2.8248503547708697</v>
      </c>
      <c r="P52" s="63">
        <v>5.4993007476671414</v>
      </c>
      <c r="Q52" s="63">
        <v>0.74022884611111117</v>
      </c>
      <c r="R52" s="63">
        <v>1.886851127030142</v>
      </c>
      <c r="S52" s="40"/>
      <c r="T52" s="40"/>
      <c r="U52" s="40"/>
      <c r="W52" s="80"/>
      <c r="X52" s="80"/>
      <c r="Y52" s="80"/>
    </row>
    <row r="53" spans="1:27" ht="14.5" customHeight="1" x14ac:dyDescent="0.35">
      <c r="A53" s="28" t="s">
        <v>31</v>
      </c>
      <c r="B53" s="28" t="s">
        <v>35</v>
      </c>
      <c r="C53" s="28" t="s">
        <v>100</v>
      </c>
      <c r="D53" s="87" t="s">
        <v>170</v>
      </c>
      <c r="E53" s="86">
        <v>10</v>
      </c>
      <c r="F53" s="29">
        <v>28.106034620000003</v>
      </c>
      <c r="G53" s="31">
        <v>4809</v>
      </c>
      <c r="H53" s="19"/>
      <c r="I53" s="32">
        <v>3.3939723051859882</v>
      </c>
      <c r="J53" s="32">
        <v>3.3939723051859882</v>
      </c>
      <c r="K53" s="32">
        <v>5.0407496694640175</v>
      </c>
      <c r="L53" s="32">
        <v>1.1128927901310037</v>
      </c>
      <c r="M53" s="32">
        <v>1.9185606214717321</v>
      </c>
      <c r="N53" s="32">
        <v>4.6665201353523811</v>
      </c>
      <c r="O53" s="32">
        <v>4.6665201353523811</v>
      </c>
      <c r="P53" s="32">
        <v>5.5737644258782693</v>
      </c>
      <c r="Q53" s="32">
        <v>1.6924114548724445</v>
      </c>
      <c r="R53" s="32">
        <v>2.4027473922796805</v>
      </c>
      <c r="S53" s="20"/>
      <c r="T53" s="32">
        <v>3.38909773858339</v>
      </c>
      <c r="U53" s="32">
        <v>3.5782713460960589</v>
      </c>
      <c r="W53" s="79">
        <v>0.19</v>
      </c>
      <c r="X53" s="79">
        <v>0.34</v>
      </c>
      <c r="Y53" s="79" t="s">
        <v>81</v>
      </c>
    </row>
    <row r="54" spans="1:27" ht="14.5" customHeight="1" x14ac:dyDescent="0.35">
      <c r="A54" s="28" t="s">
        <v>167</v>
      </c>
      <c r="B54" s="28" t="s">
        <v>33</v>
      </c>
      <c r="C54" s="28" t="s">
        <v>166</v>
      </c>
      <c r="D54" s="87" t="s">
        <v>170</v>
      </c>
      <c r="E54" s="86">
        <v>17</v>
      </c>
      <c r="F54" s="29">
        <v>30.3757558</v>
      </c>
      <c r="G54" s="31">
        <v>4267</v>
      </c>
      <c r="H54" s="19"/>
      <c r="I54" s="32">
        <v>3.0716437897555959</v>
      </c>
      <c r="J54" s="32">
        <v>3.0716437897555959</v>
      </c>
      <c r="K54" s="32">
        <v>5.6804193494415012</v>
      </c>
      <c r="L54" s="32">
        <v>2.0239299261207933</v>
      </c>
      <c r="M54" s="32">
        <v>3.0170471753953265</v>
      </c>
      <c r="N54" s="32">
        <v>2.9981657779271975</v>
      </c>
      <c r="O54" s="32">
        <v>2.9981657779271975</v>
      </c>
      <c r="P54" s="32">
        <v>5.1895715875426962</v>
      </c>
      <c r="Q54" s="32">
        <v>1.5280182552398713</v>
      </c>
      <c r="R54" s="32">
        <v>2.7597092308734306</v>
      </c>
      <c r="S54" s="20"/>
      <c r="T54" s="32">
        <v>2.635145200059732</v>
      </c>
      <c r="U54" s="32">
        <v>2.6065821333382369</v>
      </c>
      <c r="W54" s="79">
        <v>0.2</v>
      </c>
      <c r="X54" s="79" t="s">
        <v>81</v>
      </c>
      <c r="Y54" s="79">
        <v>0.28000000000000003</v>
      </c>
    </row>
    <row r="55" spans="1:27" ht="14.5" customHeight="1" x14ac:dyDescent="0.35">
      <c r="A55" s="28" t="s">
        <v>78</v>
      </c>
      <c r="B55" s="28" t="s">
        <v>32</v>
      </c>
      <c r="C55" s="28" t="s">
        <v>59</v>
      </c>
      <c r="D55" s="87" t="s">
        <v>170</v>
      </c>
      <c r="E55" s="86">
        <v>15</v>
      </c>
      <c r="F55" s="29">
        <v>97.240802090000003</v>
      </c>
      <c r="G55" s="31">
        <v>10998</v>
      </c>
      <c r="H55" s="19"/>
      <c r="I55" s="32">
        <v>3.363834422657952</v>
      </c>
      <c r="J55" s="32">
        <v>3.363834422657952</v>
      </c>
      <c r="K55" s="32">
        <v>6.0807482381887379</v>
      </c>
      <c r="L55" s="32">
        <v>1.622305688016823</v>
      </c>
      <c r="M55" s="32">
        <v>2.4661634989073145</v>
      </c>
      <c r="N55" s="32">
        <v>2.733832599118946</v>
      </c>
      <c r="O55" s="32">
        <v>2.733832599118946</v>
      </c>
      <c r="P55" s="32">
        <v>5.6621719085675926</v>
      </c>
      <c r="Q55" s="32">
        <v>1.1443203614897035</v>
      </c>
      <c r="R55" s="32">
        <v>2.2168406275631103</v>
      </c>
      <c r="S55" s="20"/>
      <c r="T55" s="32">
        <v>3.2896385161789539</v>
      </c>
      <c r="U55" s="32">
        <v>4.3601255182535086</v>
      </c>
      <c r="W55" s="79">
        <v>0.2</v>
      </c>
      <c r="X55" s="79">
        <v>0.32</v>
      </c>
      <c r="Y55" s="79" t="s">
        <v>81</v>
      </c>
    </row>
    <row r="56" spans="1:27" ht="14.5" customHeight="1" x14ac:dyDescent="0.35">
      <c r="A56" s="28" t="s">
        <v>79</v>
      </c>
      <c r="B56" s="28" t="s">
        <v>34</v>
      </c>
      <c r="C56" s="28" t="s">
        <v>60</v>
      </c>
      <c r="D56" s="87" t="s">
        <v>170</v>
      </c>
      <c r="E56" s="86">
        <v>15</v>
      </c>
      <c r="F56" s="29">
        <v>133.49013637000002</v>
      </c>
      <c r="G56" s="31">
        <v>12268</v>
      </c>
      <c r="H56" s="19"/>
      <c r="I56" s="32">
        <v>1.9925495971584439</v>
      </c>
      <c r="J56" s="32">
        <v>1.9925495971584439</v>
      </c>
      <c r="K56" s="32">
        <v>5.7256106458779099</v>
      </c>
      <c r="L56" s="32">
        <v>1.6350398703881996</v>
      </c>
      <c r="M56" s="32">
        <v>2.3572982561139044</v>
      </c>
      <c r="N56" s="32">
        <v>2.4281246717442917</v>
      </c>
      <c r="O56" s="32">
        <v>2.4281246717442917</v>
      </c>
      <c r="P56" s="32">
        <v>6.0064114726671614</v>
      </c>
      <c r="Q56" s="32">
        <v>-0.27668318827148708</v>
      </c>
      <c r="R56" s="32">
        <v>1.5221575485415251</v>
      </c>
      <c r="S56" s="20"/>
      <c r="T56" s="32">
        <v>3.5472974344520569</v>
      </c>
      <c r="U56" s="32">
        <v>5.0296290133676438</v>
      </c>
      <c r="W56" s="79">
        <v>0.2</v>
      </c>
      <c r="X56" s="79" t="s">
        <v>81</v>
      </c>
      <c r="Y56" s="79">
        <v>0.2208</v>
      </c>
    </row>
    <row r="57" spans="1:27" ht="14.5" customHeight="1" x14ac:dyDescent="0.35">
      <c r="A57" s="28" t="s">
        <v>106</v>
      </c>
      <c r="B57" s="28" t="s">
        <v>36</v>
      </c>
      <c r="C57" s="28" t="s">
        <v>128</v>
      </c>
      <c r="D57" s="87" t="s">
        <v>170</v>
      </c>
      <c r="E57" s="86">
        <v>10</v>
      </c>
      <c r="F57" s="29">
        <v>70.272019310000005</v>
      </c>
      <c r="G57" s="31">
        <v>10683</v>
      </c>
      <c r="H57" s="19"/>
      <c r="I57" s="32">
        <v>6.6169016680490467</v>
      </c>
      <c r="J57" s="32">
        <v>6.6169016680490467</v>
      </c>
      <c r="K57" s="32">
        <v>6.1333062058643195</v>
      </c>
      <c r="L57" s="32">
        <v>1.3401651008283721</v>
      </c>
      <c r="M57" s="32">
        <v>2.1022206068911586</v>
      </c>
      <c r="N57" s="32">
        <v>2.897075037291641</v>
      </c>
      <c r="O57" s="32">
        <v>2.897075037291641</v>
      </c>
      <c r="P57" s="32">
        <v>4.4739253403556001</v>
      </c>
      <c r="Q57" s="32">
        <v>1.3914377830714253</v>
      </c>
      <c r="R57" s="32">
        <v>1.5086593787577485</v>
      </c>
      <c r="S57" s="20"/>
      <c r="T57" s="32">
        <v>2.7585579182073343</v>
      </c>
      <c r="U57" s="32">
        <v>2.6173921721962876</v>
      </c>
      <c r="W57" s="79">
        <v>0.2</v>
      </c>
      <c r="X57" s="79">
        <v>0.37</v>
      </c>
      <c r="Y57" s="79" t="s">
        <v>81</v>
      </c>
    </row>
    <row r="58" spans="1:27" ht="14.5" customHeight="1" x14ac:dyDescent="0.35">
      <c r="A58" s="28" t="s">
        <v>113</v>
      </c>
      <c r="B58" s="28" t="s">
        <v>120</v>
      </c>
      <c r="C58" s="28" t="s">
        <v>127</v>
      </c>
      <c r="D58" s="61" t="s">
        <v>171</v>
      </c>
      <c r="E58" s="30">
        <v>0</v>
      </c>
      <c r="F58" s="29">
        <v>2.2987906428999998</v>
      </c>
      <c r="G58" s="31">
        <v>158</v>
      </c>
      <c r="H58" s="19"/>
      <c r="I58" s="32">
        <v>2.3903262092238586</v>
      </c>
      <c r="J58" s="32">
        <v>2.3903262092238586</v>
      </c>
      <c r="K58" s="32">
        <v>3.1104633030107021</v>
      </c>
      <c r="L58" s="32" t="s">
        <v>139</v>
      </c>
      <c r="M58" s="32">
        <v>2.6093402231978313</v>
      </c>
      <c r="N58" s="32">
        <v>2.6976570521796139</v>
      </c>
      <c r="O58" s="32">
        <v>2.6976570521796139</v>
      </c>
      <c r="P58" s="32">
        <v>3.689034495651522</v>
      </c>
      <c r="Q58" s="32" t="s">
        <v>139</v>
      </c>
      <c r="R58" s="32">
        <v>2.8253127285338575</v>
      </c>
      <c r="S58" s="20"/>
      <c r="T58" s="32">
        <v>2.0667130254238244</v>
      </c>
      <c r="U58" s="32">
        <v>2.2390700504911898</v>
      </c>
      <c r="W58" s="79">
        <v>0.17929999999999999</v>
      </c>
      <c r="X58" s="79">
        <v>0.33169999999999999</v>
      </c>
      <c r="Y58" s="79" t="s">
        <v>81</v>
      </c>
    </row>
    <row r="59" spans="1:27" x14ac:dyDescent="0.35">
      <c r="D59" s="6"/>
      <c r="E59" s="17"/>
      <c r="F59" s="89"/>
      <c r="G59" s="18"/>
      <c r="H59" s="5"/>
      <c r="I59" s="7"/>
      <c r="J59" s="7"/>
      <c r="K59" s="7"/>
      <c r="L59" s="7"/>
      <c r="M59" s="7"/>
      <c r="N59" s="8"/>
      <c r="O59" s="8"/>
      <c r="P59" s="8"/>
      <c r="Q59" s="8"/>
      <c r="R59" s="8"/>
      <c r="S59" s="9"/>
      <c r="T59" s="10"/>
      <c r="U59" s="11"/>
      <c r="V59" s="1"/>
      <c r="W59" s="80"/>
      <c r="X59" s="80"/>
      <c r="Y59" s="80"/>
    </row>
    <row r="60" spans="1:27" s="39" customFormat="1" x14ac:dyDescent="0.35">
      <c r="A60" s="33"/>
      <c r="B60" s="33"/>
      <c r="C60" s="33"/>
      <c r="D60" s="33"/>
      <c r="E60" s="34"/>
      <c r="F60" s="35"/>
      <c r="G60" s="36" t="s">
        <v>99</v>
      </c>
      <c r="H60" s="37"/>
      <c r="I60" s="37">
        <v>6.1420297853705934</v>
      </c>
      <c r="J60" s="37">
        <v>6.1420297853705934</v>
      </c>
      <c r="K60" s="37">
        <v>12.543418048118573</v>
      </c>
      <c r="L60" s="37">
        <v>8.2964131992337311</v>
      </c>
      <c r="M60" s="37">
        <v>9.6181103149566738</v>
      </c>
      <c r="N60" s="37">
        <v>6.7720641251241593</v>
      </c>
      <c r="O60" s="37">
        <v>6.7720641251241593</v>
      </c>
      <c r="P60" s="37">
        <v>14.149427640792325</v>
      </c>
      <c r="Q60" s="37">
        <v>9.2851721787040553</v>
      </c>
      <c r="R60" s="37">
        <v>10.693597778774485</v>
      </c>
      <c r="S60" s="37"/>
      <c r="T60" s="37"/>
      <c r="U60" s="37"/>
      <c r="V60" s="38"/>
      <c r="W60" s="37"/>
      <c r="X60" s="37"/>
      <c r="Y60" s="37"/>
    </row>
    <row r="61" spans="1:27" x14ac:dyDescent="0.35">
      <c r="A61" s="12"/>
      <c r="B61" s="12"/>
      <c r="C61" s="12"/>
      <c r="D61" s="12"/>
      <c r="E61" s="12"/>
      <c r="F61" s="12"/>
      <c r="G61" s="12"/>
      <c r="H61" s="12"/>
      <c r="I61" s="12"/>
      <c r="J61" s="12"/>
      <c r="K61" s="12"/>
      <c r="L61" s="12"/>
      <c r="M61" s="12"/>
      <c r="N61" s="12"/>
      <c r="O61" s="12"/>
      <c r="P61" s="12"/>
      <c r="Q61" s="12"/>
      <c r="R61" s="12"/>
      <c r="S61" s="12"/>
      <c r="T61" s="12"/>
      <c r="U61" s="12"/>
      <c r="V61" s="1"/>
    </row>
    <row r="62" spans="1:27" s="46" customFormat="1" ht="13.5" x14ac:dyDescent="0.3">
      <c r="A62" s="45" t="s">
        <v>72</v>
      </c>
      <c r="B62" s="45"/>
      <c r="C62" s="45"/>
      <c r="D62" s="45"/>
      <c r="E62" s="45"/>
      <c r="F62" s="45"/>
      <c r="G62" s="45"/>
      <c r="H62" s="45"/>
      <c r="I62" s="45"/>
      <c r="J62" s="45"/>
      <c r="K62" s="45"/>
      <c r="L62" s="45"/>
      <c r="M62" s="45"/>
      <c r="N62" s="45"/>
      <c r="O62" s="45"/>
      <c r="P62" s="45"/>
      <c r="Q62" s="45"/>
      <c r="R62" s="45"/>
      <c r="S62" s="45"/>
      <c r="T62" s="45"/>
    </row>
    <row r="63" spans="1:27" s="46" customFormat="1" ht="13.5" x14ac:dyDescent="0.3">
      <c r="A63" s="45" t="s">
        <v>83</v>
      </c>
      <c r="B63" s="45"/>
      <c r="C63" s="45"/>
      <c r="D63" s="45"/>
      <c r="E63" s="45"/>
      <c r="F63" s="67"/>
      <c r="G63" s="67"/>
      <c r="H63" s="45"/>
      <c r="I63" s="45"/>
      <c r="J63" s="45"/>
      <c r="K63" s="45"/>
      <c r="L63" s="45"/>
      <c r="M63" s="45"/>
      <c r="N63" s="45"/>
      <c r="O63" s="45"/>
      <c r="P63" s="45"/>
      <c r="Q63" s="45"/>
      <c r="R63" s="45"/>
      <c r="S63" s="45"/>
      <c r="T63" s="45"/>
    </row>
    <row r="64" spans="1:27" s="46" customFormat="1" ht="13.5" x14ac:dyDescent="0.3">
      <c r="A64" s="45" t="s">
        <v>85</v>
      </c>
      <c r="B64" s="45"/>
      <c r="C64" s="45"/>
      <c r="D64" s="45"/>
      <c r="E64" s="45"/>
      <c r="F64" s="45"/>
      <c r="G64" s="45"/>
      <c r="H64" s="45"/>
      <c r="I64" s="45"/>
      <c r="J64" s="45"/>
      <c r="K64" s="45"/>
      <c r="L64" s="45"/>
      <c r="M64" s="45"/>
      <c r="N64" s="45"/>
      <c r="O64" s="45"/>
      <c r="P64" s="45"/>
      <c r="Q64" s="45"/>
      <c r="R64" s="45"/>
      <c r="S64" s="45"/>
      <c r="T64" s="45"/>
    </row>
    <row r="65" spans="1:22" s="46" customFormat="1" ht="13.5" x14ac:dyDescent="0.3">
      <c r="A65" s="45" t="s">
        <v>86</v>
      </c>
      <c r="B65" s="45"/>
      <c r="C65" s="45"/>
      <c r="D65" s="45"/>
      <c r="E65" s="45"/>
      <c r="F65" s="45"/>
      <c r="G65" s="45"/>
      <c r="H65" s="45"/>
      <c r="I65" s="45"/>
      <c r="J65" s="45"/>
      <c r="K65" s="45"/>
      <c r="L65" s="45"/>
      <c r="M65" s="45"/>
      <c r="N65" s="45"/>
      <c r="O65" s="45"/>
      <c r="P65" s="45"/>
      <c r="Q65" s="45"/>
      <c r="R65" s="45"/>
      <c r="S65" s="45"/>
      <c r="T65" s="45"/>
    </row>
    <row r="66" spans="1:22" s="46" customFormat="1" ht="13.5" x14ac:dyDescent="0.3">
      <c r="A66" s="45" t="s">
        <v>172</v>
      </c>
      <c r="B66" s="47"/>
      <c r="C66" s="47"/>
      <c r="D66" s="47"/>
      <c r="E66" s="47"/>
      <c r="F66" s="47"/>
      <c r="G66" s="47"/>
      <c r="H66" s="47"/>
      <c r="I66" s="47"/>
      <c r="J66" s="47"/>
      <c r="K66" s="47"/>
      <c r="L66" s="47"/>
      <c r="M66" s="47"/>
      <c r="N66" s="47"/>
      <c r="O66" s="47"/>
      <c r="P66" s="47"/>
      <c r="Q66" s="47"/>
      <c r="R66" s="47"/>
      <c r="S66" s="47"/>
      <c r="T66" s="47"/>
    </row>
    <row r="67" spans="1:22" s="46" customFormat="1" ht="13.5" x14ac:dyDescent="0.3">
      <c r="A67" s="48" t="s">
        <v>105</v>
      </c>
      <c r="B67" s="47"/>
      <c r="C67" s="47"/>
      <c r="D67" s="47"/>
      <c r="E67" s="47"/>
      <c r="F67" s="47"/>
      <c r="G67" s="47"/>
      <c r="H67" s="47"/>
      <c r="I67" s="47"/>
      <c r="J67" s="47"/>
      <c r="K67" s="47"/>
      <c r="L67" s="47"/>
      <c r="M67" s="47"/>
      <c r="N67" s="47"/>
      <c r="O67" s="47"/>
      <c r="P67" s="47"/>
      <c r="Q67" s="47"/>
      <c r="R67" s="47"/>
      <c r="S67" s="47"/>
      <c r="T67" s="47"/>
    </row>
    <row r="68" spans="1:22" s="46" customFormat="1" ht="13.5" x14ac:dyDescent="0.3">
      <c r="A68" s="47" t="s">
        <v>91</v>
      </c>
      <c r="B68" s="47"/>
      <c r="C68" s="47"/>
      <c r="D68" s="47"/>
      <c r="E68" s="47"/>
      <c r="F68" s="47"/>
      <c r="G68" s="47"/>
      <c r="H68" s="47"/>
      <c r="I68" s="47"/>
      <c r="J68" s="47"/>
      <c r="K68" s="47"/>
      <c r="L68" s="47"/>
      <c r="M68" s="47"/>
      <c r="N68" s="47"/>
      <c r="O68" s="47"/>
      <c r="P68" s="47"/>
      <c r="Q68" s="47"/>
      <c r="R68" s="47"/>
      <c r="S68" s="47"/>
      <c r="T68" s="47"/>
    </row>
    <row r="69" spans="1:22" s="46" customFormat="1" ht="13.5" x14ac:dyDescent="0.3">
      <c r="A69" s="47" t="s">
        <v>98</v>
      </c>
      <c r="B69" s="47"/>
      <c r="C69" s="47"/>
      <c r="D69" s="47"/>
      <c r="E69" s="47"/>
      <c r="F69" s="47"/>
      <c r="G69" s="47"/>
      <c r="H69" s="47"/>
      <c r="I69" s="47"/>
      <c r="J69" s="47"/>
      <c r="K69" s="47"/>
      <c r="L69" s="47"/>
      <c r="M69" s="47"/>
      <c r="N69" s="47"/>
      <c r="O69" s="47"/>
      <c r="P69" s="47"/>
      <c r="Q69" s="47"/>
      <c r="R69" s="47"/>
      <c r="S69" s="47"/>
      <c r="T69" s="47"/>
    </row>
    <row r="70" spans="1:22" x14ac:dyDescent="0.35">
      <c r="A70" s="45" t="s">
        <v>132</v>
      </c>
      <c r="D70" s="5"/>
      <c r="E70" s="5"/>
      <c r="F70" s="5"/>
      <c r="G70" s="5"/>
      <c r="H70" s="5"/>
      <c r="I70" s="5"/>
      <c r="J70" s="5"/>
      <c r="K70" s="5"/>
      <c r="L70" s="5"/>
      <c r="M70" s="5"/>
      <c r="N70" s="5"/>
      <c r="O70" s="5"/>
      <c r="P70" s="5"/>
      <c r="Q70" s="5"/>
      <c r="R70" s="5"/>
      <c r="S70" s="5"/>
      <c r="T70" s="5"/>
    </row>
    <row r="71" spans="1:22" x14ac:dyDescent="0.35">
      <c r="A71" s="45" t="s">
        <v>133</v>
      </c>
    </row>
    <row r="72" spans="1:22" x14ac:dyDescent="0.35">
      <c r="A72" s="45" t="s">
        <v>136</v>
      </c>
    </row>
    <row r="73" spans="1:22" x14ac:dyDescent="0.35">
      <c r="A73" s="45" t="s">
        <v>135</v>
      </c>
      <c r="E73" s="60"/>
      <c r="F73" s="60"/>
      <c r="G73" s="60"/>
    </row>
    <row r="74" spans="1:22" x14ac:dyDescent="0.35">
      <c r="A74" s="82" t="s">
        <v>156</v>
      </c>
      <c r="E74" s="60"/>
      <c r="F74" s="60"/>
      <c r="G74" s="60"/>
      <c r="I74" s="54"/>
      <c r="J74" s="54"/>
      <c r="K74" s="54"/>
      <c r="L74" s="54"/>
      <c r="M74" s="54"/>
      <c r="N74" s="54"/>
      <c r="O74" s="54"/>
      <c r="P74" s="54"/>
      <c r="Q74" s="54"/>
      <c r="R74" s="54"/>
      <c r="S74" s="54"/>
      <c r="T74" s="54"/>
      <c r="U74" s="54"/>
      <c r="V74" s="54"/>
    </row>
    <row r="75" spans="1:22" x14ac:dyDescent="0.35">
      <c r="A75" s="47"/>
      <c r="E75" s="3"/>
      <c r="F75" s="60"/>
      <c r="G75" s="55"/>
      <c r="I75" s="57"/>
      <c r="J75" s="57"/>
      <c r="K75" s="57"/>
      <c r="L75" s="57"/>
      <c r="M75" s="57"/>
      <c r="N75" s="56"/>
      <c r="O75" s="56"/>
      <c r="P75" s="56"/>
      <c r="Q75" s="56"/>
      <c r="R75" s="56"/>
      <c r="S75" s="54"/>
      <c r="T75" s="54"/>
      <c r="U75" s="54"/>
      <c r="V75" s="54"/>
    </row>
    <row r="76" spans="1:22" x14ac:dyDescent="0.35">
      <c r="A76" s="47"/>
      <c r="E76" s="44"/>
      <c r="F76" s="44"/>
      <c r="G76" s="44"/>
      <c r="K76" s="44"/>
      <c r="L76" s="44"/>
      <c r="M76" s="44"/>
      <c r="N76" s="76"/>
      <c r="O76" s="76"/>
      <c r="P76" s="76"/>
      <c r="Q76" s="76"/>
      <c r="R76" s="76"/>
    </row>
    <row r="77" spans="1:22" x14ac:dyDescent="0.35">
      <c r="A77" s="47"/>
      <c r="E77" s="3"/>
      <c r="F77" s="60"/>
      <c r="G77" s="55"/>
      <c r="I77" s="73"/>
      <c r="J77" s="73"/>
      <c r="K77" s="73"/>
      <c r="L77" s="73"/>
      <c r="M77" s="73"/>
      <c r="N77" s="78"/>
      <c r="O77" s="78"/>
      <c r="P77" s="76"/>
      <c r="Q77" s="76"/>
      <c r="R77" s="76"/>
      <c r="T77" s="72"/>
      <c r="U77" s="72"/>
    </row>
    <row r="78" spans="1:22" x14ac:dyDescent="0.35">
      <c r="A78" s="47"/>
      <c r="E78" s="44"/>
      <c r="F78" s="44"/>
      <c r="G78" s="44"/>
      <c r="I78" s="73"/>
      <c r="J78" s="73"/>
      <c r="K78" s="73"/>
      <c r="L78" s="73"/>
      <c r="M78" s="73"/>
      <c r="N78" s="73"/>
      <c r="O78" s="73"/>
      <c r="P78" s="73"/>
      <c r="Q78" s="73"/>
      <c r="R78" s="73"/>
      <c r="T78" s="73"/>
      <c r="U78" s="73"/>
    </row>
    <row r="79" spans="1:22" x14ac:dyDescent="0.35">
      <c r="A79" s="47"/>
      <c r="E79" s="3"/>
      <c r="F79" s="60"/>
      <c r="G79" s="55"/>
      <c r="I79" s="74"/>
      <c r="J79" s="74"/>
      <c r="K79" s="75"/>
      <c r="L79" s="75"/>
      <c r="M79" s="75"/>
      <c r="N79" s="71"/>
      <c r="O79" s="71"/>
      <c r="P79" s="73"/>
      <c r="Q79" s="73"/>
      <c r="R79" s="73"/>
      <c r="T79" s="73"/>
      <c r="U79" s="73"/>
    </row>
    <row r="80" spans="1:22" x14ac:dyDescent="0.35">
      <c r="A80" s="47"/>
      <c r="E80" s="77"/>
      <c r="F80" s="77"/>
      <c r="G80" s="77"/>
      <c r="I80" s="44"/>
      <c r="J80" s="44"/>
      <c r="K80" s="53"/>
      <c r="L80" s="53"/>
      <c r="M80" s="53"/>
      <c r="N80" s="56"/>
      <c r="O80" s="56"/>
    </row>
    <row r="81" spans="1:13" x14ac:dyDescent="0.35">
      <c r="A81" s="47"/>
      <c r="D81" s="70"/>
      <c r="E81" s="77"/>
      <c r="F81" s="77"/>
      <c r="G81" s="77"/>
    </row>
    <row r="82" spans="1:13" x14ac:dyDescent="0.35">
      <c r="A82" s="47"/>
      <c r="D82" s="70"/>
      <c r="E82" s="4"/>
      <c r="G82" s="53"/>
      <c r="H82" s="53"/>
      <c r="I82" s="53"/>
      <c r="J82" s="53"/>
    </row>
    <row r="83" spans="1:13" x14ac:dyDescent="0.35">
      <c r="G83" s="56"/>
      <c r="H83" s="69"/>
      <c r="I83" s="56"/>
      <c r="J83" s="56"/>
      <c r="K83" s="69"/>
      <c r="L83" s="69"/>
      <c r="M83" s="69"/>
    </row>
    <row r="85" spans="1:13" x14ac:dyDescent="0.35">
      <c r="F85" s="66"/>
    </row>
  </sheetData>
  <mergeCells count="14">
    <mergeCell ref="A45:C45"/>
    <mergeCell ref="A52:C52"/>
    <mergeCell ref="A10:C10"/>
    <mergeCell ref="A17:C17"/>
    <mergeCell ref="A24:C24"/>
    <mergeCell ref="A31:C31"/>
    <mergeCell ref="A38:C38"/>
    <mergeCell ref="A3:C3"/>
    <mergeCell ref="W1:Y1"/>
    <mergeCell ref="D1:D2"/>
    <mergeCell ref="F1:F2"/>
    <mergeCell ref="G1:G2"/>
    <mergeCell ref="T1:U1"/>
    <mergeCell ref="I1:R1"/>
  </mergeCells>
  <phoneticPr fontId="32" type="noConversion"/>
  <conditionalFormatting sqref="I59:M59">
    <cfRule type="top10" dxfId="62" priority="1370" percent="1" rank="10"/>
  </conditionalFormatting>
  <conditionalFormatting sqref="I3:R58">
    <cfRule type="cellIs" dxfId="61" priority="225" operator="greaterThanOrEqual">
      <formula>0</formula>
    </cfRule>
    <cfRule type="cellIs" dxfId="60" priority="226" operator="lessThan">
      <formula>0</formula>
    </cfRule>
  </conditionalFormatting>
  <conditionalFormatting sqref="T3:U9">
    <cfRule type="cellIs" dxfId="59" priority="703" operator="greaterThanOrEqual">
      <formula>0</formula>
    </cfRule>
    <cfRule type="cellIs" dxfId="58" priority="704" operator="lessThan">
      <formula>0</formula>
    </cfRule>
  </conditionalFormatting>
  <conditionalFormatting sqref="T11:U16">
    <cfRule type="cellIs" dxfId="57" priority="15" operator="greaterThanOrEqual">
      <formula>0</formula>
    </cfRule>
    <cfRule type="cellIs" dxfId="56" priority="16" operator="lessThan">
      <formula>0</formula>
    </cfRule>
  </conditionalFormatting>
  <conditionalFormatting sqref="T18:U23">
    <cfRule type="cellIs" dxfId="55" priority="13" operator="greaterThanOrEqual">
      <formula>0</formula>
    </cfRule>
    <cfRule type="cellIs" dxfId="54" priority="14" operator="lessThan">
      <formula>0</formula>
    </cfRule>
  </conditionalFormatting>
  <conditionalFormatting sqref="T25:U30">
    <cfRule type="cellIs" dxfId="53" priority="11" operator="greaterThanOrEqual">
      <formula>0</formula>
    </cfRule>
    <cfRule type="cellIs" dxfId="52" priority="12" operator="lessThan">
      <formula>0</formula>
    </cfRule>
  </conditionalFormatting>
  <conditionalFormatting sqref="T32:U37">
    <cfRule type="cellIs" dxfId="51" priority="9" operator="greaterThanOrEqual">
      <formula>0</formula>
    </cfRule>
    <cfRule type="cellIs" dxfId="50" priority="10" operator="lessThan">
      <formula>0</formula>
    </cfRule>
  </conditionalFormatting>
  <conditionalFormatting sqref="T39:U44">
    <cfRule type="cellIs" dxfId="49" priority="7" operator="greaterThanOrEqual">
      <formula>0</formula>
    </cfRule>
    <cfRule type="cellIs" dxfId="48" priority="8" operator="lessThan">
      <formula>0</formula>
    </cfRule>
  </conditionalFormatting>
  <conditionalFormatting sqref="T46:U51">
    <cfRule type="cellIs" dxfId="47" priority="5" operator="greaterThanOrEqual">
      <formula>0</formula>
    </cfRule>
    <cfRule type="cellIs" dxfId="46" priority="6" operator="lessThan">
      <formula>0</formula>
    </cfRule>
  </conditionalFormatting>
  <conditionalFormatting sqref="T53:U58">
    <cfRule type="cellIs" dxfId="45" priority="1" operator="greaterThanOrEqual">
      <formula>0</formula>
    </cfRule>
    <cfRule type="cellIs" dxfId="44" priority="2" operator="lessThan">
      <formula>0</formula>
    </cfRule>
  </conditionalFormatting>
  <hyperlinks>
    <hyperlink ref="E1" location="Strategijų_palyginimas!A1" display="Strategija " xr:uid="{00000000-0004-0000-0000-000000000000}"/>
    <hyperlink ref="A10" location="'1996-2002'!A1" display="Tikslinės pensijų fondų dalyvių grupės pensijų fondai, 1996-2002" xr:uid="{00000000-0004-0000-0000-000001000000}"/>
    <hyperlink ref="A17" location="'1989-1995'!A1" display="Tikslinės pensijų fondų dalyvių grupės pensijų fondai, 1989-1995" xr:uid="{00000000-0004-0000-0000-000002000000}"/>
    <hyperlink ref="A24" location="'1982-1988'!A1" display="Tikslinės pensijų fondų dalyvių grupės pensijų fondai, 1982-1988" xr:uid="{00000000-0004-0000-0000-000003000000}"/>
    <hyperlink ref="A31" location="'1975-1981'!A1" display="Tikslinės pensijų fondų dalyvių grupės pensijų fondai, 1975-1981" xr:uid="{00000000-0004-0000-0000-000004000000}"/>
    <hyperlink ref="A38" location="'1968-1974'!A1" display="Tikslinės pensijų fondų dalyvių grupės pensijų fondai, 1968-1974" xr:uid="{00000000-0004-0000-0000-000005000000}"/>
    <hyperlink ref="A45" location="'1961-1967'!A1" display="Tikslinės pensijų fondų dalyvių grupės pensijų fondai, 1961-1967" xr:uid="{00000000-0004-0000-0000-000006000000}"/>
    <hyperlink ref="A52" location="TIF!A1" display="Pensijų turto išsaugojimo pensijų fondai" xr:uid="{00000000-0004-0000-0000-000008000000}"/>
    <hyperlink ref="A3" location="'1996-2002'!A1" display="Tikslinės pensijų fondų dalyvių grupės pensijų fondai, 1996-2002" xr:uid="{AC16E2C2-2DD8-499B-BBFE-86DC5BDC6CB7}"/>
    <hyperlink ref="A3:C3" location="'2003-2009'!A1" display="Tikslinės pensijų fondų dalyvių grupės pensijų fondai, 2003-2009" xr:uid="{CB14CF83-1E37-4FD3-A041-25B376866B8D}"/>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3A91F-7B7A-4F7F-A860-8B63BAE9F348}">
  <dimension ref="A1:AA71"/>
  <sheetViews>
    <sheetView showGridLines="0" zoomScale="70" zoomScaleNormal="70" workbookViewId="0"/>
  </sheetViews>
  <sheetFormatPr defaultColWidth="8.81640625" defaultRowHeight="15.5" x14ac:dyDescent="0.35"/>
  <cols>
    <col min="1" max="1" width="44.54296875" style="13" customWidth="1"/>
    <col min="2" max="2" width="14.81640625" style="13" bestFit="1" customWidth="1"/>
    <col min="3" max="3" width="67.54296875" style="13" customWidth="1"/>
    <col min="4" max="4" width="15.54296875" style="13" customWidth="1"/>
    <col min="5" max="5" width="16.1796875" style="13" bestFit="1" customWidth="1"/>
    <col min="6" max="6" width="17" style="13" customWidth="1"/>
    <col min="7" max="7" width="17.81640625" style="13" customWidth="1"/>
    <col min="8" max="8" width="1.453125" style="13" customWidth="1"/>
    <col min="9" max="9" width="16.54296875" style="13" customWidth="1"/>
    <col min="10" max="10" width="17.54296875" style="13" customWidth="1"/>
    <col min="11" max="15" width="17.453125" style="13" customWidth="1"/>
    <col min="16" max="16" width="17.26953125" style="13" customWidth="1"/>
    <col min="17" max="17" width="17.453125" style="13" customWidth="1"/>
    <col min="18" max="18" width="18.1796875" style="13" customWidth="1"/>
    <col min="19" max="19" width="1.453125" style="13" customWidth="1"/>
    <col min="20" max="20" width="16.81640625" style="13" customWidth="1"/>
    <col min="21" max="21" width="18.1796875" style="13" customWidth="1"/>
    <col min="22" max="22" width="1.453125" style="13" customWidth="1"/>
    <col min="23" max="23" width="15.453125" style="13" customWidth="1"/>
    <col min="24" max="24" width="14.453125" style="13" customWidth="1"/>
    <col min="25" max="25" width="17.453125" style="13" customWidth="1"/>
    <col min="26" max="16384" width="8.81640625" style="13"/>
  </cols>
  <sheetData>
    <row r="1" spans="1:27" ht="22.4" customHeight="1" x14ac:dyDescent="0.35">
      <c r="A1" s="95">
        <v>46022</v>
      </c>
      <c r="B1" s="22"/>
      <c r="C1" s="84" t="s">
        <v>66</v>
      </c>
      <c r="D1" s="103" t="s">
        <v>80</v>
      </c>
      <c r="E1" s="27" t="s">
        <v>65</v>
      </c>
      <c r="F1" s="103" t="s">
        <v>90</v>
      </c>
      <c r="G1" s="103" t="s">
        <v>61</v>
      </c>
      <c r="H1" s="24"/>
      <c r="I1" s="108" t="s">
        <v>62</v>
      </c>
      <c r="J1" s="109"/>
      <c r="K1" s="109"/>
      <c r="L1" s="109"/>
      <c r="M1" s="109"/>
      <c r="N1" s="109"/>
      <c r="O1" s="109"/>
      <c r="P1" s="109"/>
      <c r="Q1" s="109"/>
      <c r="R1" s="109"/>
      <c r="S1" s="25"/>
      <c r="T1" s="105" t="s">
        <v>87</v>
      </c>
      <c r="U1" s="106">
        <v>0</v>
      </c>
      <c r="V1" s="25"/>
      <c r="W1" s="101" t="s">
        <v>159</v>
      </c>
      <c r="X1" s="107">
        <v>0</v>
      </c>
      <c r="Y1" s="107">
        <v>0</v>
      </c>
    </row>
    <row r="2" spans="1:27" ht="92.5" customHeight="1" x14ac:dyDescent="0.35">
      <c r="A2" s="21" t="s">
        <v>37</v>
      </c>
      <c r="B2" s="21" t="s">
        <v>38</v>
      </c>
      <c r="C2" s="21" t="s">
        <v>39</v>
      </c>
      <c r="D2" s="104">
        <v>0</v>
      </c>
      <c r="E2" s="21" t="s">
        <v>89</v>
      </c>
      <c r="F2" s="104">
        <v>0</v>
      </c>
      <c r="G2" s="104">
        <v>0</v>
      </c>
      <c r="H2" s="24"/>
      <c r="I2" s="85" t="s">
        <v>82</v>
      </c>
      <c r="J2" s="90" t="s">
        <v>154</v>
      </c>
      <c r="K2" s="21" t="s">
        <v>137</v>
      </c>
      <c r="L2" s="21" t="s">
        <v>151</v>
      </c>
      <c r="M2" s="21" t="s">
        <v>158</v>
      </c>
      <c r="N2" s="21" t="s">
        <v>84</v>
      </c>
      <c r="O2" s="21" t="s">
        <v>155</v>
      </c>
      <c r="P2" s="21" t="s">
        <v>138</v>
      </c>
      <c r="Q2" s="21" t="s">
        <v>152</v>
      </c>
      <c r="R2" s="21" t="s">
        <v>157</v>
      </c>
      <c r="S2" s="26"/>
      <c r="T2" s="21" t="s">
        <v>101</v>
      </c>
      <c r="U2" s="21" t="s">
        <v>102</v>
      </c>
      <c r="V2" s="26"/>
      <c r="W2" s="21" t="s">
        <v>129</v>
      </c>
      <c r="X2" s="21" t="s">
        <v>130</v>
      </c>
      <c r="Y2" s="21" t="s">
        <v>131</v>
      </c>
    </row>
    <row r="3" spans="1:27" ht="29.15" customHeight="1" x14ac:dyDescent="0.35">
      <c r="A3" s="100" t="s">
        <v>153</v>
      </c>
      <c r="B3" s="100"/>
      <c r="C3" s="100"/>
      <c r="D3" s="40"/>
      <c r="E3" s="40"/>
      <c r="F3" s="41"/>
      <c r="G3" s="65" t="s">
        <v>88</v>
      </c>
      <c r="H3" s="41"/>
      <c r="I3" s="62">
        <v>6.0766499481509806</v>
      </c>
      <c r="J3" s="62">
        <v>6.0766499481509806</v>
      </c>
      <c r="K3" s="62" t="s">
        <v>139</v>
      </c>
      <c r="L3" s="62" t="s">
        <v>139</v>
      </c>
      <c r="M3" s="62">
        <v>6.0766499481509806</v>
      </c>
      <c r="N3" s="62">
        <v>7.3524060782778315</v>
      </c>
      <c r="O3" s="62">
        <v>7.3524060782778315</v>
      </c>
      <c r="P3" s="62" t="s">
        <v>139</v>
      </c>
      <c r="Q3" s="62" t="s">
        <v>139</v>
      </c>
      <c r="R3" s="62">
        <v>7.3524060782778315</v>
      </c>
      <c r="S3" s="41"/>
      <c r="T3" s="41"/>
      <c r="U3" s="41"/>
      <c r="V3" s="41"/>
      <c r="W3" s="41"/>
      <c r="X3" s="41"/>
      <c r="Y3" s="41"/>
    </row>
    <row r="4" spans="1:27" customFormat="1" ht="14.5" customHeight="1" x14ac:dyDescent="0.35">
      <c r="A4" s="28" t="s">
        <v>31</v>
      </c>
      <c r="B4" s="28" t="s">
        <v>144</v>
      </c>
      <c r="C4" s="28" t="s">
        <v>146</v>
      </c>
      <c r="D4" s="87" t="s">
        <v>169</v>
      </c>
      <c r="E4" s="30">
        <v>90</v>
      </c>
      <c r="F4" s="29">
        <v>4.1563697099999999</v>
      </c>
      <c r="G4" s="31">
        <v>5919</v>
      </c>
      <c r="H4" s="19"/>
      <c r="I4" s="32">
        <v>5.6100000000000039</v>
      </c>
      <c r="J4" s="32">
        <v>5.6100000000000039</v>
      </c>
      <c r="K4" s="32" t="s">
        <v>139</v>
      </c>
      <c r="L4" s="32" t="s">
        <v>139</v>
      </c>
      <c r="M4" s="32">
        <v>5.6100000000000039</v>
      </c>
      <c r="N4" s="32">
        <v>8.4595999999999894</v>
      </c>
      <c r="O4" s="32">
        <v>8.4595999999999894</v>
      </c>
      <c r="P4" s="32" t="s">
        <v>139</v>
      </c>
      <c r="Q4" s="32" t="s">
        <v>139</v>
      </c>
      <c r="R4" s="32">
        <v>8.4595999999999894</v>
      </c>
      <c r="S4" s="20"/>
      <c r="T4" s="32" t="s">
        <v>139</v>
      </c>
      <c r="U4" s="32" t="s">
        <v>139</v>
      </c>
      <c r="V4" s="20"/>
      <c r="W4" s="32" t="s">
        <v>81</v>
      </c>
      <c r="X4" s="32" t="s">
        <v>81</v>
      </c>
      <c r="Y4" s="32" t="s">
        <v>81</v>
      </c>
      <c r="Z4" s="53"/>
      <c r="AA4" s="53"/>
    </row>
    <row r="5" spans="1:27" customFormat="1" ht="14.5" customHeight="1" x14ac:dyDescent="0.35">
      <c r="A5" s="28" t="s">
        <v>167</v>
      </c>
      <c r="B5" s="28" t="s">
        <v>145</v>
      </c>
      <c r="C5" s="28" t="s">
        <v>160</v>
      </c>
      <c r="D5" s="87" t="s">
        <v>169</v>
      </c>
      <c r="E5" s="30">
        <v>97</v>
      </c>
      <c r="F5" s="29">
        <v>2.4900214900000002</v>
      </c>
      <c r="G5" s="31">
        <v>4241</v>
      </c>
      <c r="H5" s="19"/>
      <c r="I5" s="32">
        <v>6.6400000000000015</v>
      </c>
      <c r="J5" s="32">
        <v>6.6400000000000015</v>
      </c>
      <c r="K5" s="32" t="s">
        <v>139</v>
      </c>
      <c r="L5" s="32" t="s">
        <v>139</v>
      </c>
      <c r="M5" s="32">
        <v>6.6400000000000015</v>
      </c>
      <c r="N5" s="32">
        <v>7.7930999999999973</v>
      </c>
      <c r="O5" s="32">
        <v>7.7930999999999973</v>
      </c>
      <c r="P5" s="32" t="s">
        <v>139</v>
      </c>
      <c r="Q5" s="32" t="s">
        <v>139</v>
      </c>
      <c r="R5" s="32">
        <v>7.7930999999999973</v>
      </c>
      <c r="S5" s="20"/>
      <c r="T5" s="32" t="s">
        <v>139</v>
      </c>
      <c r="U5" s="32" t="s">
        <v>139</v>
      </c>
      <c r="V5" s="20"/>
      <c r="W5" s="32" t="s">
        <v>81</v>
      </c>
      <c r="X5" s="32" t="s">
        <v>81</v>
      </c>
      <c r="Y5" s="32" t="s">
        <v>81</v>
      </c>
      <c r="Z5" s="53"/>
      <c r="AA5" s="53"/>
    </row>
    <row r="6" spans="1:27" customFormat="1" ht="14.5" customHeight="1" x14ac:dyDescent="0.35">
      <c r="A6" s="28" t="s">
        <v>78</v>
      </c>
      <c r="B6" s="28" t="s">
        <v>140</v>
      </c>
      <c r="C6" s="28" t="s">
        <v>147</v>
      </c>
      <c r="D6" s="87" t="s">
        <v>169</v>
      </c>
      <c r="E6" s="30">
        <v>98</v>
      </c>
      <c r="F6" s="29">
        <v>2.9165786699999998</v>
      </c>
      <c r="G6" s="31">
        <v>3053</v>
      </c>
      <c r="H6" s="19"/>
      <c r="I6" s="32">
        <v>5.1199999999999912</v>
      </c>
      <c r="J6" s="32">
        <v>5.1199999999999912</v>
      </c>
      <c r="K6" s="32" t="s">
        <v>139</v>
      </c>
      <c r="L6" s="32" t="s">
        <v>139</v>
      </c>
      <c r="M6" s="32">
        <v>5.1199999999999912</v>
      </c>
      <c r="N6" s="32">
        <v>8.0323000000000135</v>
      </c>
      <c r="O6" s="32">
        <v>8.0323000000000135</v>
      </c>
      <c r="P6" s="32" t="s">
        <v>139</v>
      </c>
      <c r="Q6" s="32" t="s">
        <v>139</v>
      </c>
      <c r="R6" s="32">
        <v>8.0323000000000135</v>
      </c>
      <c r="S6" s="20"/>
      <c r="T6" s="32" t="s">
        <v>139</v>
      </c>
      <c r="U6" s="32" t="s">
        <v>139</v>
      </c>
      <c r="V6" s="20"/>
      <c r="W6" s="32" t="s">
        <v>81</v>
      </c>
      <c r="X6" s="32" t="s">
        <v>81</v>
      </c>
      <c r="Y6" s="32" t="s">
        <v>81</v>
      </c>
      <c r="Z6" s="53"/>
      <c r="AA6" s="53"/>
    </row>
    <row r="7" spans="1:27" customFormat="1" ht="14.5" customHeight="1" x14ac:dyDescent="0.35">
      <c r="A7" s="28" t="s">
        <v>79</v>
      </c>
      <c r="B7" s="28" t="s">
        <v>141</v>
      </c>
      <c r="C7" s="28" t="s">
        <v>149</v>
      </c>
      <c r="D7" s="87" t="s">
        <v>169</v>
      </c>
      <c r="E7" s="30">
        <v>97</v>
      </c>
      <c r="F7" s="29">
        <v>4.3606964100000001</v>
      </c>
      <c r="G7" s="31">
        <v>3767</v>
      </c>
      <c r="H7" s="19"/>
      <c r="I7" s="32">
        <v>3.9299999999999891</v>
      </c>
      <c r="J7" s="32">
        <v>3.9299999999999891</v>
      </c>
      <c r="K7" s="32" t="s">
        <v>139</v>
      </c>
      <c r="L7" s="32" t="s">
        <v>139</v>
      </c>
      <c r="M7" s="32">
        <v>3.9299999999999891</v>
      </c>
      <c r="N7" s="32">
        <v>6.9255999999999984</v>
      </c>
      <c r="O7" s="32">
        <v>6.9255999999999984</v>
      </c>
      <c r="P7" s="32" t="s">
        <v>139</v>
      </c>
      <c r="Q7" s="32" t="s">
        <v>139</v>
      </c>
      <c r="R7" s="32">
        <v>6.9255999999999984</v>
      </c>
      <c r="S7" s="20"/>
      <c r="T7" s="32" t="s">
        <v>139</v>
      </c>
      <c r="U7" s="32" t="s">
        <v>139</v>
      </c>
      <c r="V7" s="20"/>
      <c r="W7" s="32" t="s">
        <v>81</v>
      </c>
      <c r="X7" s="32" t="s">
        <v>81</v>
      </c>
      <c r="Y7" s="32" t="s">
        <v>81</v>
      </c>
      <c r="Z7" s="53"/>
      <c r="AA7" s="53"/>
    </row>
    <row r="8" spans="1:27" customFormat="1" ht="14.5" customHeight="1" x14ac:dyDescent="0.35">
      <c r="A8" s="28" t="s">
        <v>106</v>
      </c>
      <c r="B8" s="28" t="s">
        <v>143</v>
      </c>
      <c r="C8" s="28" t="s">
        <v>150</v>
      </c>
      <c r="D8" s="87" t="s">
        <v>169</v>
      </c>
      <c r="E8" s="30">
        <v>90</v>
      </c>
      <c r="F8" s="29">
        <v>2.17530709</v>
      </c>
      <c r="G8" s="31">
        <v>2449</v>
      </c>
      <c r="H8" s="19"/>
      <c r="I8" s="32">
        <v>9.9800000000000111</v>
      </c>
      <c r="J8" s="32">
        <v>9.9800000000000111</v>
      </c>
      <c r="K8" s="32" t="s">
        <v>139</v>
      </c>
      <c r="L8" s="32" t="s">
        <v>139</v>
      </c>
      <c r="M8" s="32">
        <v>9.9800000000000111</v>
      </c>
      <c r="N8" s="32">
        <v>5.5455000000000032</v>
      </c>
      <c r="O8" s="32">
        <v>5.5455000000000032</v>
      </c>
      <c r="P8" s="32" t="s">
        <v>139</v>
      </c>
      <c r="Q8" s="32" t="s">
        <v>139</v>
      </c>
      <c r="R8" s="32">
        <v>5.5455000000000032</v>
      </c>
      <c r="S8" s="20"/>
      <c r="T8" s="32" t="s">
        <v>139</v>
      </c>
      <c r="U8" s="32" t="s">
        <v>139</v>
      </c>
      <c r="V8" s="20"/>
      <c r="W8" s="32" t="s">
        <v>81</v>
      </c>
      <c r="X8" s="32" t="s">
        <v>81</v>
      </c>
      <c r="Y8" s="32" t="s">
        <v>81</v>
      </c>
      <c r="Z8" s="53"/>
      <c r="AA8" s="53"/>
    </row>
    <row r="9" spans="1:27" customFormat="1" ht="14.5" customHeight="1" x14ac:dyDescent="0.35">
      <c r="A9" s="28" t="s">
        <v>134</v>
      </c>
      <c r="B9" s="28" t="s">
        <v>142</v>
      </c>
      <c r="C9" s="28" t="s">
        <v>148</v>
      </c>
      <c r="D9" s="87" t="s">
        <v>169</v>
      </c>
      <c r="E9" s="30">
        <v>100</v>
      </c>
      <c r="F9" s="29">
        <v>4.6978947153000004</v>
      </c>
      <c r="G9" s="31">
        <v>4755</v>
      </c>
      <c r="H9" s="19"/>
      <c r="I9" s="32">
        <v>6.9700000000000095</v>
      </c>
      <c r="J9" s="32">
        <v>6.9700000000000095</v>
      </c>
      <c r="K9" s="32" t="s">
        <v>139</v>
      </c>
      <c r="L9" s="32" t="s">
        <v>139</v>
      </c>
      <c r="M9" s="32">
        <v>6.9700000000000095</v>
      </c>
      <c r="N9" s="32">
        <v>6.9499999999999895</v>
      </c>
      <c r="O9" s="32">
        <v>6.9499999999999895</v>
      </c>
      <c r="P9" s="32" t="s">
        <v>139</v>
      </c>
      <c r="Q9" s="32" t="s">
        <v>139</v>
      </c>
      <c r="R9" s="32">
        <v>6.9499999999999895</v>
      </c>
      <c r="S9" s="20"/>
      <c r="T9" s="32" t="s">
        <v>139</v>
      </c>
      <c r="U9" s="32" t="s">
        <v>139</v>
      </c>
      <c r="V9" s="20"/>
      <c r="W9" s="32" t="s">
        <v>81</v>
      </c>
      <c r="X9" s="32" t="s">
        <v>81</v>
      </c>
      <c r="Y9" s="32" t="s">
        <v>81</v>
      </c>
      <c r="Z9" s="53"/>
      <c r="AA9" s="53"/>
    </row>
    <row r="10" spans="1:27"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7" s="51" customFormat="1" ht="13.5" x14ac:dyDescent="0.3">
      <c r="A11" s="49" t="s">
        <v>173</v>
      </c>
      <c r="B11" s="45"/>
      <c r="C11" s="45"/>
      <c r="D11" s="50"/>
      <c r="E11" s="50"/>
      <c r="F11" s="50"/>
      <c r="G11" s="50"/>
      <c r="H11" s="50"/>
      <c r="I11" s="50"/>
      <c r="J11" s="50"/>
      <c r="K11" s="50"/>
      <c r="L11" s="50"/>
      <c r="M11" s="50"/>
      <c r="N11" s="50"/>
      <c r="O11" s="50"/>
      <c r="P11" s="50"/>
      <c r="Q11" s="50"/>
      <c r="R11" s="50"/>
    </row>
    <row r="12" spans="1:27" s="51" customFormat="1" ht="13.5" x14ac:dyDescent="0.3">
      <c r="A12" s="45" t="s">
        <v>83</v>
      </c>
      <c r="B12" s="49"/>
      <c r="C12" s="49"/>
    </row>
    <row r="13" spans="1:27" s="51" customFormat="1" ht="13.5" x14ac:dyDescent="0.3">
      <c r="A13" s="49" t="s">
        <v>85</v>
      </c>
      <c r="B13" s="49"/>
      <c r="C13" s="49"/>
    </row>
    <row r="14" spans="1:27" s="51" customFormat="1" ht="13.5" x14ac:dyDescent="0.3">
      <c r="A14" s="49" t="s">
        <v>86</v>
      </c>
      <c r="B14" s="49"/>
      <c r="C14" s="49"/>
    </row>
    <row r="15" spans="1:27" s="51" customFormat="1" ht="13.5" x14ac:dyDescent="0.3">
      <c r="A15" s="49" t="s">
        <v>172</v>
      </c>
      <c r="B15" s="50"/>
      <c r="C15" s="50"/>
    </row>
    <row r="16" spans="1:27" s="51" customFormat="1" ht="13.5" x14ac:dyDescent="0.3">
      <c r="A16" s="52" t="s">
        <v>105</v>
      </c>
      <c r="B16" s="50"/>
      <c r="C16" s="50"/>
    </row>
    <row r="17" spans="1:4" s="51" customFormat="1" ht="13.5" x14ac:dyDescent="0.3">
      <c r="A17" s="52" t="s">
        <v>91</v>
      </c>
    </row>
    <row r="18" spans="1:4" s="51" customFormat="1" ht="13.5" x14ac:dyDescent="0.3">
      <c r="A18" s="52" t="s">
        <v>174</v>
      </c>
    </row>
    <row r="19" spans="1:4" s="51" customFormat="1" ht="13.5" x14ac:dyDescent="0.3">
      <c r="A19" s="52" t="s">
        <v>132</v>
      </c>
    </row>
    <row r="20" spans="1:4" s="51" customFormat="1" ht="13.5" x14ac:dyDescent="0.3">
      <c r="A20" s="52" t="s">
        <v>133</v>
      </c>
    </row>
    <row r="21" spans="1:4" s="51" customFormat="1" ht="13.5" x14ac:dyDescent="0.3">
      <c r="A21" s="52" t="s">
        <v>136</v>
      </c>
    </row>
    <row r="22" spans="1:4" s="51" customFormat="1" ht="13.5" x14ac:dyDescent="0.3">
      <c r="A22" s="52" t="s">
        <v>135</v>
      </c>
    </row>
    <row r="23" spans="1:4" s="51" customFormat="1" ht="13.5" x14ac:dyDescent="0.3">
      <c r="A23" s="82" t="s">
        <v>156</v>
      </c>
    </row>
    <row r="24" spans="1:4" x14ac:dyDescent="0.35">
      <c r="A24" s="52"/>
    </row>
    <row r="25" spans="1:4" x14ac:dyDescent="0.35">
      <c r="A25" s="33" t="s">
        <v>103</v>
      </c>
      <c r="B25" s="33"/>
      <c r="C25" s="33"/>
      <c r="D25" s="33"/>
    </row>
    <row r="26" spans="1:4" s="51" customFormat="1" ht="13.5" x14ac:dyDescent="0.3">
      <c r="A26" s="49" t="s">
        <v>73</v>
      </c>
      <c r="B26" s="50"/>
      <c r="C26" s="50"/>
    </row>
    <row r="27" spans="1:4" s="51" customFormat="1" ht="13.5" x14ac:dyDescent="0.3">
      <c r="A27" s="49" t="s">
        <v>74</v>
      </c>
      <c r="B27" s="50"/>
      <c r="C27" s="50"/>
    </row>
    <row r="28" spans="1:4" x14ac:dyDescent="0.35">
      <c r="A28" s="15"/>
      <c r="B28" s="15"/>
      <c r="C28" s="15"/>
    </row>
    <row r="35" spans="1:3" x14ac:dyDescent="0.35">
      <c r="A35" s="33" t="s">
        <v>0</v>
      </c>
      <c r="B35" s="33" t="s">
        <v>63</v>
      </c>
      <c r="C35" s="33" t="s">
        <v>62</v>
      </c>
    </row>
    <row r="36" spans="1:3" x14ac:dyDescent="0.35">
      <c r="A36" s="28" t="s">
        <v>144</v>
      </c>
      <c r="B36" s="29" t="s">
        <v>139</v>
      </c>
      <c r="C36" s="29" t="s">
        <v>139</v>
      </c>
    </row>
    <row r="37" spans="1:3" x14ac:dyDescent="0.35">
      <c r="A37" s="28" t="s">
        <v>145</v>
      </c>
      <c r="B37" s="29" t="s">
        <v>139</v>
      </c>
      <c r="C37" s="29" t="s">
        <v>139</v>
      </c>
    </row>
    <row r="38" spans="1:3" x14ac:dyDescent="0.35">
      <c r="A38" s="28" t="s">
        <v>140</v>
      </c>
      <c r="B38" s="29" t="s">
        <v>139</v>
      </c>
      <c r="C38" s="29" t="s">
        <v>139</v>
      </c>
    </row>
    <row r="39" spans="1:3" x14ac:dyDescent="0.35">
      <c r="A39" s="28" t="s">
        <v>141</v>
      </c>
      <c r="B39" s="29" t="s">
        <v>139</v>
      </c>
      <c r="C39" s="29" t="s">
        <v>139</v>
      </c>
    </row>
    <row r="40" spans="1:3" x14ac:dyDescent="0.35">
      <c r="A40" s="28" t="s">
        <v>143</v>
      </c>
      <c r="B40" s="29" t="s">
        <v>139</v>
      </c>
      <c r="C40" s="29" t="s">
        <v>139</v>
      </c>
    </row>
    <row r="41" spans="1:3" x14ac:dyDescent="0.35">
      <c r="A41" s="13" t="s">
        <v>142</v>
      </c>
      <c r="B41" s="94" t="s">
        <v>139</v>
      </c>
      <c r="C41" s="94" t="s">
        <v>139</v>
      </c>
    </row>
    <row r="57" spans="1:5" x14ac:dyDescent="0.35">
      <c r="A57" s="33" t="s">
        <v>104</v>
      </c>
      <c r="B57" s="33"/>
      <c r="C57" s="33"/>
      <c r="D57" s="33"/>
      <c r="E57" s="33"/>
    </row>
    <row r="58" spans="1:5" s="51" customFormat="1" ht="13.5" x14ac:dyDescent="0.3">
      <c r="A58" s="49" t="s">
        <v>75</v>
      </c>
      <c r="B58" s="50"/>
      <c r="C58" s="50"/>
    </row>
    <row r="59" spans="1:5" s="51" customFormat="1" ht="13.5" x14ac:dyDescent="0.3">
      <c r="A59" s="49" t="s">
        <v>76</v>
      </c>
      <c r="B59" s="50"/>
      <c r="C59" s="50"/>
    </row>
    <row r="60" spans="1:5" s="51" customFormat="1" ht="13.5" x14ac:dyDescent="0.3">
      <c r="A60" s="49" t="s">
        <v>77</v>
      </c>
      <c r="B60" s="50"/>
      <c r="C60" s="50"/>
    </row>
    <row r="65" spans="1:4" x14ac:dyDescent="0.35">
      <c r="A65" s="33" t="s">
        <v>0</v>
      </c>
      <c r="B65" s="33" t="s">
        <v>67</v>
      </c>
      <c r="C65" s="33" t="s">
        <v>68</v>
      </c>
      <c r="D65" s="33" t="s">
        <v>69</v>
      </c>
    </row>
    <row r="66" spans="1:4" x14ac:dyDescent="0.35">
      <c r="A66" s="28" t="s">
        <v>144</v>
      </c>
      <c r="B66" s="29">
        <v>5.9189999999999996</v>
      </c>
      <c r="C66" s="29" t="s">
        <v>139</v>
      </c>
      <c r="D66" s="29">
        <v>4.1563697099999999</v>
      </c>
    </row>
    <row r="67" spans="1:4" x14ac:dyDescent="0.35">
      <c r="A67" s="28" t="s">
        <v>145</v>
      </c>
      <c r="B67" s="29">
        <v>4.2409999999999997</v>
      </c>
      <c r="C67" s="29" t="s">
        <v>139</v>
      </c>
      <c r="D67" s="29">
        <v>2.4900214900000002</v>
      </c>
    </row>
    <row r="68" spans="1:4" x14ac:dyDescent="0.35">
      <c r="A68" s="28" t="s">
        <v>140</v>
      </c>
      <c r="B68" s="29">
        <v>3.0529999999999999</v>
      </c>
      <c r="C68" s="29" t="s">
        <v>139</v>
      </c>
      <c r="D68" s="29">
        <v>2.9165786699999998</v>
      </c>
    </row>
    <row r="69" spans="1:4" x14ac:dyDescent="0.35">
      <c r="A69" s="28" t="s">
        <v>141</v>
      </c>
      <c r="B69" s="29">
        <v>3.7669999999999999</v>
      </c>
      <c r="C69" s="29" t="s">
        <v>139</v>
      </c>
      <c r="D69" s="29">
        <v>4.3606964100000001</v>
      </c>
    </row>
    <row r="70" spans="1:4" x14ac:dyDescent="0.35">
      <c r="A70" s="28" t="s">
        <v>143</v>
      </c>
      <c r="B70" s="29">
        <v>2.4489999999999998</v>
      </c>
      <c r="C70" s="29" t="s">
        <v>139</v>
      </c>
      <c r="D70" s="29">
        <v>2.17530709</v>
      </c>
    </row>
    <row r="71" spans="1:4" x14ac:dyDescent="0.35">
      <c r="A71" s="28" t="s">
        <v>142</v>
      </c>
      <c r="B71" s="29">
        <v>4.7549999999999999</v>
      </c>
      <c r="C71" s="29" t="s">
        <v>139</v>
      </c>
      <c r="D71" s="29">
        <v>4.6978947153000004</v>
      </c>
    </row>
  </sheetData>
  <mergeCells count="7">
    <mergeCell ref="T1:U1"/>
    <mergeCell ref="W1:Y1"/>
    <mergeCell ref="A3:C3"/>
    <mergeCell ref="D1:D2"/>
    <mergeCell ref="F1:F2"/>
    <mergeCell ref="G1:G2"/>
    <mergeCell ref="I1:R1"/>
  </mergeCells>
  <conditionalFormatting sqref="I3:R9">
    <cfRule type="cellIs" dxfId="43" priority="1" operator="greaterThanOrEqual">
      <formula>0</formula>
    </cfRule>
    <cfRule type="cellIs" dxfId="42" priority="2" operator="lessThan">
      <formula>0</formula>
    </cfRule>
  </conditionalFormatting>
  <conditionalFormatting sqref="T4:U9 W4:Y9">
    <cfRule type="cellIs" dxfId="41" priority="3" operator="greaterThanOrEqual">
      <formula>0</formula>
    </cfRule>
    <cfRule type="cellIs" dxfId="40" priority="4" operator="lessThan">
      <formula>0</formula>
    </cfRule>
  </conditionalFormatting>
  <hyperlinks>
    <hyperlink ref="C1" location="GCF_2025!A1" display="GCF_2025!A1" xr:uid="{571F8C76-23A1-4DAC-8D16-4B38B80741F4}"/>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1"/>
  <sheetViews>
    <sheetView showGridLines="0" zoomScale="70" zoomScaleNormal="70" workbookViewId="0"/>
  </sheetViews>
  <sheetFormatPr defaultColWidth="8.81640625" defaultRowHeight="15.5" x14ac:dyDescent="0.35"/>
  <cols>
    <col min="1" max="1" width="44.54296875" style="13" customWidth="1"/>
    <col min="2" max="2" width="14.81640625" style="13" bestFit="1" customWidth="1"/>
    <col min="3" max="3" width="67.54296875" style="13" customWidth="1"/>
    <col min="4" max="4" width="15.54296875" style="13" customWidth="1"/>
    <col min="5" max="5" width="16.1796875" style="13" bestFit="1" customWidth="1"/>
    <col min="6" max="6" width="17" style="13" customWidth="1"/>
    <col min="7" max="7" width="17.81640625" style="13" customWidth="1"/>
    <col min="8" max="8" width="1.453125" style="13" customWidth="1"/>
    <col min="9" max="10" width="16.54296875" style="13" customWidth="1"/>
    <col min="11" max="15" width="17.453125" style="13" customWidth="1"/>
    <col min="16" max="16" width="17.7265625" style="13" customWidth="1"/>
    <col min="17" max="17" width="17.26953125" style="13" customWidth="1"/>
    <col min="18" max="18" width="18.7265625" style="13" customWidth="1"/>
    <col min="19" max="19" width="1.453125" style="13" customWidth="1"/>
    <col min="20" max="20" width="17.1796875" style="13" customWidth="1"/>
    <col min="21" max="21" width="18.1796875" style="13" customWidth="1"/>
    <col min="22" max="22" width="1.453125" style="13" customWidth="1"/>
    <col min="23" max="23" width="15.453125" style="13" customWidth="1"/>
    <col min="24" max="24" width="14.453125" style="13" customWidth="1"/>
    <col min="25" max="25" width="17.453125" style="13" customWidth="1"/>
    <col min="26" max="16384" width="8.81640625" style="13"/>
  </cols>
  <sheetData>
    <row r="1" spans="1:27" ht="22.4" customHeight="1" x14ac:dyDescent="0.35">
      <c r="A1" s="95">
        <v>46022</v>
      </c>
      <c r="B1" s="22"/>
      <c r="C1" s="84" t="s">
        <v>66</v>
      </c>
      <c r="D1" s="103" t="s">
        <v>80</v>
      </c>
      <c r="E1" s="27" t="s">
        <v>65</v>
      </c>
      <c r="F1" s="103" t="s">
        <v>90</v>
      </c>
      <c r="G1" s="103" t="s">
        <v>61</v>
      </c>
      <c r="H1" s="24"/>
      <c r="I1" s="101" t="s">
        <v>62</v>
      </c>
      <c r="J1" s="107"/>
      <c r="K1" s="107">
        <v>0</v>
      </c>
      <c r="L1" s="107"/>
      <c r="M1" s="107"/>
      <c r="N1" s="107">
        <v>0</v>
      </c>
      <c r="O1" s="107"/>
      <c r="P1" s="107">
        <v>0</v>
      </c>
      <c r="Q1" s="81"/>
      <c r="R1" s="91"/>
      <c r="S1" s="25"/>
      <c r="T1" s="105" t="s">
        <v>87</v>
      </c>
      <c r="U1" s="106">
        <v>0</v>
      </c>
      <c r="V1" s="25"/>
      <c r="W1" s="101" t="s">
        <v>159</v>
      </c>
      <c r="X1" s="107">
        <v>0</v>
      </c>
      <c r="Y1" s="107">
        <v>0</v>
      </c>
    </row>
    <row r="2" spans="1:27" ht="92.5" customHeight="1" x14ac:dyDescent="0.35">
      <c r="A2" s="21" t="s">
        <v>37</v>
      </c>
      <c r="B2" s="21" t="s">
        <v>38</v>
      </c>
      <c r="C2" s="21" t="s">
        <v>39</v>
      </c>
      <c r="D2" s="104">
        <v>0</v>
      </c>
      <c r="E2" s="21" t="s">
        <v>89</v>
      </c>
      <c r="F2" s="104">
        <v>0</v>
      </c>
      <c r="G2" s="104">
        <v>0</v>
      </c>
      <c r="H2" s="24"/>
      <c r="I2" s="58" t="s">
        <v>82</v>
      </c>
      <c r="J2" s="90" t="s">
        <v>154</v>
      </c>
      <c r="K2" s="21" t="s">
        <v>137</v>
      </c>
      <c r="L2" s="21" t="s">
        <v>151</v>
      </c>
      <c r="M2" s="21" t="s">
        <v>158</v>
      </c>
      <c r="N2" s="21" t="s">
        <v>84</v>
      </c>
      <c r="O2" s="21" t="s">
        <v>155</v>
      </c>
      <c r="P2" s="21" t="s">
        <v>138</v>
      </c>
      <c r="Q2" s="21" t="s">
        <v>152</v>
      </c>
      <c r="R2" s="21" t="s">
        <v>157</v>
      </c>
      <c r="S2" s="26"/>
      <c r="T2" s="21" t="s">
        <v>101</v>
      </c>
      <c r="U2" s="21" t="s">
        <v>102</v>
      </c>
      <c r="V2" s="26"/>
      <c r="W2" s="21" t="s">
        <v>129</v>
      </c>
      <c r="X2" s="21" t="s">
        <v>130</v>
      </c>
      <c r="Y2" s="21" t="s">
        <v>131</v>
      </c>
    </row>
    <row r="3" spans="1:27" ht="29.15" customHeight="1" x14ac:dyDescent="0.35">
      <c r="A3" s="110" t="s">
        <v>40</v>
      </c>
      <c r="B3" s="110"/>
      <c r="C3" s="110"/>
      <c r="D3" s="40"/>
      <c r="E3" s="40"/>
      <c r="F3" s="41"/>
      <c r="G3" s="65" t="s">
        <v>88</v>
      </c>
      <c r="H3" s="41"/>
      <c r="I3" s="62">
        <v>6.5912777051989906</v>
      </c>
      <c r="J3" s="62">
        <v>6.5912777051989906</v>
      </c>
      <c r="K3" s="62">
        <v>14.327235819182187</v>
      </c>
      <c r="L3" s="62">
        <v>9.6553654663679911</v>
      </c>
      <c r="M3" s="62">
        <v>10.758474737497718</v>
      </c>
      <c r="N3" s="62">
        <v>7.6988505118696802</v>
      </c>
      <c r="O3" s="62">
        <v>7.6988505118696802</v>
      </c>
      <c r="P3" s="62">
        <v>16.131278536285318</v>
      </c>
      <c r="Q3" s="62">
        <v>11.168683045556371</v>
      </c>
      <c r="R3" s="62">
        <v>12.163586316336483</v>
      </c>
      <c r="S3" s="41"/>
      <c r="T3" s="41"/>
      <c r="U3" s="41"/>
      <c r="V3" s="41"/>
      <c r="W3" s="41"/>
      <c r="X3" s="41"/>
      <c r="Y3" s="41"/>
    </row>
    <row r="4" spans="1:27" customFormat="1" ht="14.5" x14ac:dyDescent="0.35">
      <c r="A4" s="28" t="s">
        <v>31</v>
      </c>
      <c r="B4" s="28" t="s">
        <v>4</v>
      </c>
      <c r="C4" s="28" t="s">
        <v>41</v>
      </c>
      <c r="D4" s="61" t="s">
        <v>170</v>
      </c>
      <c r="E4" s="30">
        <v>90</v>
      </c>
      <c r="F4" s="29">
        <v>37.472794399999998</v>
      </c>
      <c r="G4" s="31">
        <v>14957</v>
      </c>
      <c r="H4" s="19"/>
      <c r="I4" s="32">
        <v>7.5594067301047119</v>
      </c>
      <c r="J4" s="32">
        <v>7.5594067301047119</v>
      </c>
      <c r="K4" s="32">
        <v>14.635019927787773</v>
      </c>
      <c r="L4" s="32">
        <v>8.3632217782081408</v>
      </c>
      <c r="M4" s="32">
        <v>10.583084296232625</v>
      </c>
      <c r="N4" s="32">
        <v>8.8673132981066836</v>
      </c>
      <c r="O4" s="32">
        <v>8.8673132981066836</v>
      </c>
      <c r="P4" s="32">
        <v>15.67899269516364</v>
      </c>
      <c r="Q4" s="32">
        <v>10.173083643722247</v>
      </c>
      <c r="R4" s="32">
        <v>11.673337669486195</v>
      </c>
      <c r="S4" s="20"/>
      <c r="T4" s="32">
        <v>10.063970325376077</v>
      </c>
      <c r="U4" s="32">
        <v>10.378471888012665</v>
      </c>
      <c r="V4" s="20"/>
      <c r="W4" s="32">
        <v>0.49</v>
      </c>
      <c r="X4" s="32">
        <v>0.7</v>
      </c>
      <c r="Y4" s="32" t="s">
        <v>81</v>
      </c>
      <c r="Z4" s="53"/>
      <c r="AA4" s="53"/>
    </row>
    <row r="5" spans="1:27" customFormat="1" ht="14.5" x14ac:dyDescent="0.35">
      <c r="A5" s="28" t="s">
        <v>167</v>
      </c>
      <c r="B5" s="28" t="s">
        <v>2</v>
      </c>
      <c r="C5" s="28" t="s">
        <v>161</v>
      </c>
      <c r="D5" s="61" t="s">
        <v>170</v>
      </c>
      <c r="E5" s="30">
        <v>97</v>
      </c>
      <c r="F5" s="29">
        <v>59.517166930000002</v>
      </c>
      <c r="G5" s="31">
        <v>19326</v>
      </c>
      <c r="H5" s="19"/>
      <c r="I5" s="32">
        <v>8.1376665111698507</v>
      </c>
      <c r="J5" s="32">
        <v>8.1376665111698507</v>
      </c>
      <c r="K5" s="32">
        <v>13.709858962927512</v>
      </c>
      <c r="L5" s="32">
        <v>10.177959783307067</v>
      </c>
      <c r="M5" s="32">
        <v>11.068156771021954</v>
      </c>
      <c r="N5" s="32">
        <v>8.4179276277735369</v>
      </c>
      <c r="O5" s="32">
        <v>8.4179276277735369</v>
      </c>
      <c r="P5" s="32">
        <v>15.601022079863602</v>
      </c>
      <c r="Q5" s="32">
        <v>10.945157925545868</v>
      </c>
      <c r="R5" s="32">
        <v>12.26688829459901</v>
      </c>
      <c r="S5" s="20"/>
      <c r="T5" s="32">
        <v>9.5172304627861664</v>
      </c>
      <c r="U5" s="32">
        <v>11.21035248043421</v>
      </c>
      <c r="V5" s="20"/>
      <c r="W5" s="32">
        <v>0.5</v>
      </c>
      <c r="X5" s="32">
        <v>1.06</v>
      </c>
      <c r="Y5" s="32">
        <v>1.06</v>
      </c>
      <c r="Z5" s="53"/>
      <c r="AA5" s="53"/>
    </row>
    <row r="6" spans="1:27" customFormat="1" ht="14.5" x14ac:dyDescent="0.35">
      <c r="A6" s="28" t="s">
        <v>78</v>
      </c>
      <c r="B6" s="28" t="s">
        <v>1</v>
      </c>
      <c r="C6" s="64" t="s">
        <v>42</v>
      </c>
      <c r="D6" s="61" t="s">
        <v>170</v>
      </c>
      <c r="E6" s="30">
        <v>98</v>
      </c>
      <c r="F6" s="29">
        <v>85.870046799999997</v>
      </c>
      <c r="G6" s="31">
        <v>22171</v>
      </c>
      <c r="H6" s="19"/>
      <c r="I6" s="32">
        <v>6.8009563050002608</v>
      </c>
      <c r="J6" s="32">
        <v>6.8009563050002608</v>
      </c>
      <c r="K6" s="32">
        <v>14.576113240479982</v>
      </c>
      <c r="L6" s="32">
        <v>9.7201037730616271</v>
      </c>
      <c r="M6" s="32">
        <v>11.168952687940514</v>
      </c>
      <c r="N6" s="32">
        <v>8.7022104425803271</v>
      </c>
      <c r="O6" s="32">
        <v>8.7022104425803271</v>
      </c>
      <c r="P6" s="32">
        <v>17.879220688285514</v>
      </c>
      <c r="Q6" s="32">
        <v>12.280017716539128</v>
      </c>
      <c r="R6" s="32">
        <v>13.372685398417739</v>
      </c>
      <c r="S6" s="20"/>
      <c r="T6" s="32">
        <v>10.601814667813336</v>
      </c>
      <c r="U6" s="32">
        <v>11.581168567360802</v>
      </c>
      <c r="V6" s="20"/>
      <c r="W6" s="32">
        <v>0.5</v>
      </c>
      <c r="X6" s="32" t="s">
        <v>81</v>
      </c>
      <c r="Y6" s="32">
        <v>0.78</v>
      </c>
      <c r="Z6" s="53"/>
      <c r="AA6" s="53"/>
    </row>
    <row r="7" spans="1:27" customFormat="1" ht="14.5" x14ac:dyDescent="0.35">
      <c r="A7" s="28" t="s">
        <v>79</v>
      </c>
      <c r="B7" s="28" t="s">
        <v>3</v>
      </c>
      <c r="C7" s="28" t="s">
        <v>92</v>
      </c>
      <c r="D7" s="61" t="s">
        <v>170</v>
      </c>
      <c r="E7" s="30">
        <v>97</v>
      </c>
      <c r="F7" s="29">
        <v>188.41916015000001</v>
      </c>
      <c r="G7" s="31">
        <v>50784</v>
      </c>
      <c r="H7" s="19"/>
      <c r="I7" s="32">
        <v>4.0944379453365931</v>
      </c>
      <c r="J7" s="32">
        <v>4.0944379453365931</v>
      </c>
      <c r="K7" s="32">
        <v>13.111689362033218</v>
      </c>
      <c r="L7" s="32">
        <v>9.3897644598555772</v>
      </c>
      <c r="M7" s="32">
        <v>10.414898471452583</v>
      </c>
      <c r="N7" s="32">
        <v>7.4805837650161022</v>
      </c>
      <c r="O7" s="32">
        <v>7.4805837650161022</v>
      </c>
      <c r="P7" s="32">
        <v>16.213888808158284</v>
      </c>
      <c r="Q7" s="32">
        <v>11.209001206646164</v>
      </c>
      <c r="R7" s="32">
        <v>12.314826316842108</v>
      </c>
      <c r="S7" s="20"/>
      <c r="T7" s="32">
        <v>10.956220586865383</v>
      </c>
      <c r="U7" s="32">
        <v>11.17935919350767</v>
      </c>
      <c r="V7" s="20"/>
      <c r="W7" s="32">
        <v>0.41000000000000003</v>
      </c>
      <c r="X7" s="32" t="s">
        <v>81</v>
      </c>
      <c r="Y7" s="32">
        <v>0.66990000000000005</v>
      </c>
      <c r="Z7" s="53"/>
      <c r="AA7" s="53"/>
    </row>
    <row r="8" spans="1:27" customFormat="1" ht="14.5" x14ac:dyDescent="0.35">
      <c r="A8" s="28" t="s">
        <v>106</v>
      </c>
      <c r="B8" s="28" t="s">
        <v>5</v>
      </c>
      <c r="C8" s="28" t="s">
        <v>107</v>
      </c>
      <c r="D8" s="61" t="s">
        <v>170</v>
      </c>
      <c r="E8" s="30">
        <v>90</v>
      </c>
      <c r="F8" s="29">
        <v>69.952308269999989</v>
      </c>
      <c r="G8" s="31">
        <v>19939</v>
      </c>
      <c r="H8" s="19"/>
      <c r="I8" s="32">
        <v>10.034529664120551</v>
      </c>
      <c r="J8" s="32">
        <v>10.034529664120551</v>
      </c>
      <c r="K8" s="32">
        <v>16.222711992650041</v>
      </c>
      <c r="L8" s="32">
        <v>10.538855093068022</v>
      </c>
      <c r="M8" s="32">
        <v>11.196141650254109</v>
      </c>
      <c r="N8" s="32">
        <v>5.9134873298321455</v>
      </c>
      <c r="O8" s="32">
        <v>5.9134873298321455</v>
      </c>
      <c r="P8" s="32">
        <v>14.346589188102898</v>
      </c>
      <c r="Q8" s="32">
        <v>10.419378240826216</v>
      </c>
      <c r="R8" s="32">
        <v>11.472871936744934</v>
      </c>
      <c r="S8" s="20"/>
      <c r="T8" s="32">
        <v>10.838278866075088</v>
      </c>
      <c r="U8" s="32">
        <v>10.520281325119972</v>
      </c>
      <c r="V8" s="20"/>
      <c r="W8" s="32">
        <v>0.5</v>
      </c>
      <c r="X8" s="32">
        <v>1.1100000000000001</v>
      </c>
      <c r="Y8" s="32" t="s">
        <v>81</v>
      </c>
      <c r="Z8" s="53"/>
      <c r="AA8" s="53"/>
    </row>
    <row r="9" spans="1:27" customFormat="1" ht="13" customHeight="1" x14ac:dyDescent="0.35">
      <c r="A9" s="28" t="s">
        <v>113</v>
      </c>
      <c r="B9" s="28" t="s">
        <v>114</v>
      </c>
      <c r="C9" s="28" t="s">
        <v>126</v>
      </c>
      <c r="D9" s="61" t="s">
        <v>171</v>
      </c>
      <c r="E9" s="30">
        <v>100</v>
      </c>
      <c r="F9" s="29">
        <v>47.484372251900005</v>
      </c>
      <c r="G9" s="31">
        <v>12840</v>
      </c>
      <c r="H9" s="19"/>
      <c r="I9" s="32">
        <v>8.3448806774441877</v>
      </c>
      <c r="J9" s="32">
        <v>8.3448806774441877</v>
      </c>
      <c r="K9" s="32">
        <v>16.439071338860977</v>
      </c>
      <c r="L9" s="32" t="s">
        <v>139</v>
      </c>
      <c r="M9" s="32">
        <v>10.484990076265444</v>
      </c>
      <c r="N9" s="32">
        <v>7.5572112825971427</v>
      </c>
      <c r="O9" s="32">
        <v>7.5572112825971427</v>
      </c>
      <c r="P9" s="32">
        <v>16.293219886891762</v>
      </c>
      <c r="Q9" s="32" t="s">
        <v>139</v>
      </c>
      <c r="R9" s="32">
        <v>10.651886901039331</v>
      </c>
      <c r="S9" s="20"/>
      <c r="T9" s="32">
        <v>11.247602379795628</v>
      </c>
      <c r="U9" s="32">
        <v>11.471015332834895</v>
      </c>
      <c r="V9" s="20"/>
      <c r="W9" s="32">
        <v>0.44690000000000002</v>
      </c>
      <c r="X9" s="32">
        <v>0.57340000000000002</v>
      </c>
      <c r="Y9" s="32" t="s">
        <v>81</v>
      </c>
      <c r="Z9" s="53"/>
      <c r="AA9" s="53"/>
    </row>
    <row r="10" spans="1:27"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7" s="51" customFormat="1" ht="13.5" x14ac:dyDescent="0.3">
      <c r="A11" s="49" t="s">
        <v>173</v>
      </c>
      <c r="B11" s="45"/>
      <c r="C11" s="45"/>
      <c r="D11" s="50"/>
      <c r="E11" s="50"/>
      <c r="F11" s="50"/>
      <c r="G11" s="50"/>
      <c r="H11" s="50"/>
      <c r="I11" s="50"/>
      <c r="J11" s="50"/>
      <c r="K11" s="50"/>
      <c r="L11" s="50"/>
      <c r="M11" s="50"/>
      <c r="N11" s="50"/>
      <c r="O11" s="50"/>
      <c r="P11" s="50"/>
      <c r="Q11" s="50"/>
      <c r="R11" s="50"/>
    </row>
    <row r="12" spans="1:27" s="51" customFormat="1" ht="13.5" x14ac:dyDescent="0.3">
      <c r="A12" s="45" t="s">
        <v>83</v>
      </c>
      <c r="B12" s="49"/>
      <c r="C12" s="49"/>
    </row>
    <row r="13" spans="1:27" s="51" customFormat="1" ht="13.5" x14ac:dyDescent="0.3">
      <c r="A13" s="49" t="s">
        <v>85</v>
      </c>
      <c r="B13" s="49"/>
      <c r="C13" s="49"/>
    </row>
    <row r="14" spans="1:27" s="51" customFormat="1" ht="13.5" x14ac:dyDescent="0.3">
      <c r="A14" s="49" t="s">
        <v>86</v>
      </c>
      <c r="B14" s="49"/>
      <c r="C14" s="49"/>
    </row>
    <row r="15" spans="1:27" s="51" customFormat="1" ht="13.5" x14ac:dyDescent="0.3">
      <c r="A15" s="49" t="s">
        <v>172</v>
      </c>
      <c r="B15" s="50"/>
      <c r="C15" s="50"/>
    </row>
    <row r="16" spans="1:27" s="51" customFormat="1" ht="13.5" x14ac:dyDescent="0.3">
      <c r="A16" s="52" t="s">
        <v>105</v>
      </c>
      <c r="B16" s="50"/>
      <c r="C16" s="50"/>
    </row>
    <row r="17" spans="1:4" s="51" customFormat="1" ht="13.5" x14ac:dyDescent="0.3">
      <c r="A17" s="52" t="s">
        <v>91</v>
      </c>
    </row>
    <row r="18" spans="1:4" s="51" customFormat="1" ht="13.5" x14ac:dyDescent="0.3">
      <c r="A18" s="52" t="s">
        <v>174</v>
      </c>
    </row>
    <row r="19" spans="1:4" s="51" customFormat="1" ht="13.5" x14ac:dyDescent="0.3">
      <c r="A19" s="52" t="s">
        <v>132</v>
      </c>
    </row>
    <row r="20" spans="1:4" s="51" customFormat="1" ht="13.5" x14ac:dyDescent="0.3">
      <c r="A20" s="52" t="s">
        <v>133</v>
      </c>
    </row>
    <row r="21" spans="1:4" s="51" customFormat="1" ht="13.5" x14ac:dyDescent="0.3">
      <c r="A21" s="52" t="s">
        <v>136</v>
      </c>
    </row>
    <row r="22" spans="1:4" s="51" customFormat="1" ht="13.5" x14ac:dyDescent="0.3">
      <c r="A22" s="52" t="s">
        <v>135</v>
      </c>
    </row>
    <row r="23" spans="1:4" s="51" customFormat="1" ht="13.5" x14ac:dyDescent="0.3">
      <c r="A23" s="82" t="s">
        <v>156</v>
      </c>
    </row>
    <row r="24" spans="1:4" x14ac:dyDescent="0.35">
      <c r="A24" s="52"/>
    </row>
    <row r="25" spans="1:4" x14ac:dyDescent="0.35">
      <c r="A25" s="33" t="s">
        <v>103</v>
      </c>
      <c r="B25" s="33"/>
      <c r="C25" s="33"/>
      <c r="D25" s="33"/>
    </row>
    <row r="26" spans="1:4" s="51" customFormat="1" ht="13.5" x14ac:dyDescent="0.3">
      <c r="A26" s="49" t="s">
        <v>73</v>
      </c>
      <c r="B26" s="50"/>
      <c r="C26" s="50"/>
    </row>
    <row r="27" spans="1:4" s="51" customFormat="1" ht="13.5" x14ac:dyDescent="0.3">
      <c r="A27" s="49" t="s">
        <v>74</v>
      </c>
      <c r="B27" s="50"/>
      <c r="C27" s="50"/>
    </row>
    <row r="28" spans="1:4" x14ac:dyDescent="0.35">
      <c r="A28" s="15"/>
      <c r="B28" s="15"/>
      <c r="C28" s="15"/>
    </row>
    <row r="35" spans="1:3" x14ac:dyDescent="0.35">
      <c r="A35" s="33" t="s">
        <v>0</v>
      </c>
      <c r="B35" s="33" t="s">
        <v>63</v>
      </c>
      <c r="C35" s="33" t="s">
        <v>62</v>
      </c>
    </row>
    <row r="36" spans="1:3" x14ac:dyDescent="0.35">
      <c r="A36" s="28" t="s">
        <v>4</v>
      </c>
      <c r="B36" s="29">
        <v>10.063970325376077</v>
      </c>
      <c r="C36" s="29">
        <v>14.635019927787773</v>
      </c>
    </row>
    <row r="37" spans="1:3" x14ac:dyDescent="0.35">
      <c r="A37" s="28" t="s">
        <v>2</v>
      </c>
      <c r="B37" s="29">
        <v>9.5172304627861664</v>
      </c>
      <c r="C37" s="29">
        <v>13.709858962927512</v>
      </c>
    </row>
    <row r="38" spans="1:3" x14ac:dyDescent="0.35">
      <c r="A38" s="28" t="s">
        <v>1</v>
      </c>
      <c r="B38" s="29">
        <v>10.601814667813336</v>
      </c>
      <c r="C38" s="29">
        <v>14.576113240479982</v>
      </c>
    </row>
    <row r="39" spans="1:3" x14ac:dyDescent="0.35">
      <c r="A39" s="28" t="s">
        <v>3</v>
      </c>
      <c r="B39" s="29">
        <v>10.956220586865383</v>
      </c>
      <c r="C39" s="29">
        <v>13.111689362033218</v>
      </c>
    </row>
    <row r="40" spans="1:3" x14ac:dyDescent="0.35">
      <c r="A40" s="28" t="s">
        <v>5</v>
      </c>
      <c r="B40" s="29">
        <v>10.838278866075088</v>
      </c>
      <c r="C40" s="29">
        <v>16.222711992650041</v>
      </c>
    </row>
    <row r="41" spans="1:3" x14ac:dyDescent="0.35">
      <c r="A41" s="13" t="s">
        <v>114</v>
      </c>
      <c r="B41" s="94">
        <v>11.247602379795628</v>
      </c>
      <c r="C41" s="94">
        <v>16.439071338860977</v>
      </c>
    </row>
    <row r="57" spans="1:5" x14ac:dyDescent="0.35">
      <c r="A57" s="33" t="s">
        <v>104</v>
      </c>
      <c r="B57" s="33"/>
      <c r="C57" s="33"/>
      <c r="D57" s="33"/>
      <c r="E57" s="33"/>
    </row>
    <row r="58" spans="1:5" s="51" customFormat="1" ht="13.5" x14ac:dyDescent="0.3">
      <c r="A58" s="49" t="s">
        <v>75</v>
      </c>
      <c r="B58" s="50"/>
      <c r="C58" s="50"/>
    </row>
    <row r="59" spans="1:5" s="51" customFormat="1" ht="13.5" x14ac:dyDescent="0.3">
      <c r="A59" s="49" t="s">
        <v>76</v>
      </c>
      <c r="B59" s="50"/>
      <c r="C59" s="50"/>
    </row>
    <row r="60" spans="1:5" s="51" customFormat="1" ht="13.5" x14ac:dyDescent="0.3">
      <c r="A60" s="49" t="s">
        <v>77</v>
      </c>
      <c r="B60" s="50"/>
      <c r="C60" s="50"/>
    </row>
    <row r="65" spans="1:4" x14ac:dyDescent="0.35">
      <c r="A65" s="33" t="s">
        <v>0</v>
      </c>
      <c r="B65" s="33" t="s">
        <v>67</v>
      </c>
      <c r="C65" s="33" t="s">
        <v>68</v>
      </c>
      <c r="D65" s="33" t="s">
        <v>69</v>
      </c>
    </row>
    <row r="66" spans="1:4" x14ac:dyDescent="0.35">
      <c r="A66" s="28" t="s">
        <v>4</v>
      </c>
      <c r="B66" s="29">
        <v>14.957000000000001</v>
      </c>
      <c r="C66" s="29">
        <v>14.635019927787773</v>
      </c>
      <c r="D66" s="29">
        <v>37.472794399999998</v>
      </c>
    </row>
    <row r="67" spans="1:4" x14ac:dyDescent="0.35">
      <c r="A67" s="28" t="s">
        <v>2</v>
      </c>
      <c r="B67" s="29">
        <v>19.326000000000001</v>
      </c>
      <c r="C67" s="29">
        <v>13.709858962927512</v>
      </c>
      <c r="D67" s="29">
        <v>59.517166930000002</v>
      </c>
    </row>
    <row r="68" spans="1:4" x14ac:dyDescent="0.35">
      <c r="A68" s="28" t="s">
        <v>1</v>
      </c>
      <c r="B68" s="29">
        <v>22.170999999999999</v>
      </c>
      <c r="C68" s="29">
        <v>14.576113240479982</v>
      </c>
      <c r="D68" s="29">
        <v>85.870046799999997</v>
      </c>
    </row>
    <row r="69" spans="1:4" x14ac:dyDescent="0.35">
      <c r="A69" s="28" t="s">
        <v>3</v>
      </c>
      <c r="B69" s="29">
        <v>50.783999999999999</v>
      </c>
      <c r="C69" s="29">
        <v>13.111689362033218</v>
      </c>
      <c r="D69" s="29">
        <v>188.41916015000001</v>
      </c>
    </row>
    <row r="70" spans="1:4" x14ac:dyDescent="0.35">
      <c r="A70" s="28" t="s">
        <v>5</v>
      </c>
      <c r="B70" s="29">
        <v>19.939</v>
      </c>
      <c r="C70" s="29">
        <v>16.222711992650041</v>
      </c>
      <c r="D70" s="29">
        <v>69.952308269999989</v>
      </c>
    </row>
    <row r="71" spans="1:4" x14ac:dyDescent="0.35">
      <c r="A71" t="s">
        <v>114</v>
      </c>
      <c r="B71">
        <v>12.84</v>
      </c>
      <c r="C71">
        <v>16.439071338860977</v>
      </c>
      <c r="D71">
        <v>47.484372251900005</v>
      </c>
    </row>
  </sheetData>
  <mergeCells count="7">
    <mergeCell ref="W1:Y1"/>
    <mergeCell ref="T1:U1"/>
    <mergeCell ref="A3:C3"/>
    <mergeCell ref="F1:F2"/>
    <mergeCell ref="G1:G2"/>
    <mergeCell ref="I1:P1"/>
    <mergeCell ref="D1:D2"/>
  </mergeCells>
  <conditionalFormatting sqref="I3:R9">
    <cfRule type="cellIs" dxfId="39" priority="7" operator="greaterThanOrEqual">
      <formula>0</formula>
    </cfRule>
    <cfRule type="cellIs" dxfId="38" priority="8" operator="lessThan">
      <formula>0</formula>
    </cfRule>
  </conditionalFormatting>
  <conditionalFormatting sqref="T4:U9 W4:Y9">
    <cfRule type="cellIs" dxfId="37" priority="11" operator="greaterThanOrEqual">
      <formula>0</formula>
    </cfRule>
    <cfRule type="cellIs" dxfId="36" priority="12" operator="lessThan">
      <formula>0</formula>
    </cfRule>
  </conditionalFormatting>
  <hyperlinks>
    <hyperlink ref="C1" location="GCF_2025!A1" display="GCF_2025!A1" xr:uid="{449A3230-5476-4F7E-9401-059FA85D7ADF}"/>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71"/>
  <sheetViews>
    <sheetView showGridLines="0" zoomScale="70" zoomScaleNormal="70" workbookViewId="0"/>
  </sheetViews>
  <sheetFormatPr defaultColWidth="8.81640625" defaultRowHeight="15.5" x14ac:dyDescent="0.35"/>
  <cols>
    <col min="1" max="1" width="45.54296875" style="13" customWidth="1"/>
    <col min="2" max="2" width="14.81640625" style="13" bestFit="1" customWidth="1"/>
    <col min="3" max="3" width="78.1796875" style="13" customWidth="1"/>
    <col min="4" max="4" width="13.1796875" style="13" customWidth="1"/>
    <col min="5" max="5" width="16.1796875" style="13" bestFit="1" customWidth="1"/>
    <col min="6" max="6" width="19.453125" style="13" customWidth="1"/>
    <col min="7" max="7" width="13.54296875" style="13" customWidth="1"/>
    <col min="8" max="8" width="1.54296875" style="13" customWidth="1"/>
    <col min="9" max="10" width="16.81640625" style="13" customWidth="1"/>
    <col min="11" max="13" width="15.54296875" style="13" customWidth="1"/>
    <col min="14" max="15" width="13.54296875" style="13" customWidth="1"/>
    <col min="16" max="18" width="15.54296875" style="13" customWidth="1"/>
    <col min="19" max="19" width="1.54296875" style="13" customWidth="1"/>
    <col min="20" max="20" width="19.453125" style="13" customWidth="1"/>
    <col min="21" max="21" width="15.54296875" style="13" customWidth="1"/>
    <col min="22" max="22" width="1.54296875" style="13" customWidth="1"/>
    <col min="23" max="23" width="9.1796875" style="13" customWidth="1"/>
    <col min="24" max="24" width="12.54296875" style="13" customWidth="1"/>
    <col min="25" max="25" width="13" style="13" customWidth="1"/>
    <col min="26" max="16384" width="8.81640625" style="13"/>
  </cols>
  <sheetData>
    <row r="1" spans="1:27" ht="22.4" customHeight="1" x14ac:dyDescent="0.35">
      <c r="A1" s="95">
        <v>46022</v>
      </c>
      <c r="B1" s="22"/>
      <c r="C1" s="84" t="s">
        <v>66</v>
      </c>
      <c r="D1" s="103" t="s">
        <v>80</v>
      </c>
      <c r="E1" s="27" t="s">
        <v>65</v>
      </c>
      <c r="F1" s="103" t="s">
        <v>90</v>
      </c>
      <c r="G1" s="103" t="s">
        <v>61</v>
      </c>
      <c r="H1" s="24"/>
      <c r="I1" s="101" t="s">
        <v>62</v>
      </c>
      <c r="J1" s="107"/>
      <c r="K1" s="107">
        <v>0</v>
      </c>
      <c r="L1" s="107"/>
      <c r="M1" s="107"/>
      <c r="N1" s="107">
        <v>0</v>
      </c>
      <c r="O1" s="107"/>
      <c r="P1" s="107">
        <v>0</v>
      </c>
      <c r="Q1" s="81"/>
      <c r="R1" s="91"/>
      <c r="S1" s="25"/>
      <c r="T1" s="105" t="s">
        <v>87</v>
      </c>
      <c r="U1" s="106">
        <v>0</v>
      </c>
      <c r="V1" s="25"/>
      <c r="W1" s="101" t="s">
        <v>159</v>
      </c>
      <c r="X1" s="107">
        <v>0</v>
      </c>
      <c r="Y1" s="107">
        <v>0</v>
      </c>
    </row>
    <row r="2" spans="1:27" ht="100" customHeight="1" x14ac:dyDescent="0.35">
      <c r="A2" s="21" t="s">
        <v>37</v>
      </c>
      <c r="B2" s="21" t="s">
        <v>38</v>
      </c>
      <c r="C2" s="21" t="s">
        <v>39</v>
      </c>
      <c r="D2" s="104">
        <v>0</v>
      </c>
      <c r="E2" s="21" t="s">
        <v>89</v>
      </c>
      <c r="F2" s="104">
        <v>0</v>
      </c>
      <c r="G2" s="104">
        <v>0</v>
      </c>
      <c r="H2" s="24"/>
      <c r="I2" s="59" t="s">
        <v>82</v>
      </c>
      <c r="J2" s="90" t="s">
        <v>154</v>
      </c>
      <c r="K2" s="21" t="s">
        <v>137</v>
      </c>
      <c r="L2" s="21" t="s">
        <v>151</v>
      </c>
      <c r="M2" s="21" t="s">
        <v>158</v>
      </c>
      <c r="N2" s="21" t="s">
        <v>84</v>
      </c>
      <c r="O2" s="21" t="s">
        <v>155</v>
      </c>
      <c r="P2" s="21" t="s">
        <v>138</v>
      </c>
      <c r="Q2" s="21" t="s">
        <v>152</v>
      </c>
      <c r="R2" s="21" t="s">
        <v>157</v>
      </c>
      <c r="S2" s="26"/>
      <c r="T2" s="21" t="s">
        <v>101</v>
      </c>
      <c r="U2" s="21" t="s">
        <v>102</v>
      </c>
      <c r="V2" s="26"/>
      <c r="W2" s="21" t="s">
        <v>129</v>
      </c>
      <c r="X2" s="21" t="s">
        <v>130</v>
      </c>
      <c r="Y2" s="21" t="s">
        <v>131</v>
      </c>
    </row>
    <row r="3" spans="1:27" ht="29.15" customHeight="1" x14ac:dyDescent="0.35">
      <c r="A3" s="100" t="s">
        <v>43</v>
      </c>
      <c r="B3" s="100">
        <v>0</v>
      </c>
      <c r="C3" s="100">
        <v>0</v>
      </c>
      <c r="D3" s="40"/>
      <c r="E3" s="40"/>
      <c r="F3" s="41"/>
      <c r="G3" s="65" t="s">
        <v>88</v>
      </c>
      <c r="H3" s="41"/>
      <c r="I3" s="62">
        <v>6.6840296370165158</v>
      </c>
      <c r="J3" s="62">
        <v>6.6840296370165158</v>
      </c>
      <c r="K3" s="62">
        <v>14.079312611880823</v>
      </c>
      <c r="L3" s="62">
        <v>9.7086262000871653</v>
      </c>
      <c r="M3" s="62">
        <v>10.850926108730809</v>
      </c>
      <c r="N3" s="62">
        <v>7.7652443931789321</v>
      </c>
      <c r="O3" s="62">
        <v>7.7652443931789321</v>
      </c>
      <c r="P3" s="62">
        <v>16.187721027261635</v>
      </c>
      <c r="Q3" s="62">
        <v>11.209026964974623</v>
      </c>
      <c r="R3" s="62">
        <v>12.271585011179557</v>
      </c>
      <c r="S3" s="41"/>
      <c r="T3" s="41"/>
      <c r="U3" s="41"/>
      <c r="V3" s="41"/>
      <c r="W3" s="41"/>
      <c r="X3" s="41"/>
      <c r="Y3" s="41"/>
    </row>
    <row r="4" spans="1:27" customFormat="1" ht="14.5" x14ac:dyDescent="0.35">
      <c r="A4" s="28" t="s">
        <v>31</v>
      </c>
      <c r="B4" s="28" t="s">
        <v>9</v>
      </c>
      <c r="C4" s="28" t="s">
        <v>44</v>
      </c>
      <c r="D4" s="61" t="s">
        <v>170</v>
      </c>
      <c r="E4" s="30">
        <v>90</v>
      </c>
      <c r="F4" s="29">
        <v>103.47336728000001</v>
      </c>
      <c r="G4" s="31">
        <v>22623</v>
      </c>
      <c r="H4" s="19"/>
      <c r="I4" s="32">
        <v>7.5067880530266695</v>
      </c>
      <c r="J4" s="32">
        <v>7.5067880530266695</v>
      </c>
      <c r="K4" s="32">
        <v>14.687655525371458</v>
      </c>
      <c r="L4" s="32">
        <v>8.4278535339877827</v>
      </c>
      <c r="M4" s="32">
        <v>10.551850925699968</v>
      </c>
      <c r="N4" s="32">
        <v>8.8673132981066836</v>
      </c>
      <c r="O4" s="32">
        <v>8.8673132981066836</v>
      </c>
      <c r="P4" s="32">
        <v>15.67899269516364</v>
      </c>
      <c r="Q4" s="32">
        <v>10.173083643722247</v>
      </c>
      <c r="R4" s="32">
        <v>11.673337669486195</v>
      </c>
      <c r="S4" s="19"/>
      <c r="T4" s="32">
        <v>10.060780921375136</v>
      </c>
      <c r="U4" s="32">
        <v>10.378471888012665</v>
      </c>
      <c r="V4" s="20"/>
      <c r="W4" s="32">
        <v>0.49</v>
      </c>
      <c r="X4" s="32">
        <v>0.71</v>
      </c>
      <c r="Y4" s="32" t="s">
        <v>81</v>
      </c>
      <c r="Z4" s="53"/>
      <c r="AA4" s="53"/>
    </row>
    <row r="5" spans="1:27" customFormat="1" ht="14.5" x14ac:dyDescent="0.35">
      <c r="A5" s="28" t="s">
        <v>167</v>
      </c>
      <c r="B5" s="28" t="s">
        <v>7</v>
      </c>
      <c r="C5" s="28" t="s">
        <v>162</v>
      </c>
      <c r="D5" s="61" t="s">
        <v>170</v>
      </c>
      <c r="E5" s="30">
        <v>97</v>
      </c>
      <c r="F5" s="29">
        <v>192.49501325</v>
      </c>
      <c r="G5" s="31">
        <v>36524</v>
      </c>
      <c r="H5" s="19"/>
      <c r="I5" s="32">
        <v>8.0419217598837633</v>
      </c>
      <c r="J5" s="32">
        <v>8.0419217598837633</v>
      </c>
      <c r="K5" s="32">
        <v>13.360042084340563</v>
      </c>
      <c r="L5" s="32">
        <v>10.160751344063801</v>
      </c>
      <c r="M5" s="32">
        <v>11.03849563423136</v>
      </c>
      <c r="N5" s="32">
        <v>8.4179276277735369</v>
      </c>
      <c r="O5" s="32">
        <v>8.4179276277735369</v>
      </c>
      <c r="P5" s="32">
        <v>15.601022079863602</v>
      </c>
      <c r="Q5" s="32">
        <v>10.945157925545868</v>
      </c>
      <c r="R5" s="32">
        <v>12.26688829459901</v>
      </c>
      <c r="S5" s="19"/>
      <c r="T5" s="32">
        <v>9.0700720338596934</v>
      </c>
      <c r="U5" s="32">
        <v>11.21035248043421</v>
      </c>
      <c r="V5" s="20"/>
      <c r="W5" s="32">
        <v>0.5</v>
      </c>
      <c r="X5" s="32">
        <v>1.27</v>
      </c>
      <c r="Y5" s="32">
        <v>1.27</v>
      </c>
      <c r="Z5" s="53"/>
      <c r="AA5" s="53"/>
    </row>
    <row r="6" spans="1:27" customFormat="1" ht="14.5" x14ac:dyDescent="0.35">
      <c r="A6" s="28" t="s">
        <v>78</v>
      </c>
      <c r="B6" s="28" t="s">
        <v>6</v>
      </c>
      <c r="C6" s="28" t="s">
        <v>45</v>
      </c>
      <c r="D6" s="61" t="s">
        <v>170</v>
      </c>
      <c r="E6" s="30">
        <v>98</v>
      </c>
      <c r="F6" s="29">
        <v>279.46909462999997</v>
      </c>
      <c r="G6" s="31">
        <v>46452</v>
      </c>
      <c r="H6" s="19"/>
      <c r="I6" s="32">
        <v>6.6755400839561885</v>
      </c>
      <c r="J6" s="32">
        <v>6.6755400839561885</v>
      </c>
      <c r="K6" s="32">
        <v>14.35355933689706</v>
      </c>
      <c r="L6" s="32">
        <v>9.6259648931636974</v>
      </c>
      <c r="M6" s="32">
        <v>11.049148696637179</v>
      </c>
      <c r="N6" s="32">
        <v>8.7022104425803271</v>
      </c>
      <c r="O6" s="32">
        <v>8.7022104425803271</v>
      </c>
      <c r="P6" s="32">
        <v>17.879220688285514</v>
      </c>
      <c r="Q6" s="32">
        <v>12.280017716539128</v>
      </c>
      <c r="R6" s="32">
        <v>13.372685398417739</v>
      </c>
      <c r="S6" s="19"/>
      <c r="T6" s="32">
        <v>10.476499391965241</v>
      </c>
      <c r="U6" s="32">
        <v>11.581168567360802</v>
      </c>
      <c r="V6" s="20"/>
      <c r="W6" s="32">
        <v>0.5</v>
      </c>
      <c r="X6" s="32" t="s">
        <v>81</v>
      </c>
      <c r="Y6" s="32">
        <v>0.81</v>
      </c>
      <c r="Z6" s="53"/>
      <c r="AA6" s="53"/>
    </row>
    <row r="7" spans="1:27" customFormat="1" ht="14.5" x14ac:dyDescent="0.35">
      <c r="A7" s="28" t="s">
        <v>79</v>
      </c>
      <c r="B7" s="28" t="s">
        <v>8</v>
      </c>
      <c r="C7" s="28" t="s">
        <v>93</v>
      </c>
      <c r="D7" s="61" t="s">
        <v>170</v>
      </c>
      <c r="E7" s="30">
        <v>97</v>
      </c>
      <c r="F7" s="29">
        <v>541.15940119000004</v>
      </c>
      <c r="G7" s="31">
        <v>96020</v>
      </c>
      <c r="H7" s="19"/>
      <c r="I7" s="32">
        <v>4.703823513814509</v>
      </c>
      <c r="J7" s="32">
        <v>4.703823513814509</v>
      </c>
      <c r="K7" s="32">
        <v>12.858816801412987</v>
      </c>
      <c r="L7" s="32">
        <v>9.4615120341429382</v>
      </c>
      <c r="M7" s="32">
        <v>10.682627251066791</v>
      </c>
      <c r="N7" s="32">
        <v>7.4805837650161022</v>
      </c>
      <c r="O7" s="32">
        <v>7.4805837650161022</v>
      </c>
      <c r="P7" s="32">
        <v>16.213888808158284</v>
      </c>
      <c r="Q7" s="32">
        <v>11.209001206646164</v>
      </c>
      <c r="R7" s="32">
        <v>12.314826316842108</v>
      </c>
      <c r="S7" s="19"/>
      <c r="T7" s="32">
        <v>10.607804923471175</v>
      </c>
      <c r="U7" s="32">
        <v>11.17935919350767</v>
      </c>
      <c r="V7" s="20"/>
      <c r="W7" s="32">
        <v>0.41000000000000003</v>
      </c>
      <c r="X7" s="32" t="s">
        <v>81</v>
      </c>
      <c r="Y7" s="32">
        <v>0.68300000000000005</v>
      </c>
      <c r="Z7" s="53"/>
      <c r="AA7" s="53"/>
    </row>
    <row r="8" spans="1:27" customFormat="1" ht="14.5" x14ac:dyDescent="0.35">
      <c r="A8" s="28" t="s">
        <v>106</v>
      </c>
      <c r="B8" s="28" t="s">
        <v>10</v>
      </c>
      <c r="C8" s="28" t="s">
        <v>108</v>
      </c>
      <c r="D8" s="61" t="s">
        <v>170</v>
      </c>
      <c r="E8" s="30">
        <v>90</v>
      </c>
      <c r="F8" s="29">
        <v>178.95154391</v>
      </c>
      <c r="G8" s="31">
        <v>34360</v>
      </c>
      <c r="H8" s="19"/>
      <c r="I8" s="32">
        <v>9.999477561255965</v>
      </c>
      <c r="J8" s="32">
        <v>9.999477561255965</v>
      </c>
      <c r="K8" s="32">
        <v>16.734572112789571</v>
      </c>
      <c r="L8" s="32">
        <v>10.839230916621933</v>
      </c>
      <c r="M8" s="32">
        <v>11.213491496826865</v>
      </c>
      <c r="N8" s="32">
        <v>5.9134873298321455</v>
      </c>
      <c r="O8" s="32">
        <v>5.9134873298321455</v>
      </c>
      <c r="P8" s="32">
        <v>14.346589188102898</v>
      </c>
      <c r="Q8" s="32">
        <v>10.419378240826216</v>
      </c>
      <c r="R8" s="32">
        <v>11.472871936744934</v>
      </c>
      <c r="S8" s="19"/>
      <c r="T8" s="32">
        <v>10.162212138274631</v>
      </c>
      <c r="U8" s="32">
        <v>10.520281325119972</v>
      </c>
      <c r="V8" s="20"/>
      <c r="W8" s="32">
        <v>0.5</v>
      </c>
      <c r="X8" s="32">
        <v>0.93</v>
      </c>
      <c r="Y8" s="32" t="s">
        <v>81</v>
      </c>
      <c r="Z8" s="53"/>
      <c r="AA8" s="53"/>
    </row>
    <row r="9" spans="1:27" customFormat="1" ht="13.5" customHeight="1" x14ac:dyDescent="0.35">
      <c r="A9" s="28" t="s">
        <v>113</v>
      </c>
      <c r="B9" s="28" t="s">
        <v>115</v>
      </c>
      <c r="C9" s="28" t="s">
        <v>125</v>
      </c>
      <c r="D9" s="61" t="s">
        <v>171</v>
      </c>
      <c r="E9" s="30">
        <v>100</v>
      </c>
      <c r="F9" s="29">
        <v>77.413357075200011</v>
      </c>
      <c r="G9" s="31">
        <v>13448</v>
      </c>
      <c r="H9" s="19"/>
      <c r="I9" s="32">
        <v>8.4169884169884135</v>
      </c>
      <c r="J9" s="32">
        <v>8.4169884169884135</v>
      </c>
      <c r="K9" s="32">
        <v>16.458555907883476</v>
      </c>
      <c r="L9" s="32" t="s">
        <v>139</v>
      </c>
      <c r="M9" s="32">
        <v>10.407047979066864</v>
      </c>
      <c r="N9" s="32">
        <v>7.5572112825971427</v>
      </c>
      <c r="O9" s="32">
        <v>7.5572112825971427</v>
      </c>
      <c r="P9" s="32">
        <v>16.293219886891762</v>
      </c>
      <c r="Q9" s="32" t="s">
        <v>139</v>
      </c>
      <c r="R9" s="32">
        <v>10.651886901039331</v>
      </c>
      <c r="S9" s="19"/>
      <c r="T9" s="32">
        <v>11.234738027708449</v>
      </c>
      <c r="U9" s="32">
        <v>11.471015332834895</v>
      </c>
      <c r="V9" s="20"/>
      <c r="W9" s="32">
        <v>0.4466</v>
      </c>
      <c r="X9" s="32">
        <v>0.5766</v>
      </c>
      <c r="Y9" s="32" t="s">
        <v>81</v>
      </c>
      <c r="Z9" s="53"/>
      <c r="AA9" s="53"/>
    </row>
    <row r="10" spans="1:27"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7" s="51" customFormat="1" ht="13.5" x14ac:dyDescent="0.3">
      <c r="A11" s="49" t="s">
        <v>173</v>
      </c>
      <c r="B11" s="45"/>
      <c r="C11" s="45"/>
      <c r="D11" s="50"/>
      <c r="E11" s="50"/>
      <c r="F11" s="50"/>
      <c r="G11" s="50"/>
      <c r="H11" s="50"/>
      <c r="I11" s="50"/>
      <c r="J11" s="50"/>
      <c r="K11" s="50"/>
      <c r="L11" s="50"/>
      <c r="M11" s="50"/>
      <c r="N11" s="50"/>
      <c r="O11" s="50"/>
      <c r="P11" s="50"/>
      <c r="Q11" s="50"/>
      <c r="R11" s="50"/>
    </row>
    <row r="12" spans="1:27" s="51" customFormat="1" ht="13.5" x14ac:dyDescent="0.3">
      <c r="A12" s="45" t="s">
        <v>83</v>
      </c>
      <c r="B12" s="49"/>
      <c r="C12" s="49"/>
    </row>
    <row r="13" spans="1:27" s="51" customFormat="1" ht="13.5" x14ac:dyDescent="0.3">
      <c r="A13" s="49" t="s">
        <v>85</v>
      </c>
      <c r="B13" s="49"/>
      <c r="C13" s="49"/>
    </row>
    <row r="14" spans="1:27" s="51" customFormat="1" ht="13.5" x14ac:dyDescent="0.3">
      <c r="A14" s="49" t="s">
        <v>86</v>
      </c>
      <c r="B14" s="49"/>
      <c r="C14" s="49"/>
    </row>
    <row r="15" spans="1:27" s="51" customFormat="1" ht="13.5" x14ac:dyDescent="0.3">
      <c r="A15" s="49" t="s">
        <v>172</v>
      </c>
      <c r="B15" s="50"/>
      <c r="C15" s="50"/>
    </row>
    <row r="16" spans="1:27" s="51" customFormat="1" ht="13.5" x14ac:dyDescent="0.3">
      <c r="A16" s="52" t="s">
        <v>105</v>
      </c>
      <c r="B16" s="50"/>
      <c r="C16" s="50"/>
    </row>
    <row r="17" spans="1:4" s="51" customFormat="1" ht="13.5" x14ac:dyDescent="0.3">
      <c r="A17" s="52" t="s">
        <v>91</v>
      </c>
    </row>
    <row r="18" spans="1:4" s="51" customFormat="1" ht="13.5" x14ac:dyDescent="0.3">
      <c r="A18" s="52" t="s">
        <v>174</v>
      </c>
    </row>
    <row r="19" spans="1:4" s="51" customFormat="1" ht="13.5" x14ac:dyDescent="0.3">
      <c r="A19" s="52" t="s">
        <v>132</v>
      </c>
    </row>
    <row r="20" spans="1:4" s="51" customFormat="1" ht="13.5" x14ac:dyDescent="0.3">
      <c r="A20" s="52" t="s">
        <v>133</v>
      </c>
    </row>
    <row r="21" spans="1:4" s="51" customFormat="1" ht="13.5" x14ac:dyDescent="0.3">
      <c r="A21" s="52" t="s">
        <v>136</v>
      </c>
    </row>
    <row r="22" spans="1:4" s="51" customFormat="1" ht="13.5" x14ac:dyDescent="0.3">
      <c r="A22" s="52" t="s">
        <v>135</v>
      </c>
    </row>
    <row r="23" spans="1:4" s="51" customFormat="1" ht="13.5" x14ac:dyDescent="0.3">
      <c r="A23" s="82" t="s">
        <v>156</v>
      </c>
    </row>
    <row r="24" spans="1:4" x14ac:dyDescent="0.35">
      <c r="A24" s="52"/>
    </row>
    <row r="25" spans="1:4" x14ac:dyDescent="0.35">
      <c r="A25" s="33" t="s">
        <v>103</v>
      </c>
      <c r="B25" s="33"/>
      <c r="C25" s="33"/>
      <c r="D25" s="33"/>
    </row>
    <row r="26" spans="1:4" s="51" customFormat="1" ht="13.5" x14ac:dyDescent="0.3">
      <c r="A26" s="49" t="s">
        <v>73</v>
      </c>
      <c r="B26" s="50"/>
      <c r="C26" s="50"/>
    </row>
    <row r="27" spans="1:4" s="51" customFormat="1" ht="13.5" x14ac:dyDescent="0.3">
      <c r="A27" s="49" t="s">
        <v>74</v>
      </c>
      <c r="B27" s="50"/>
      <c r="C27" s="50"/>
    </row>
    <row r="28" spans="1:4" x14ac:dyDescent="0.35">
      <c r="A28" s="15"/>
      <c r="B28" s="15"/>
      <c r="C28" s="15"/>
    </row>
    <row r="35" spans="1:3" x14ac:dyDescent="0.35">
      <c r="A35" s="33" t="s">
        <v>0</v>
      </c>
      <c r="B35" s="33" t="s">
        <v>63</v>
      </c>
      <c r="C35" s="33" t="s">
        <v>62</v>
      </c>
    </row>
    <row r="36" spans="1:3" x14ac:dyDescent="0.35">
      <c r="A36" s="28" t="s">
        <v>9</v>
      </c>
      <c r="B36" s="29">
        <v>10.060780921375136</v>
      </c>
      <c r="C36" s="29">
        <v>14.687655525371458</v>
      </c>
    </row>
    <row r="37" spans="1:3" x14ac:dyDescent="0.35">
      <c r="A37" s="28" t="s">
        <v>7</v>
      </c>
      <c r="B37" s="29">
        <v>9.0700720338596934</v>
      </c>
      <c r="C37" s="29">
        <v>13.360042084340563</v>
      </c>
    </row>
    <row r="38" spans="1:3" x14ac:dyDescent="0.35">
      <c r="A38" s="28" t="s">
        <v>6</v>
      </c>
      <c r="B38" s="29">
        <v>10.476499391965241</v>
      </c>
      <c r="C38" s="29">
        <v>14.35355933689706</v>
      </c>
    </row>
    <row r="39" spans="1:3" x14ac:dyDescent="0.35">
      <c r="A39" s="28" t="s">
        <v>8</v>
      </c>
      <c r="B39" s="29">
        <v>10.607804923471175</v>
      </c>
      <c r="C39" s="29">
        <v>12.858816801412987</v>
      </c>
    </row>
    <row r="40" spans="1:3" x14ac:dyDescent="0.35">
      <c r="A40" s="28" t="s">
        <v>10</v>
      </c>
      <c r="B40" s="29">
        <v>10.162212138274631</v>
      </c>
      <c r="C40" s="29">
        <v>16.734572112789571</v>
      </c>
    </row>
    <row r="41" spans="1:3" x14ac:dyDescent="0.35">
      <c r="A41" s="28" t="s">
        <v>115</v>
      </c>
      <c r="B41" s="29">
        <v>11.234738027708449</v>
      </c>
      <c r="C41" s="29">
        <v>16.458555907883476</v>
      </c>
    </row>
    <row r="57" spans="1:5" x14ac:dyDescent="0.35">
      <c r="A57" s="33" t="s">
        <v>104</v>
      </c>
      <c r="B57" s="33"/>
      <c r="C57" s="33"/>
      <c r="D57" s="33"/>
      <c r="E57" s="33"/>
    </row>
    <row r="58" spans="1:5" s="51" customFormat="1" ht="13.5" x14ac:dyDescent="0.3">
      <c r="A58" s="49" t="s">
        <v>75</v>
      </c>
      <c r="B58" s="50"/>
      <c r="C58" s="50"/>
    </row>
    <row r="59" spans="1:5" s="51" customFormat="1" ht="13.5" x14ac:dyDescent="0.3">
      <c r="A59" s="49" t="s">
        <v>76</v>
      </c>
      <c r="B59" s="50"/>
      <c r="C59" s="50"/>
    </row>
    <row r="60" spans="1:5" s="51" customFormat="1" ht="13.5" x14ac:dyDescent="0.3">
      <c r="A60" s="49" t="s">
        <v>77</v>
      </c>
      <c r="B60" s="50"/>
      <c r="C60" s="50"/>
    </row>
    <row r="65" spans="1:4" x14ac:dyDescent="0.35">
      <c r="A65" s="33" t="s">
        <v>0</v>
      </c>
      <c r="B65" s="33" t="s">
        <v>67</v>
      </c>
      <c r="C65" s="33" t="s">
        <v>68</v>
      </c>
      <c r="D65" s="33" t="s">
        <v>69</v>
      </c>
    </row>
    <row r="66" spans="1:4" x14ac:dyDescent="0.35">
      <c r="A66" s="28" t="s">
        <v>9</v>
      </c>
      <c r="B66" s="29">
        <v>22.623000000000001</v>
      </c>
      <c r="C66" s="29">
        <v>14.687655525371458</v>
      </c>
      <c r="D66" s="29">
        <v>103.47336728000001</v>
      </c>
    </row>
    <row r="67" spans="1:4" x14ac:dyDescent="0.35">
      <c r="A67" s="28" t="s">
        <v>7</v>
      </c>
      <c r="B67" s="29">
        <v>36.524000000000001</v>
      </c>
      <c r="C67" s="29">
        <v>13.360042084340563</v>
      </c>
      <c r="D67" s="29">
        <v>192.49501325</v>
      </c>
    </row>
    <row r="68" spans="1:4" x14ac:dyDescent="0.35">
      <c r="A68" s="28" t="s">
        <v>6</v>
      </c>
      <c r="B68" s="29">
        <v>46.451999999999998</v>
      </c>
      <c r="C68" s="29">
        <v>14.35355933689706</v>
      </c>
      <c r="D68" s="29">
        <v>279.46909462999997</v>
      </c>
    </row>
    <row r="69" spans="1:4" x14ac:dyDescent="0.35">
      <c r="A69" s="28" t="s">
        <v>8</v>
      </c>
      <c r="B69" s="29">
        <v>96.02</v>
      </c>
      <c r="C69" s="29">
        <v>12.858816801412987</v>
      </c>
      <c r="D69" s="29">
        <v>541.15940119000004</v>
      </c>
    </row>
    <row r="70" spans="1:4" x14ac:dyDescent="0.35">
      <c r="A70" s="28" t="s">
        <v>10</v>
      </c>
      <c r="B70" s="29">
        <v>34.36</v>
      </c>
      <c r="C70" s="29">
        <v>16.734572112789571</v>
      </c>
      <c r="D70" s="29">
        <v>178.95154391</v>
      </c>
    </row>
    <row r="71" spans="1:4" x14ac:dyDescent="0.35">
      <c r="A71" s="28" t="s">
        <v>115</v>
      </c>
      <c r="B71" s="29">
        <v>13.448</v>
      </c>
      <c r="C71" s="29">
        <v>16.458555907883476</v>
      </c>
      <c r="D71" s="29">
        <v>77.413357075200011</v>
      </c>
    </row>
  </sheetData>
  <mergeCells count="7">
    <mergeCell ref="W1:Y1"/>
    <mergeCell ref="T1:U1"/>
    <mergeCell ref="A3:C3"/>
    <mergeCell ref="D1:D2"/>
    <mergeCell ref="F1:F2"/>
    <mergeCell ref="G1:G2"/>
    <mergeCell ref="I1:P1"/>
  </mergeCells>
  <conditionalFormatting sqref="I3:R9">
    <cfRule type="cellIs" dxfId="35" priority="9" operator="greaterThanOrEqual">
      <formula>0</formula>
    </cfRule>
    <cfRule type="cellIs" dxfId="34" priority="10" operator="lessThan">
      <formula>0</formula>
    </cfRule>
  </conditionalFormatting>
  <conditionalFormatting sqref="T4:U9">
    <cfRule type="cellIs" dxfId="33" priority="13" operator="greaterThanOrEqual">
      <formula>0</formula>
    </cfRule>
    <cfRule type="cellIs" dxfId="32" priority="14" operator="lessThan">
      <formula>0</formula>
    </cfRule>
  </conditionalFormatting>
  <conditionalFormatting sqref="W4:Y9">
    <cfRule type="cellIs" dxfId="31" priority="7" operator="greaterThanOrEqual">
      <formula>0</formula>
    </cfRule>
    <cfRule type="cellIs" dxfId="30" priority="8" operator="lessThan">
      <formula>0</formula>
    </cfRule>
  </conditionalFormatting>
  <hyperlinks>
    <hyperlink ref="C1" location="GCF_2025!A1" display="GCF_2025!A1" xr:uid="{7B2BD667-41BB-44E2-A66E-07CCC5CB8EB7}"/>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71"/>
  <sheetViews>
    <sheetView showGridLines="0" zoomScale="70" zoomScaleNormal="70" workbookViewId="0"/>
  </sheetViews>
  <sheetFormatPr defaultColWidth="8.81640625" defaultRowHeight="15.5" x14ac:dyDescent="0.35"/>
  <cols>
    <col min="1" max="1" width="43.453125" style="13" customWidth="1"/>
    <col min="2" max="2" width="14.81640625" style="13" bestFit="1" customWidth="1"/>
    <col min="3" max="3" width="69.54296875" style="13" customWidth="1"/>
    <col min="4" max="4" width="13.54296875" style="13" customWidth="1"/>
    <col min="5" max="5" width="16.1796875" style="13" bestFit="1" customWidth="1"/>
    <col min="6" max="6" width="19.453125" style="13" customWidth="1"/>
    <col min="7" max="7" width="15.1796875" style="13" customWidth="1"/>
    <col min="8" max="8" width="1.453125" style="13" customWidth="1"/>
    <col min="9" max="10" width="16" style="13" customWidth="1"/>
    <col min="11" max="13" width="18.453125" style="13" customWidth="1"/>
    <col min="14" max="15" width="17.453125" style="13" customWidth="1"/>
    <col min="16" max="16" width="16.81640625" style="13" customWidth="1"/>
    <col min="17" max="18" width="17.453125" style="13" customWidth="1"/>
    <col min="19" max="19" width="1.453125" style="13" customWidth="1"/>
    <col min="20" max="20" width="19.54296875" style="13" customWidth="1"/>
    <col min="21" max="21" width="22.453125" style="13" customWidth="1"/>
    <col min="22" max="22" width="1.453125" style="13" customWidth="1"/>
    <col min="23" max="24" width="8.81640625" style="13"/>
    <col min="25" max="25" width="14.54296875" style="13" customWidth="1"/>
    <col min="26" max="16384" width="8.81640625" style="13"/>
  </cols>
  <sheetData>
    <row r="1" spans="1:27" ht="22.4" customHeight="1" x14ac:dyDescent="0.35">
      <c r="A1" s="95">
        <v>46022</v>
      </c>
      <c r="B1" s="22"/>
      <c r="C1" s="84" t="s">
        <v>66</v>
      </c>
      <c r="D1" s="103" t="s">
        <v>80</v>
      </c>
      <c r="E1" s="27" t="s">
        <v>65</v>
      </c>
      <c r="F1" s="103" t="s">
        <v>90</v>
      </c>
      <c r="G1" s="103" t="s">
        <v>61</v>
      </c>
      <c r="H1" s="24"/>
      <c r="I1" s="101" t="s">
        <v>62</v>
      </c>
      <c r="J1" s="107"/>
      <c r="K1" s="107">
        <v>0</v>
      </c>
      <c r="L1" s="107"/>
      <c r="M1" s="107"/>
      <c r="N1" s="107">
        <v>0</v>
      </c>
      <c r="O1" s="107"/>
      <c r="P1" s="107">
        <v>0</v>
      </c>
      <c r="Q1" s="81"/>
      <c r="R1" s="91"/>
      <c r="S1" s="25"/>
      <c r="T1" s="105" t="s">
        <v>87</v>
      </c>
      <c r="U1" s="106">
        <v>0</v>
      </c>
      <c r="V1" s="25"/>
      <c r="W1" s="101" t="s">
        <v>159</v>
      </c>
      <c r="X1" s="107">
        <v>0</v>
      </c>
      <c r="Y1" s="107">
        <v>0</v>
      </c>
    </row>
    <row r="2" spans="1:27" ht="94.5" x14ac:dyDescent="0.35">
      <c r="A2" s="21" t="s">
        <v>37</v>
      </c>
      <c r="B2" s="21" t="s">
        <v>38</v>
      </c>
      <c r="C2" s="21" t="s">
        <v>39</v>
      </c>
      <c r="D2" s="104">
        <v>0</v>
      </c>
      <c r="E2" s="21" t="s">
        <v>89</v>
      </c>
      <c r="F2" s="104">
        <v>0</v>
      </c>
      <c r="G2" s="104">
        <v>0</v>
      </c>
      <c r="H2" s="24"/>
      <c r="I2" s="59" t="s">
        <v>82</v>
      </c>
      <c r="J2" s="90" t="s">
        <v>154</v>
      </c>
      <c r="K2" s="21" t="s">
        <v>137</v>
      </c>
      <c r="L2" s="21" t="s">
        <v>151</v>
      </c>
      <c r="M2" s="21" t="s">
        <v>158</v>
      </c>
      <c r="N2" s="21" t="s">
        <v>84</v>
      </c>
      <c r="O2" s="21" t="s">
        <v>155</v>
      </c>
      <c r="P2" s="21" t="s">
        <v>138</v>
      </c>
      <c r="Q2" s="21" t="s">
        <v>152</v>
      </c>
      <c r="R2" s="21" t="s">
        <v>157</v>
      </c>
      <c r="S2" s="26"/>
      <c r="T2" s="21" t="s">
        <v>101</v>
      </c>
      <c r="U2" s="21" t="s">
        <v>102</v>
      </c>
      <c r="V2" s="26"/>
      <c r="W2" s="21" t="s">
        <v>129</v>
      </c>
      <c r="X2" s="21" t="s">
        <v>130</v>
      </c>
      <c r="Y2" s="21" t="s">
        <v>131</v>
      </c>
    </row>
    <row r="3" spans="1:27" ht="29.15" customHeight="1" x14ac:dyDescent="0.35">
      <c r="A3" s="100" t="s">
        <v>46</v>
      </c>
      <c r="B3" s="100"/>
      <c r="C3" s="100"/>
      <c r="D3" s="40"/>
      <c r="E3" s="40"/>
      <c r="F3" s="41"/>
      <c r="G3" s="65" t="s">
        <v>88</v>
      </c>
      <c r="H3" s="41"/>
      <c r="I3" s="62">
        <v>6.8018139289737078</v>
      </c>
      <c r="J3" s="62">
        <v>6.8018139289737078</v>
      </c>
      <c r="K3" s="62">
        <v>14.120697567869133</v>
      </c>
      <c r="L3" s="62">
        <v>9.7681313110955461</v>
      </c>
      <c r="M3" s="62">
        <v>10.940750317553034</v>
      </c>
      <c r="N3" s="62">
        <v>7.8496557558402813</v>
      </c>
      <c r="O3" s="62">
        <v>7.8496557558402813</v>
      </c>
      <c r="P3" s="62">
        <v>16.272347666010265</v>
      </c>
      <c r="Q3" s="62">
        <v>11.263214326731493</v>
      </c>
      <c r="R3" s="62">
        <v>12.359966880043883</v>
      </c>
      <c r="S3" s="41"/>
      <c r="T3" s="41"/>
      <c r="U3" s="41"/>
      <c r="V3" s="41"/>
      <c r="W3" s="41"/>
      <c r="X3" s="41"/>
      <c r="Y3" s="41"/>
    </row>
    <row r="4" spans="1:27" customFormat="1" ht="14.5" x14ac:dyDescent="0.35">
      <c r="A4" s="28" t="s">
        <v>31</v>
      </c>
      <c r="B4" s="28" t="s">
        <v>14</v>
      </c>
      <c r="C4" s="28" t="s">
        <v>47</v>
      </c>
      <c r="D4" s="61" t="s">
        <v>170</v>
      </c>
      <c r="E4" s="30">
        <v>90</v>
      </c>
      <c r="F4" s="29">
        <v>182.51374527000002</v>
      </c>
      <c r="G4" s="31">
        <v>28878</v>
      </c>
      <c r="H4" s="19"/>
      <c r="I4" s="32">
        <v>7.4398249452954257</v>
      </c>
      <c r="J4" s="32">
        <v>7.4398249452954257</v>
      </c>
      <c r="K4" s="32">
        <v>14.738979712062616</v>
      </c>
      <c r="L4" s="32">
        <v>8.5308701789374997</v>
      </c>
      <c r="M4" s="32">
        <v>10.503334224805251</v>
      </c>
      <c r="N4" s="32">
        <v>8.8673132981066836</v>
      </c>
      <c r="O4" s="32">
        <v>8.8673132981066836</v>
      </c>
      <c r="P4" s="32">
        <v>15.67899269516364</v>
      </c>
      <c r="Q4" s="32">
        <v>10.173083643722247</v>
      </c>
      <c r="R4" s="32">
        <v>11.673337669486195</v>
      </c>
      <c r="S4" s="19"/>
      <c r="T4" s="32">
        <v>10.004815825188922</v>
      </c>
      <c r="U4" s="32">
        <v>10.378471888012665</v>
      </c>
      <c r="V4" s="20"/>
      <c r="W4" s="32">
        <v>0.49</v>
      </c>
      <c r="X4" s="32">
        <v>0.72</v>
      </c>
      <c r="Y4" s="32" t="s">
        <v>81</v>
      </c>
      <c r="Z4" s="53"/>
      <c r="AA4" s="53"/>
    </row>
    <row r="5" spans="1:27" customFormat="1" ht="14.5" x14ac:dyDescent="0.35">
      <c r="A5" s="28" t="s">
        <v>167</v>
      </c>
      <c r="B5" s="28" t="s">
        <v>12</v>
      </c>
      <c r="C5" s="28" t="s">
        <v>163</v>
      </c>
      <c r="D5" s="61" t="s">
        <v>170</v>
      </c>
      <c r="E5" s="30">
        <v>97</v>
      </c>
      <c r="F5" s="29">
        <v>321.58774989999995</v>
      </c>
      <c r="G5" s="31">
        <v>42682</v>
      </c>
      <c r="H5" s="19"/>
      <c r="I5" s="32">
        <v>8.1311373201018213</v>
      </c>
      <c r="J5" s="32">
        <v>8.1311373201018213</v>
      </c>
      <c r="K5" s="32">
        <v>13.356768950158493</v>
      </c>
      <c r="L5" s="32">
        <v>10.220275992661087</v>
      </c>
      <c r="M5" s="32">
        <v>11.029359550053798</v>
      </c>
      <c r="N5" s="32">
        <v>8.4179276277735369</v>
      </c>
      <c r="O5" s="32">
        <v>8.4179276277735369</v>
      </c>
      <c r="P5" s="32">
        <v>15.601022079863602</v>
      </c>
      <c r="Q5" s="32">
        <v>10.945157925545868</v>
      </c>
      <c r="R5" s="32">
        <v>12.26688829459901</v>
      </c>
      <c r="S5" s="19"/>
      <c r="T5" s="32">
        <v>9.0340028173807809</v>
      </c>
      <c r="U5" s="32">
        <v>11.21035248043421</v>
      </c>
      <c r="V5" s="20"/>
      <c r="W5" s="32">
        <v>0.5</v>
      </c>
      <c r="X5" s="32">
        <v>1.26</v>
      </c>
      <c r="Y5" s="32">
        <v>1.26</v>
      </c>
      <c r="Z5" s="53"/>
      <c r="AA5" s="53"/>
    </row>
    <row r="6" spans="1:27" customFormat="1" ht="14.5" x14ac:dyDescent="0.35">
      <c r="A6" s="28" t="s">
        <v>78</v>
      </c>
      <c r="B6" s="28" t="s">
        <v>11</v>
      </c>
      <c r="C6" s="28" t="s">
        <v>48</v>
      </c>
      <c r="D6" s="61" t="s">
        <v>170</v>
      </c>
      <c r="E6" s="30">
        <v>98</v>
      </c>
      <c r="F6" s="29">
        <v>578.57098887999996</v>
      </c>
      <c r="G6" s="31">
        <v>74338</v>
      </c>
      <c r="H6" s="19"/>
      <c r="I6" s="32">
        <v>6.6104294478527725</v>
      </c>
      <c r="J6" s="32">
        <v>6.6104294478527725</v>
      </c>
      <c r="K6" s="32">
        <v>14.244514790149744</v>
      </c>
      <c r="L6" s="32">
        <v>9.6034613758829721</v>
      </c>
      <c r="M6" s="32">
        <v>11.060555885607615</v>
      </c>
      <c r="N6" s="32">
        <v>8.7022104425803271</v>
      </c>
      <c r="O6" s="32">
        <v>8.7022104425803271</v>
      </c>
      <c r="P6" s="32">
        <v>17.879220688285514</v>
      </c>
      <c r="Q6" s="32">
        <v>12.280017716539128</v>
      </c>
      <c r="R6" s="32">
        <v>13.372685398417739</v>
      </c>
      <c r="S6" s="19"/>
      <c r="T6" s="32">
        <v>10.423404223592344</v>
      </c>
      <c r="U6" s="32">
        <v>11.581168567360802</v>
      </c>
      <c r="V6" s="20"/>
      <c r="W6" s="32">
        <v>0.5</v>
      </c>
      <c r="X6" s="32" t="s">
        <v>81</v>
      </c>
      <c r="Y6" s="32">
        <v>0.82</v>
      </c>
      <c r="Z6" s="53"/>
      <c r="AA6" s="53"/>
    </row>
    <row r="7" spans="1:27" customFormat="1" ht="14.5" x14ac:dyDescent="0.35">
      <c r="A7" s="28" t="s">
        <v>79</v>
      </c>
      <c r="B7" s="28" t="s">
        <v>13</v>
      </c>
      <c r="C7" s="28" t="s">
        <v>94</v>
      </c>
      <c r="D7" s="61" t="s">
        <v>170</v>
      </c>
      <c r="E7" s="30">
        <v>97</v>
      </c>
      <c r="F7" s="29">
        <v>733.87588208</v>
      </c>
      <c r="G7" s="31">
        <v>114002</v>
      </c>
      <c r="H7" s="19"/>
      <c r="I7" s="32">
        <v>4.6840500473136482</v>
      </c>
      <c r="J7" s="32">
        <v>4.6840500473136482</v>
      </c>
      <c r="K7" s="32">
        <v>12.898400526823494</v>
      </c>
      <c r="L7" s="32">
        <v>9.6099029617420229</v>
      </c>
      <c r="M7" s="32">
        <v>10.836959360003441</v>
      </c>
      <c r="N7" s="32">
        <v>7.4805837650161022</v>
      </c>
      <c r="O7" s="32">
        <v>7.4805837650161022</v>
      </c>
      <c r="P7" s="32">
        <v>16.213888808158284</v>
      </c>
      <c r="Q7" s="32">
        <v>11.209001206646164</v>
      </c>
      <c r="R7" s="32">
        <v>12.314826316842108</v>
      </c>
      <c r="S7" s="19"/>
      <c r="T7" s="32">
        <v>10.600653385256519</v>
      </c>
      <c r="U7" s="32">
        <v>11.17935919350767</v>
      </c>
      <c r="V7" s="20"/>
      <c r="W7" s="32">
        <v>0.41000000000000003</v>
      </c>
      <c r="X7" s="32" t="s">
        <v>81</v>
      </c>
      <c r="Y7" s="32">
        <v>0.68959999999999999</v>
      </c>
      <c r="Z7" s="53"/>
      <c r="AA7" s="53"/>
    </row>
    <row r="8" spans="1:27" customFormat="1" ht="14.5" x14ac:dyDescent="0.35">
      <c r="A8" s="28" t="s">
        <v>106</v>
      </c>
      <c r="B8" s="28" t="s">
        <v>15</v>
      </c>
      <c r="C8" s="28" t="s">
        <v>109</v>
      </c>
      <c r="D8" s="61" t="s">
        <v>170</v>
      </c>
      <c r="E8" s="30">
        <v>90</v>
      </c>
      <c r="F8" s="29">
        <v>293.01942564000001</v>
      </c>
      <c r="G8" s="31">
        <v>48030</v>
      </c>
      <c r="H8" s="19"/>
      <c r="I8" s="32">
        <v>10.186588616526414</v>
      </c>
      <c r="J8" s="32">
        <v>10.186588616526414</v>
      </c>
      <c r="K8" s="32">
        <v>16.752115235267585</v>
      </c>
      <c r="L8" s="32">
        <v>10.76399084635511</v>
      </c>
      <c r="M8" s="32">
        <v>11.233837988872185</v>
      </c>
      <c r="N8" s="32">
        <v>5.9134873298321455</v>
      </c>
      <c r="O8" s="32">
        <v>5.9134873298321455</v>
      </c>
      <c r="P8" s="32">
        <v>14.346589188102898</v>
      </c>
      <c r="Q8" s="32">
        <v>10.419378240826216</v>
      </c>
      <c r="R8" s="32">
        <v>11.472871936744934</v>
      </c>
      <c r="S8" s="19"/>
      <c r="T8" s="32">
        <v>10.177915857696405</v>
      </c>
      <c r="U8" s="32">
        <v>10.520281325119972</v>
      </c>
      <c r="V8" s="20"/>
      <c r="W8" s="32">
        <v>0.5</v>
      </c>
      <c r="X8" s="32">
        <v>0.97</v>
      </c>
      <c r="Y8" s="32" t="s">
        <v>81</v>
      </c>
      <c r="Z8" s="53"/>
      <c r="AA8" s="53"/>
    </row>
    <row r="9" spans="1:27" customFormat="1" ht="14.5" x14ac:dyDescent="0.35">
      <c r="A9" s="28" t="s">
        <v>113</v>
      </c>
      <c r="B9" s="28" t="s">
        <v>116</v>
      </c>
      <c r="C9" s="28" t="s">
        <v>124</v>
      </c>
      <c r="D9" s="61" t="s">
        <v>171</v>
      </c>
      <c r="E9" s="30">
        <v>100</v>
      </c>
      <c r="F9" s="29">
        <v>80.566327821599998</v>
      </c>
      <c r="G9" s="31">
        <v>10505</v>
      </c>
      <c r="H9" s="19"/>
      <c r="I9" s="32">
        <v>8.4049739023641443</v>
      </c>
      <c r="J9" s="32">
        <v>8.4049739023641443</v>
      </c>
      <c r="K9" s="32">
        <v>16.443577031901601</v>
      </c>
      <c r="L9" s="32" t="s">
        <v>139</v>
      </c>
      <c r="M9" s="32">
        <v>10.597084152154967</v>
      </c>
      <c r="N9" s="32">
        <v>7.5572112825971427</v>
      </c>
      <c r="O9" s="32">
        <v>7.5572112825971427</v>
      </c>
      <c r="P9" s="32">
        <v>16.293219886891762</v>
      </c>
      <c r="Q9" s="32" t="s">
        <v>139</v>
      </c>
      <c r="R9" s="32">
        <v>10.651886901039331</v>
      </c>
      <c r="S9" s="19"/>
      <c r="T9" s="32">
        <v>11.256194729207639</v>
      </c>
      <c r="U9" s="32">
        <v>11.471015332834895</v>
      </c>
      <c r="V9" s="20"/>
      <c r="W9" s="32">
        <v>0.4466</v>
      </c>
      <c r="X9" s="32">
        <v>0.57699999999999996</v>
      </c>
      <c r="Y9" s="32" t="s">
        <v>81</v>
      </c>
      <c r="Z9" s="53"/>
      <c r="AA9" s="53"/>
    </row>
    <row r="10" spans="1:27"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7" s="51" customFormat="1" ht="13.5" x14ac:dyDescent="0.3">
      <c r="A11" s="49" t="s">
        <v>173</v>
      </c>
      <c r="B11" s="45"/>
      <c r="C11" s="45"/>
      <c r="D11" s="50"/>
      <c r="E11" s="50"/>
      <c r="F11" s="50"/>
      <c r="G11" s="50"/>
      <c r="H11" s="50"/>
      <c r="I11" s="50"/>
      <c r="J11" s="50"/>
      <c r="K11" s="50"/>
      <c r="L11" s="50"/>
      <c r="M11" s="50"/>
      <c r="N11" s="50"/>
      <c r="O11" s="50"/>
      <c r="P11" s="50"/>
      <c r="Q11" s="50"/>
      <c r="R11" s="50"/>
    </row>
    <row r="12" spans="1:27" s="51" customFormat="1" ht="13.5" x14ac:dyDescent="0.3">
      <c r="A12" s="45" t="s">
        <v>83</v>
      </c>
      <c r="B12" s="49"/>
      <c r="C12" s="49"/>
    </row>
    <row r="13" spans="1:27" s="51" customFormat="1" ht="13.5" x14ac:dyDescent="0.3">
      <c r="A13" s="49" t="s">
        <v>85</v>
      </c>
      <c r="B13" s="49"/>
      <c r="C13" s="49"/>
    </row>
    <row r="14" spans="1:27" s="51" customFormat="1" ht="13.5" x14ac:dyDescent="0.3">
      <c r="A14" s="49" t="s">
        <v>86</v>
      </c>
      <c r="B14" s="49"/>
      <c r="C14" s="49"/>
    </row>
    <row r="15" spans="1:27" s="51" customFormat="1" ht="13.5" x14ac:dyDescent="0.3">
      <c r="A15" s="49" t="s">
        <v>172</v>
      </c>
      <c r="B15" s="50"/>
      <c r="C15" s="50"/>
    </row>
    <row r="16" spans="1:27" s="51" customFormat="1" ht="13.5" x14ac:dyDescent="0.3">
      <c r="A16" s="52" t="s">
        <v>105</v>
      </c>
      <c r="B16" s="50"/>
      <c r="C16" s="50"/>
    </row>
    <row r="17" spans="1:4" s="51" customFormat="1" ht="13.5" x14ac:dyDescent="0.3">
      <c r="A17" s="52" t="s">
        <v>91</v>
      </c>
    </row>
    <row r="18" spans="1:4" s="51" customFormat="1" ht="13.5" x14ac:dyDescent="0.3">
      <c r="A18" s="52" t="s">
        <v>174</v>
      </c>
    </row>
    <row r="19" spans="1:4" s="51" customFormat="1" ht="13.5" x14ac:dyDescent="0.3">
      <c r="A19" s="52" t="s">
        <v>132</v>
      </c>
    </row>
    <row r="20" spans="1:4" s="51" customFormat="1" ht="13.5" x14ac:dyDescent="0.3">
      <c r="A20" s="52" t="s">
        <v>133</v>
      </c>
    </row>
    <row r="21" spans="1:4" s="51" customFormat="1" ht="13.5" x14ac:dyDescent="0.3">
      <c r="A21" s="52" t="s">
        <v>136</v>
      </c>
    </row>
    <row r="22" spans="1:4" s="51" customFormat="1" ht="13.5" x14ac:dyDescent="0.3">
      <c r="A22" s="52" t="s">
        <v>135</v>
      </c>
    </row>
    <row r="23" spans="1:4" s="51" customFormat="1" ht="13.5" x14ac:dyDescent="0.3">
      <c r="A23" s="82" t="s">
        <v>156</v>
      </c>
      <c r="B23" s="92"/>
    </row>
    <row r="24" spans="1:4" x14ac:dyDescent="0.35">
      <c r="A24" s="52"/>
    </row>
    <row r="25" spans="1:4" x14ac:dyDescent="0.35">
      <c r="A25" s="33" t="s">
        <v>103</v>
      </c>
      <c r="B25" s="33"/>
      <c r="C25" s="33"/>
      <c r="D25" s="33"/>
    </row>
    <row r="26" spans="1:4" s="51" customFormat="1" ht="13.5" x14ac:dyDescent="0.3">
      <c r="A26" s="49" t="s">
        <v>73</v>
      </c>
      <c r="B26" s="50"/>
      <c r="C26" s="50"/>
    </row>
    <row r="27" spans="1:4" s="51" customFormat="1" ht="13.5" x14ac:dyDescent="0.3">
      <c r="A27" s="49" t="s">
        <v>74</v>
      </c>
      <c r="B27" s="50"/>
      <c r="C27" s="50"/>
    </row>
    <row r="28" spans="1:4" x14ac:dyDescent="0.35">
      <c r="A28" s="15"/>
      <c r="B28" s="15"/>
      <c r="C28" s="15"/>
    </row>
    <row r="35" spans="1:3" x14ac:dyDescent="0.35">
      <c r="A35" s="33" t="s">
        <v>0</v>
      </c>
      <c r="B35" s="33" t="s">
        <v>63</v>
      </c>
      <c r="C35" s="33" t="s">
        <v>62</v>
      </c>
    </row>
    <row r="36" spans="1:3" x14ac:dyDescent="0.35">
      <c r="A36" s="28" t="s">
        <v>14</v>
      </c>
      <c r="B36" s="29">
        <v>10.004815825188922</v>
      </c>
      <c r="C36" s="29">
        <v>14.738979712062616</v>
      </c>
    </row>
    <row r="37" spans="1:3" x14ac:dyDescent="0.35">
      <c r="A37" s="28" t="s">
        <v>12</v>
      </c>
      <c r="B37" s="29">
        <v>9.0340028173807809</v>
      </c>
      <c r="C37" s="29">
        <v>13.356768950158493</v>
      </c>
    </row>
    <row r="38" spans="1:3" x14ac:dyDescent="0.35">
      <c r="A38" s="28" t="s">
        <v>11</v>
      </c>
      <c r="B38" s="29">
        <v>10.423404223592344</v>
      </c>
      <c r="C38" s="29">
        <v>14.244514790149744</v>
      </c>
    </row>
    <row r="39" spans="1:3" x14ac:dyDescent="0.35">
      <c r="A39" s="28" t="s">
        <v>13</v>
      </c>
      <c r="B39" s="29">
        <v>10.600653385256519</v>
      </c>
      <c r="C39" s="29">
        <v>12.898400526823494</v>
      </c>
    </row>
    <row r="40" spans="1:3" x14ac:dyDescent="0.35">
      <c r="A40" s="28" t="s">
        <v>15</v>
      </c>
      <c r="B40" s="29">
        <v>10.177915857696405</v>
      </c>
      <c r="C40" s="29">
        <v>16.752115235267585</v>
      </c>
    </row>
    <row r="41" spans="1:3" x14ac:dyDescent="0.35">
      <c r="A41" s="28" t="s">
        <v>116</v>
      </c>
      <c r="B41" s="29">
        <v>11.256194729207639</v>
      </c>
      <c r="C41" s="29">
        <v>16.443577031901601</v>
      </c>
    </row>
    <row r="57" spans="1:5" x14ac:dyDescent="0.35">
      <c r="A57" s="33" t="s">
        <v>104</v>
      </c>
      <c r="B57" s="33"/>
      <c r="C57" s="33"/>
      <c r="D57" s="33"/>
      <c r="E57" s="33"/>
    </row>
    <row r="58" spans="1:5" s="51" customFormat="1" ht="13.5" x14ac:dyDescent="0.3">
      <c r="A58" s="49" t="s">
        <v>75</v>
      </c>
      <c r="B58" s="50"/>
      <c r="C58" s="50"/>
    </row>
    <row r="59" spans="1:5" s="51" customFormat="1" ht="13.5" x14ac:dyDescent="0.3">
      <c r="A59" s="49" t="s">
        <v>76</v>
      </c>
      <c r="B59" s="50"/>
      <c r="C59" s="50"/>
    </row>
    <row r="60" spans="1:5" s="51" customFormat="1" ht="13.5" x14ac:dyDescent="0.3">
      <c r="A60" s="49" t="s">
        <v>77</v>
      </c>
      <c r="B60" s="50"/>
      <c r="C60" s="50"/>
    </row>
    <row r="65" spans="1:4" x14ac:dyDescent="0.35">
      <c r="A65" s="33" t="s">
        <v>0</v>
      </c>
      <c r="B65" s="33" t="s">
        <v>67</v>
      </c>
      <c r="C65" s="33" t="s">
        <v>68</v>
      </c>
      <c r="D65" s="33" t="s">
        <v>69</v>
      </c>
    </row>
    <row r="66" spans="1:4" x14ac:dyDescent="0.35">
      <c r="A66" s="28" t="s">
        <v>14</v>
      </c>
      <c r="B66" s="29">
        <v>28.878</v>
      </c>
      <c r="C66" s="29">
        <v>14.738979712062616</v>
      </c>
      <c r="D66" s="29">
        <v>182.51374527000002</v>
      </c>
    </row>
    <row r="67" spans="1:4" x14ac:dyDescent="0.35">
      <c r="A67" s="28" t="s">
        <v>12</v>
      </c>
      <c r="B67" s="29">
        <v>42.682000000000002</v>
      </c>
      <c r="C67" s="29">
        <v>13.356768950158493</v>
      </c>
      <c r="D67" s="29">
        <v>321.58774989999995</v>
      </c>
    </row>
    <row r="68" spans="1:4" x14ac:dyDescent="0.35">
      <c r="A68" s="28" t="s">
        <v>11</v>
      </c>
      <c r="B68" s="29">
        <v>74.337999999999994</v>
      </c>
      <c r="C68" s="29">
        <v>14.244514790149744</v>
      </c>
      <c r="D68" s="29">
        <v>578.57098887999996</v>
      </c>
    </row>
    <row r="69" spans="1:4" x14ac:dyDescent="0.35">
      <c r="A69" s="28" t="s">
        <v>13</v>
      </c>
      <c r="B69" s="29">
        <v>114.002</v>
      </c>
      <c r="C69" s="29">
        <v>12.898400526823494</v>
      </c>
      <c r="D69" s="29">
        <v>733.87588208</v>
      </c>
    </row>
    <row r="70" spans="1:4" x14ac:dyDescent="0.35">
      <c r="A70" s="28" t="s">
        <v>15</v>
      </c>
      <c r="B70" s="29">
        <v>48.03</v>
      </c>
      <c r="C70" s="29">
        <v>16.752115235267585</v>
      </c>
      <c r="D70" s="29">
        <v>293.01942564000001</v>
      </c>
    </row>
    <row r="71" spans="1:4" x14ac:dyDescent="0.35">
      <c r="A71" s="28" t="s">
        <v>116</v>
      </c>
      <c r="B71" s="29">
        <v>10.505000000000001</v>
      </c>
      <c r="C71" s="29">
        <v>16.443577031901601</v>
      </c>
      <c r="D71" s="29">
        <v>80.566327821599998</v>
      </c>
    </row>
  </sheetData>
  <mergeCells count="7">
    <mergeCell ref="W1:Y1"/>
    <mergeCell ref="T1:U1"/>
    <mergeCell ref="A3:C3"/>
    <mergeCell ref="D1:D2"/>
    <mergeCell ref="F1:F2"/>
    <mergeCell ref="G1:G2"/>
    <mergeCell ref="I1:P1"/>
  </mergeCells>
  <conditionalFormatting sqref="I3:R9">
    <cfRule type="cellIs" dxfId="29" priority="1" operator="greaterThanOrEqual">
      <formula>0</formula>
    </cfRule>
    <cfRule type="cellIs" dxfId="28" priority="2" operator="lessThan">
      <formula>0</formula>
    </cfRule>
  </conditionalFormatting>
  <conditionalFormatting sqref="T4:U9">
    <cfRule type="cellIs" dxfId="27" priority="9" operator="greaterThanOrEqual">
      <formula>0</formula>
    </cfRule>
    <cfRule type="cellIs" dxfId="26" priority="10" operator="lessThan">
      <formula>0</formula>
    </cfRule>
  </conditionalFormatting>
  <conditionalFormatting sqref="W4:Y9">
    <cfRule type="cellIs" dxfId="25" priority="7" operator="greaterThanOrEqual">
      <formula>0</formula>
    </cfRule>
    <cfRule type="cellIs" dxfId="24" priority="8" operator="lessThan">
      <formula>0</formula>
    </cfRule>
  </conditionalFormatting>
  <hyperlinks>
    <hyperlink ref="C1" location="GCF_2025!A1" display="GCF_2025!A1" xr:uid="{45D2722D-1096-4F86-8FE6-03380A319701}"/>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71"/>
  <sheetViews>
    <sheetView showGridLines="0" zoomScale="70" zoomScaleNormal="70" workbookViewId="0"/>
  </sheetViews>
  <sheetFormatPr defaultColWidth="8.81640625" defaultRowHeight="15.5" x14ac:dyDescent="0.35"/>
  <cols>
    <col min="1" max="1" width="42.453125" style="13" customWidth="1"/>
    <col min="2" max="2" width="14.81640625" style="13" bestFit="1" customWidth="1"/>
    <col min="3" max="3" width="67.1796875" style="13" customWidth="1"/>
    <col min="4" max="4" width="13.453125" style="13" customWidth="1"/>
    <col min="5" max="5" width="15.1796875" style="13" customWidth="1"/>
    <col min="6" max="6" width="13" style="13" customWidth="1"/>
    <col min="7" max="7" width="14.453125" style="13" customWidth="1"/>
    <col min="8" max="8" width="1.1796875" style="13" customWidth="1"/>
    <col min="9" max="10" width="18.453125" style="13" customWidth="1"/>
    <col min="11" max="13" width="17.453125" style="13" customWidth="1"/>
    <col min="14" max="15" width="18.453125" style="13" customWidth="1"/>
    <col min="16" max="18" width="17.453125" style="13" customWidth="1"/>
    <col min="19" max="19" width="1.1796875" style="13" customWidth="1"/>
    <col min="20" max="21" width="18.453125" style="13" customWidth="1"/>
    <col min="22" max="22" width="1.1796875" style="13" customWidth="1"/>
    <col min="23" max="24" width="8.81640625" style="13"/>
    <col min="25" max="25" width="12.453125" style="13" customWidth="1"/>
    <col min="26" max="16384" width="8.81640625" style="13"/>
  </cols>
  <sheetData>
    <row r="1" spans="1:27" ht="22.4" customHeight="1" x14ac:dyDescent="0.35">
      <c r="A1" s="95">
        <v>46022</v>
      </c>
      <c r="B1" s="22"/>
      <c r="C1" s="84" t="s">
        <v>66</v>
      </c>
      <c r="D1" s="103" t="s">
        <v>80</v>
      </c>
      <c r="E1" s="27" t="s">
        <v>65</v>
      </c>
      <c r="F1" s="103" t="s">
        <v>90</v>
      </c>
      <c r="G1" s="103" t="s">
        <v>61</v>
      </c>
      <c r="H1" s="24"/>
      <c r="I1" s="101" t="s">
        <v>62</v>
      </c>
      <c r="J1" s="107"/>
      <c r="K1" s="107">
        <v>0</v>
      </c>
      <c r="L1" s="107"/>
      <c r="M1" s="107"/>
      <c r="N1" s="107">
        <v>0</v>
      </c>
      <c r="O1" s="107"/>
      <c r="P1" s="107">
        <v>0</v>
      </c>
      <c r="Q1" s="81"/>
      <c r="R1" s="91"/>
      <c r="S1" s="25"/>
      <c r="T1" s="105" t="s">
        <v>87</v>
      </c>
      <c r="U1" s="106">
        <v>0</v>
      </c>
      <c r="V1" s="25"/>
      <c r="W1" s="101" t="s">
        <v>159</v>
      </c>
      <c r="X1" s="107">
        <v>0</v>
      </c>
      <c r="Y1" s="107">
        <v>0</v>
      </c>
    </row>
    <row r="2" spans="1:27" ht="94.5" x14ac:dyDescent="0.35">
      <c r="A2" s="21" t="s">
        <v>37</v>
      </c>
      <c r="B2" s="21" t="s">
        <v>38</v>
      </c>
      <c r="C2" s="21" t="s">
        <v>39</v>
      </c>
      <c r="D2" s="104">
        <v>0</v>
      </c>
      <c r="E2" s="21" t="s">
        <v>89</v>
      </c>
      <c r="F2" s="104">
        <v>0</v>
      </c>
      <c r="G2" s="104">
        <v>0</v>
      </c>
      <c r="H2" s="24"/>
      <c r="I2" s="59" t="s">
        <v>82</v>
      </c>
      <c r="J2" s="90" t="s">
        <v>154</v>
      </c>
      <c r="K2" s="21" t="s">
        <v>137</v>
      </c>
      <c r="L2" s="21" t="s">
        <v>151</v>
      </c>
      <c r="M2" s="21" t="s">
        <v>158</v>
      </c>
      <c r="N2" s="21" t="s">
        <v>84</v>
      </c>
      <c r="O2" s="21" t="s">
        <v>155</v>
      </c>
      <c r="P2" s="21" t="s">
        <v>138</v>
      </c>
      <c r="Q2" s="21" t="s">
        <v>152</v>
      </c>
      <c r="R2" s="21" t="s">
        <v>157</v>
      </c>
      <c r="S2" s="26"/>
      <c r="T2" s="21" t="s">
        <v>101</v>
      </c>
      <c r="U2" s="21" t="s">
        <v>102</v>
      </c>
      <c r="V2" s="26"/>
      <c r="W2" s="21" t="s">
        <v>129</v>
      </c>
      <c r="X2" s="21" t="s">
        <v>130</v>
      </c>
      <c r="Y2" s="21" t="s">
        <v>131</v>
      </c>
    </row>
    <row r="3" spans="1:27" ht="29.15" customHeight="1" x14ac:dyDescent="0.35">
      <c r="A3" s="100" t="s">
        <v>49</v>
      </c>
      <c r="B3" s="100"/>
      <c r="C3" s="100"/>
      <c r="D3" s="40"/>
      <c r="E3" s="40"/>
      <c r="F3" s="41"/>
      <c r="G3" s="65" t="s">
        <v>88</v>
      </c>
      <c r="H3" s="41"/>
      <c r="I3" s="62">
        <v>6.7685894263571811</v>
      </c>
      <c r="J3" s="62">
        <v>6.7685894263571811</v>
      </c>
      <c r="K3" s="62">
        <v>14.053188874163553</v>
      </c>
      <c r="L3" s="62">
        <v>9.7338051576149613</v>
      </c>
      <c r="M3" s="62">
        <v>11.009541199021763</v>
      </c>
      <c r="N3" s="62">
        <v>7.7981502538729766</v>
      </c>
      <c r="O3" s="62">
        <v>7.7981502538729766</v>
      </c>
      <c r="P3" s="62">
        <v>16.289256510478523</v>
      </c>
      <c r="Q3" s="62">
        <v>11.280438873325368</v>
      </c>
      <c r="R3" s="62">
        <v>12.51496060738649</v>
      </c>
      <c r="S3" s="41"/>
      <c r="T3" s="41"/>
      <c r="U3" s="41"/>
      <c r="V3" s="41"/>
      <c r="W3" s="41"/>
      <c r="X3" s="41"/>
      <c r="Y3" s="41"/>
    </row>
    <row r="4" spans="1:27" customFormat="1" ht="14.5" x14ac:dyDescent="0.35">
      <c r="A4" s="28" t="s">
        <v>31</v>
      </c>
      <c r="B4" s="28" t="s">
        <v>19</v>
      </c>
      <c r="C4" s="28" t="s">
        <v>50</v>
      </c>
      <c r="D4" s="61" t="s">
        <v>170</v>
      </c>
      <c r="E4" s="30">
        <v>90</v>
      </c>
      <c r="F4" s="29">
        <v>187.64337394</v>
      </c>
      <c r="G4" s="31">
        <v>19611</v>
      </c>
      <c r="H4" s="19"/>
      <c r="I4" s="32">
        <v>7.2530864197530853</v>
      </c>
      <c r="J4" s="32">
        <v>7.2530864197530853</v>
      </c>
      <c r="K4" s="32">
        <v>14.70714667081765</v>
      </c>
      <c r="L4" s="32">
        <v>8.6136654506812516</v>
      </c>
      <c r="M4" s="32">
        <v>10.522130058407164</v>
      </c>
      <c r="N4" s="32">
        <v>8.8673132981066836</v>
      </c>
      <c r="O4" s="32">
        <v>8.8673132981066836</v>
      </c>
      <c r="P4" s="32">
        <v>15.67899269516364</v>
      </c>
      <c r="Q4" s="32">
        <v>10.173083643722247</v>
      </c>
      <c r="R4" s="32">
        <v>11.673337669486195</v>
      </c>
      <c r="S4" s="20"/>
      <c r="T4" s="32">
        <v>9.9957414587187294</v>
      </c>
      <c r="U4" s="32">
        <v>10.378471888012665</v>
      </c>
      <c r="V4" s="20"/>
      <c r="W4" s="32">
        <v>0.49</v>
      </c>
      <c r="X4" s="32">
        <v>0.72</v>
      </c>
      <c r="Y4" s="32" t="s">
        <v>81</v>
      </c>
      <c r="Z4" s="53"/>
      <c r="AA4" s="53"/>
    </row>
    <row r="5" spans="1:27" customFormat="1" ht="14.5" x14ac:dyDescent="0.35">
      <c r="A5" s="28" t="s">
        <v>167</v>
      </c>
      <c r="B5" s="28" t="s">
        <v>17</v>
      </c>
      <c r="C5" s="28" t="s">
        <v>164</v>
      </c>
      <c r="D5" s="61" t="s">
        <v>170</v>
      </c>
      <c r="E5" s="30">
        <v>97</v>
      </c>
      <c r="F5" s="29">
        <v>311.22315437999998</v>
      </c>
      <c r="G5" s="31">
        <v>25872</v>
      </c>
      <c r="H5" s="19"/>
      <c r="I5" s="32">
        <v>7.8482193769114916</v>
      </c>
      <c r="J5" s="32">
        <v>7.8482193769114916</v>
      </c>
      <c r="K5" s="32">
        <v>13.133303030320874</v>
      </c>
      <c r="L5" s="32">
        <v>10.113204258506281</v>
      </c>
      <c r="M5" s="32">
        <v>11.024028081977333</v>
      </c>
      <c r="N5" s="32">
        <v>8.1573000778942131</v>
      </c>
      <c r="O5" s="32">
        <v>8.1573000778942131</v>
      </c>
      <c r="P5" s="32">
        <v>15.508316053362424</v>
      </c>
      <c r="Q5" s="32">
        <v>10.891766001306259</v>
      </c>
      <c r="R5" s="32">
        <v>12.228324392858081</v>
      </c>
      <c r="S5" s="20"/>
      <c r="T5" s="32">
        <v>8.9049332058427151</v>
      </c>
      <c r="U5" s="32">
        <v>11.158970080748478</v>
      </c>
      <c r="V5" s="20"/>
      <c r="W5" s="32">
        <v>0.5</v>
      </c>
      <c r="X5" s="32">
        <v>1.28</v>
      </c>
      <c r="Y5" s="32">
        <v>1.28</v>
      </c>
      <c r="Z5" s="53"/>
      <c r="AA5" s="53"/>
    </row>
    <row r="6" spans="1:27" customFormat="1" ht="14.5" x14ac:dyDescent="0.35">
      <c r="A6" s="28" t="s">
        <v>78</v>
      </c>
      <c r="B6" s="28" t="s">
        <v>16</v>
      </c>
      <c r="C6" s="28" t="s">
        <v>51</v>
      </c>
      <c r="D6" s="61" t="s">
        <v>170</v>
      </c>
      <c r="E6" s="30">
        <v>98</v>
      </c>
      <c r="F6" s="29">
        <v>686.27157708000004</v>
      </c>
      <c r="G6" s="31">
        <v>62239</v>
      </c>
      <c r="H6" s="19"/>
      <c r="I6" s="32">
        <v>6.6055229790006553</v>
      </c>
      <c r="J6" s="32">
        <v>6.6055229790006553</v>
      </c>
      <c r="K6" s="32">
        <v>14.18939025642565</v>
      </c>
      <c r="L6" s="32">
        <v>9.5762188058664321</v>
      </c>
      <c r="M6" s="32">
        <v>11.375641257018199</v>
      </c>
      <c r="N6" s="32">
        <v>8.7021838078105151</v>
      </c>
      <c r="O6" s="32">
        <v>8.7021838078105151</v>
      </c>
      <c r="P6" s="32">
        <v>17.879173888674373</v>
      </c>
      <c r="Q6" s="32">
        <v>12.279916882915543</v>
      </c>
      <c r="R6" s="32">
        <v>13.82214672467823</v>
      </c>
      <c r="S6" s="20"/>
      <c r="T6" s="32">
        <v>10.380070101778244</v>
      </c>
      <c r="U6" s="32">
        <v>11.581182971402578</v>
      </c>
      <c r="V6" s="20"/>
      <c r="W6" s="32">
        <v>0.5</v>
      </c>
      <c r="X6" s="32" t="s">
        <v>81</v>
      </c>
      <c r="Y6" s="32">
        <v>0.82</v>
      </c>
      <c r="Z6" s="53"/>
      <c r="AA6" s="53"/>
    </row>
    <row r="7" spans="1:27" customFormat="1" ht="14.5" x14ac:dyDescent="0.35">
      <c r="A7" s="28" t="s">
        <v>79</v>
      </c>
      <c r="B7" s="28" t="s">
        <v>18</v>
      </c>
      <c r="C7" s="28" t="s">
        <v>95</v>
      </c>
      <c r="D7" s="61" t="s">
        <v>170</v>
      </c>
      <c r="E7" s="30">
        <v>97</v>
      </c>
      <c r="F7" s="29">
        <v>838.96081248999997</v>
      </c>
      <c r="G7" s="31">
        <v>96814</v>
      </c>
      <c r="H7" s="19"/>
      <c r="I7" s="32">
        <v>4.8716191279590815</v>
      </c>
      <c r="J7" s="32">
        <v>4.8716191279590815</v>
      </c>
      <c r="K7" s="32">
        <v>12.889449427170208</v>
      </c>
      <c r="L7" s="32">
        <v>9.6414823646417958</v>
      </c>
      <c r="M7" s="32">
        <v>10.860365450476595</v>
      </c>
      <c r="N7" s="32">
        <v>7.4805837650161022</v>
      </c>
      <c r="O7" s="32">
        <v>7.4805837650161022</v>
      </c>
      <c r="P7" s="32">
        <v>16.213888808158284</v>
      </c>
      <c r="Q7" s="32">
        <v>11.209001206646164</v>
      </c>
      <c r="R7" s="32">
        <v>12.314826316842108</v>
      </c>
      <c r="S7" s="20"/>
      <c r="T7" s="32">
        <v>10.52392747082469</v>
      </c>
      <c r="U7" s="32">
        <v>11.17935919350767</v>
      </c>
      <c r="V7" s="20"/>
      <c r="W7" s="32">
        <v>0.41000000000000003</v>
      </c>
      <c r="X7" s="32" t="s">
        <v>81</v>
      </c>
      <c r="Y7" s="32">
        <v>0.69630000000000003</v>
      </c>
      <c r="Z7" s="53"/>
      <c r="AA7" s="53"/>
    </row>
    <row r="8" spans="1:27" customFormat="1" ht="14.5" x14ac:dyDescent="0.35">
      <c r="A8" s="28" t="s">
        <v>106</v>
      </c>
      <c r="B8" s="28" t="s">
        <v>20</v>
      </c>
      <c r="C8" s="28" t="s">
        <v>110</v>
      </c>
      <c r="D8" s="61" t="s">
        <v>170</v>
      </c>
      <c r="E8" s="30">
        <v>90</v>
      </c>
      <c r="F8" s="29">
        <v>345.18832601999998</v>
      </c>
      <c r="G8" s="31">
        <v>40106</v>
      </c>
      <c r="H8" s="19"/>
      <c r="I8" s="32">
        <v>10.151611535199322</v>
      </c>
      <c r="J8" s="32">
        <v>10.151611535199322</v>
      </c>
      <c r="K8" s="32">
        <v>16.620097133944544</v>
      </c>
      <c r="L8" s="32">
        <v>10.538326132271681</v>
      </c>
      <c r="M8" s="32">
        <v>11.004212013507008</v>
      </c>
      <c r="N8" s="32">
        <v>5.9134873298321455</v>
      </c>
      <c r="O8" s="32">
        <v>5.9134873298321455</v>
      </c>
      <c r="P8" s="32">
        <v>14.346589188102898</v>
      </c>
      <c r="Q8" s="32">
        <v>10.419378240826216</v>
      </c>
      <c r="R8" s="32">
        <v>11.472871936744934</v>
      </c>
      <c r="S8" s="20"/>
      <c r="T8" s="32">
        <v>10.172996377054782</v>
      </c>
      <c r="U8" s="32">
        <v>10.520281325119972</v>
      </c>
      <c r="V8" s="20"/>
      <c r="W8" s="32">
        <v>0.5</v>
      </c>
      <c r="X8" s="32">
        <v>0.98</v>
      </c>
      <c r="Y8" s="32" t="s">
        <v>81</v>
      </c>
      <c r="Z8" s="53"/>
      <c r="AA8" s="53"/>
    </row>
    <row r="9" spans="1:27" customFormat="1" ht="14.5" x14ac:dyDescent="0.35">
      <c r="A9" s="28" t="s">
        <v>113</v>
      </c>
      <c r="B9" s="28" t="s">
        <v>117</v>
      </c>
      <c r="C9" s="28" t="s">
        <v>123</v>
      </c>
      <c r="D9" s="61" t="s">
        <v>171</v>
      </c>
      <c r="E9" s="30">
        <v>100</v>
      </c>
      <c r="F9" s="29">
        <v>65.660425860100005</v>
      </c>
      <c r="G9" s="31">
        <v>5044</v>
      </c>
      <c r="H9" s="19"/>
      <c r="I9" s="32">
        <v>8.4239759314973295</v>
      </c>
      <c r="J9" s="32">
        <v>8.4239759314973295</v>
      </c>
      <c r="K9" s="32">
        <v>16.495646623118574</v>
      </c>
      <c r="L9" s="32" t="s">
        <v>139</v>
      </c>
      <c r="M9" s="32">
        <v>10.441450658315855</v>
      </c>
      <c r="N9" s="32">
        <v>7.5572112825971427</v>
      </c>
      <c r="O9" s="32">
        <v>7.5572112825971427</v>
      </c>
      <c r="P9" s="32">
        <v>16.293219886891762</v>
      </c>
      <c r="Q9" s="32" t="s">
        <v>139</v>
      </c>
      <c r="R9" s="32">
        <v>10.651886901039331</v>
      </c>
      <c r="S9" s="20"/>
      <c r="T9" s="32">
        <v>11.235966106374146</v>
      </c>
      <c r="U9" s="32">
        <v>11.471015332834895</v>
      </c>
      <c r="V9" s="20"/>
      <c r="W9" s="32">
        <v>0.44690000000000002</v>
      </c>
      <c r="X9" s="32">
        <v>0.57820000000000005</v>
      </c>
      <c r="Y9" s="32" t="s">
        <v>81</v>
      </c>
      <c r="Z9" s="53"/>
      <c r="AA9" s="53"/>
    </row>
    <row r="10" spans="1:27"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7" s="51" customFormat="1" ht="13.5" x14ac:dyDescent="0.3">
      <c r="A11" s="49" t="s">
        <v>173</v>
      </c>
      <c r="B11" s="45"/>
      <c r="C11" s="45"/>
      <c r="D11" s="50"/>
      <c r="E11" s="50"/>
      <c r="F11" s="50"/>
      <c r="G11" s="50"/>
      <c r="H11" s="50"/>
      <c r="I11" s="50"/>
      <c r="J11" s="50"/>
      <c r="K11" s="50"/>
      <c r="L11" s="50"/>
      <c r="M11" s="50"/>
      <c r="N11" s="50"/>
      <c r="O11" s="50"/>
      <c r="P11" s="50"/>
      <c r="Q11" s="50"/>
      <c r="R11" s="50"/>
    </row>
    <row r="12" spans="1:27" s="51" customFormat="1" ht="13.5" x14ac:dyDescent="0.3">
      <c r="A12" s="45" t="s">
        <v>83</v>
      </c>
      <c r="B12" s="49"/>
      <c r="C12" s="49"/>
    </row>
    <row r="13" spans="1:27" s="51" customFormat="1" ht="13.5" x14ac:dyDescent="0.3">
      <c r="A13" s="49" t="s">
        <v>85</v>
      </c>
      <c r="B13" s="49"/>
      <c r="C13" s="49"/>
    </row>
    <row r="14" spans="1:27" s="51" customFormat="1" ht="13.5" x14ac:dyDescent="0.3">
      <c r="A14" s="49" t="s">
        <v>86</v>
      </c>
      <c r="B14" s="49"/>
      <c r="C14" s="49"/>
    </row>
    <row r="15" spans="1:27" s="51" customFormat="1" ht="13.5" x14ac:dyDescent="0.3">
      <c r="A15" s="49" t="s">
        <v>172</v>
      </c>
      <c r="B15" s="50"/>
      <c r="C15" s="50"/>
    </row>
    <row r="16" spans="1:27" s="51" customFormat="1" ht="13.5" x14ac:dyDescent="0.3">
      <c r="A16" s="52" t="s">
        <v>105</v>
      </c>
      <c r="B16" s="50"/>
      <c r="C16" s="50"/>
    </row>
    <row r="17" spans="1:4" s="51" customFormat="1" ht="13.5" x14ac:dyDescent="0.3">
      <c r="A17" s="52" t="s">
        <v>91</v>
      </c>
    </row>
    <row r="18" spans="1:4" s="51" customFormat="1" ht="13.5" x14ac:dyDescent="0.3">
      <c r="A18" s="52" t="s">
        <v>174</v>
      </c>
    </row>
    <row r="19" spans="1:4" s="51" customFormat="1" ht="13.5" x14ac:dyDescent="0.3">
      <c r="A19" s="52" t="s">
        <v>132</v>
      </c>
    </row>
    <row r="20" spans="1:4" s="51" customFormat="1" ht="13.5" x14ac:dyDescent="0.3">
      <c r="A20" s="52" t="s">
        <v>133</v>
      </c>
    </row>
    <row r="21" spans="1:4" s="51" customFormat="1" ht="13.5" x14ac:dyDescent="0.3">
      <c r="A21" s="52" t="s">
        <v>136</v>
      </c>
    </row>
    <row r="22" spans="1:4" s="51" customFormat="1" ht="13.5" x14ac:dyDescent="0.3">
      <c r="A22" s="52" t="s">
        <v>135</v>
      </c>
    </row>
    <row r="23" spans="1:4" s="51" customFormat="1" ht="13.5" x14ac:dyDescent="0.3">
      <c r="A23" s="82" t="s">
        <v>156</v>
      </c>
    </row>
    <row r="24" spans="1:4" x14ac:dyDescent="0.35">
      <c r="A24" s="52"/>
    </row>
    <row r="25" spans="1:4" x14ac:dyDescent="0.35">
      <c r="A25" s="33" t="s">
        <v>103</v>
      </c>
      <c r="B25" s="33"/>
      <c r="C25" s="33"/>
      <c r="D25" s="33"/>
    </row>
    <row r="26" spans="1:4" s="51" customFormat="1" ht="13.5" x14ac:dyDescent="0.3">
      <c r="A26" s="49" t="s">
        <v>73</v>
      </c>
      <c r="B26" s="50"/>
      <c r="C26" s="50"/>
    </row>
    <row r="27" spans="1:4" s="51" customFormat="1" ht="13.5" x14ac:dyDescent="0.3">
      <c r="A27" s="49" t="s">
        <v>74</v>
      </c>
      <c r="B27" s="50"/>
      <c r="C27" s="50"/>
    </row>
    <row r="28" spans="1:4" x14ac:dyDescent="0.35">
      <c r="A28" s="15"/>
      <c r="B28" s="15"/>
      <c r="C28" s="15"/>
    </row>
    <row r="35" spans="1:3" x14ac:dyDescent="0.35">
      <c r="A35" s="33" t="s">
        <v>0</v>
      </c>
      <c r="B35" s="33" t="s">
        <v>63</v>
      </c>
      <c r="C35" s="33" t="s">
        <v>62</v>
      </c>
    </row>
    <row r="36" spans="1:3" x14ac:dyDescent="0.35">
      <c r="A36" s="28" t="s">
        <v>19</v>
      </c>
      <c r="B36" s="29">
        <v>9.9957414587187294</v>
      </c>
      <c r="C36" s="29">
        <v>14.70714667081765</v>
      </c>
    </row>
    <row r="37" spans="1:3" x14ac:dyDescent="0.35">
      <c r="A37" s="28" t="s">
        <v>17</v>
      </c>
      <c r="B37" s="29">
        <v>8.9049332058427151</v>
      </c>
      <c r="C37" s="29">
        <v>13.133303030320874</v>
      </c>
    </row>
    <row r="38" spans="1:3" x14ac:dyDescent="0.35">
      <c r="A38" s="28" t="s">
        <v>16</v>
      </c>
      <c r="B38" s="29">
        <v>10.380070101778244</v>
      </c>
      <c r="C38" s="29">
        <v>14.18939025642565</v>
      </c>
    </row>
    <row r="39" spans="1:3" x14ac:dyDescent="0.35">
      <c r="A39" s="28" t="s">
        <v>18</v>
      </c>
      <c r="B39" s="29">
        <v>10.52392747082469</v>
      </c>
      <c r="C39" s="29">
        <v>12.889449427170208</v>
      </c>
    </row>
    <row r="40" spans="1:3" x14ac:dyDescent="0.35">
      <c r="A40" s="28" t="s">
        <v>20</v>
      </c>
      <c r="B40" s="29">
        <v>10.172996377054782</v>
      </c>
      <c r="C40" s="29">
        <v>16.620097133944544</v>
      </c>
    </row>
    <row r="41" spans="1:3" x14ac:dyDescent="0.35">
      <c r="A41" s="28" t="s">
        <v>117</v>
      </c>
      <c r="B41" s="29">
        <v>11.235966106374146</v>
      </c>
      <c r="C41" s="29">
        <v>16.495646623118574</v>
      </c>
    </row>
    <row r="57" spans="1:5" x14ac:dyDescent="0.35">
      <c r="A57" s="33" t="s">
        <v>104</v>
      </c>
      <c r="B57" s="33"/>
      <c r="C57" s="33"/>
      <c r="D57" s="33"/>
      <c r="E57" s="33"/>
    </row>
    <row r="58" spans="1:5" s="51" customFormat="1" ht="13.5" x14ac:dyDescent="0.3">
      <c r="A58" s="49" t="s">
        <v>75</v>
      </c>
      <c r="B58" s="50"/>
      <c r="C58" s="50"/>
    </row>
    <row r="59" spans="1:5" s="51" customFormat="1" ht="13.5" x14ac:dyDescent="0.3">
      <c r="A59" s="49" t="s">
        <v>76</v>
      </c>
      <c r="B59" s="50"/>
      <c r="C59" s="50"/>
    </row>
    <row r="60" spans="1:5" s="51" customFormat="1" ht="13.5" x14ac:dyDescent="0.3">
      <c r="A60" s="49" t="s">
        <v>77</v>
      </c>
      <c r="B60" s="50"/>
      <c r="C60" s="50"/>
    </row>
    <row r="65" spans="1:4" x14ac:dyDescent="0.35">
      <c r="A65" s="33" t="s">
        <v>0</v>
      </c>
      <c r="B65" s="33" t="s">
        <v>67</v>
      </c>
      <c r="C65" s="33" t="s">
        <v>68</v>
      </c>
      <c r="D65" s="33" t="s">
        <v>69</v>
      </c>
    </row>
    <row r="66" spans="1:4" x14ac:dyDescent="0.35">
      <c r="A66" s="28" t="s">
        <v>17</v>
      </c>
      <c r="B66" s="29">
        <v>25.872</v>
      </c>
      <c r="C66" s="29">
        <v>13.133303030320874</v>
      </c>
      <c r="D66" s="29">
        <v>311.22315437999998</v>
      </c>
    </row>
    <row r="67" spans="1:4" x14ac:dyDescent="0.35">
      <c r="A67" s="28" t="s">
        <v>19</v>
      </c>
      <c r="B67" s="29">
        <v>19.611000000000001</v>
      </c>
      <c r="C67" s="29">
        <v>14.70714667081765</v>
      </c>
      <c r="D67" s="29">
        <v>187.64337394</v>
      </c>
    </row>
    <row r="68" spans="1:4" x14ac:dyDescent="0.35">
      <c r="A68" s="28" t="s">
        <v>16</v>
      </c>
      <c r="B68" s="29">
        <v>62.238999999999997</v>
      </c>
      <c r="C68" s="29">
        <v>14.18939025642565</v>
      </c>
      <c r="D68" s="29">
        <v>686.27157708000004</v>
      </c>
    </row>
    <row r="69" spans="1:4" x14ac:dyDescent="0.35">
      <c r="A69" s="28" t="s">
        <v>18</v>
      </c>
      <c r="B69" s="29">
        <v>96.813999999999993</v>
      </c>
      <c r="C69" s="29">
        <v>12.889449427170208</v>
      </c>
      <c r="D69" s="29">
        <v>838.96081248999997</v>
      </c>
    </row>
    <row r="70" spans="1:4" x14ac:dyDescent="0.35">
      <c r="A70" s="28" t="s">
        <v>20</v>
      </c>
      <c r="B70" s="29">
        <v>40.106000000000002</v>
      </c>
      <c r="C70" s="29">
        <v>16.620097133944544</v>
      </c>
      <c r="D70" s="29">
        <v>345.18832601999998</v>
      </c>
    </row>
    <row r="71" spans="1:4" x14ac:dyDescent="0.35">
      <c r="A71" s="28" t="s">
        <v>117</v>
      </c>
      <c r="B71" s="29">
        <v>5.0439999999999996</v>
      </c>
      <c r="C71" s="29">
        <v>16.495646623118574</v>
      </c>
      <c r="D71" s="29">
        <v>65.660425860100005</v>
      </c>
    </row>
  </sheetData>
  <mergeCells count="7">
    <mergeCell ref="W1:Y1"/>
    <mergeCell ref="T1:U1"/>
    <mergeCell ref="A3:C3"/>
    <mergeCell ref="D1:D2"/>
    <mergeCell ref="F1:F2"/>
    <mergeCell ref="G1:G2"/>
    <mergeCell ref="I1:P1"/>
  </mergeCells>
  <conditionalFormatting sqref="I3:R9">
    <cfRule type="cellIs" dxfId="23" priority="5" operator="greaterThanOrEqual">
      <formula>0</formula>
    </cfRule>
    <cfRule type="cellIs" dxfId="22" priority="6" operator="lessThan">
      <formula>0</formula>
    </cfRule>
  </conditionalFormatting>
  <conditionalFormatting sqref="T4:U9">
    <cfRule type="cellIs" dxfId="21" priority="3" operator="greaterThanOrEqual">
      <formula>0</formula>
    </cfRule>
    <cfRule type="cellIs" dxfId="20" priority="4" operator="lessThan">
      <formula>0</formula>
    </cfRule>
  </conditionalFormatting>
  <conditionalFormatting sqref="W4:Y9">
    <cfRule type="cellIs" dxfId="19" priority="1" operator="greaterThanOrEqual">
      <formula>0</formula>
    </cfRule>
    <cfRule type="cellIs" dxfId="18" priority="2" operator="lessThan">
      <formula>0</formula>
    </cfRule>
  </conditionalFormatting>
  <hyperlinks>
    <hyperlink ref="C1" location="GCF_2025!A1" display="GCF_2025!A1" xr:uid="{D594DA92-1570-4723-92B5-46E147CECFB3}"/>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71"/>
  <sheetViews>
    <sheetView showGridLines="0" zoomScale="70" zoomScaleNormal="70" workbookViewId="0"/>
  </sheetViews>
  <sheetFormatPr defaultColWidth="8.81640625" defaultRowHeight="15.5" x14ac:dyDescent="0.35"/>
  <cols>
    <col min="1" max="1" width="44.81640625" style="13" customWidth="1"/>
    <col min="2" max="2" width="14.81640625" style="13" bestFit="1" customWidth="1"/>
    <col min="3" max="3" width="68.453125" style="13" customWidth="1"/>
    <col min="4" max="4" width="13.453125" style="13" customWidth="1"/>
    <col min="5" max="5" width="17.54296875" style="13" customWidth="1"/>
    <col min="6" max="6" width="17" style="13" customWidth="1"/>
    <col min="7" max="7" width="13.453125" style="13" customWidth="1"/>
    <col min="8" max="8" width="1.81640625" style="13" customWidth="1"/>
    <col min="9" max="10" width="16.54296875" style="13" customWidth="1"/>
    <col min="11" max="13" width="17" style="13" customWidth="1"/>
    <col min="14" max="15" width="18.54296875" style="13" customWidth="1"/>
    <col min="16" max="16" width="17.54296875" style="13" customWidth="1"/>
    <col min="17" max="18" width="18.1796875" style="13" customWidth="1"/>
    <col min="19" max="19" width="1.81640625" style="13" customWidth="1"/>
    <col min="20" max="20" width="17.81640625" style="13" customWidth="1"/>
    <col min="21" max="21" width="16.453125" style="13" customWidth="1"/>
    <col min="22" max="22" width="1.81640625" style="13" customWidth="1"/>
    <col min="23" max="23" width="8.81640625" style="13"/>
    <col min="24" max="24" width="10.54296875" style="13" customWidth="1"/>
    <col min="25" max="25" width="12.54296875" style="13" customWidth="1"/>
    <col min="26" max="16384" width="8.81640625" style="13"/>
  </cols>
  <sheetData>
    <row r="1" spans="1:27" ht="22.4" customHeight="1" x14ac:dyDescent="0.35">
      <c r="A1" s="95">
        <v>46022</v>
      </c>
      <c r="B1" s="22"/>
      <c r="C1" s="84" t="s">
        <v>66</v>
      </c>
      <c r="D1" s="103" t="s">
        <v>80</v>
      </c>
      <c r="E1" s="27" t="s">
        <v>65</v>
      </c>
      <c r="F1" s="103" t="s">
        <v>90</v>
      </c>
      <c r="G1" s="103" t="s">
        <v>61</v>
      </c>
      <c r="H1" s="24"/>
      <c r="I1" s="101" t="s">
        <v>62</v>
      </c>
      <c r="J1" s="107"/>
      <c r="K1" s="107">
        <v>0</v>
      </c>
      <c r="L1" s="107"/>
      <c r="M1" s="107"/>
      <c r="N1" s="107">
        <v>0</v>
      </c>
      <c r="O1" s="107"/>
      <c r="P1" s="107">
        <v>0</v>
      </c>
      <c r="Q1" s="81"/>
      <c r="R1" s="91"/>
      <c r="S1" s="25"/>
      <c r="T1" s="105" t="s">
        <v>87</v>
      </c>
      <c r="U1" s="106">
        <v>0</v>
      </c>
      <c r="V1" s="25"/>
      <c r="W1" s="101" t="s">
        <v>159</v>
      </c>
      <c r="X1" s="107">
        <v>0</v>
      </c>
      <c r="Y1" s="107">
        <v>0</v>
      </c>
    </row>
    <row r="2" spans="1:27" ht="94.5" x14ac:dyDescent="0.35">
      <c r="A2" s="21" t="s">
        <v>37</v>
      </c>
      <c r="B2" s="21" t="s">
        <v>38</v>
      </c>
      <c r="C2" s="21" t="s">
        <v>39</v>
      </c>
      <c r="D2" s="104">
        <v>0</v>
      </c>
      <c r="E2" s="21" t="s">
        <v>89</v>
      </c>
      <c r="F2" s="104">
        <v>0</v>
      </c>
      <c r="G2" s="104">
        <v>0</v>
      </c>
      <c r="H2" s="24"/>
      <c r="I2" s="59" t="s">
        <v>82</v>
      </c>
      <c r="J2" s="90" t="s">
        <v>154</v>
      </c>
      <c r="K2" s="21" t="s">
        <v>137</v>
      </c>
      <c r="L2" s="21" t="s">
        <v>151</v>
      </c>
      <c r="M2" s="21" t="s">
        <v>158</v>
      </c>
      <c r="N2" s="21" t="s">
        <v>84</v>
      </c>
      <c r="O2" s="21" t="s">
        <v>155</v>
      </c>
      <c r="P2" s="21" t="s">
        <v>138</v>
      </c>
      <c r="Q2" s="21" t="s">
        <v>152</v>
      </c>
      <c r="R2" s="21" t="s">
        <v>157</v>
      </c>
      <c r="S2" s="26"/>
      <c r="T2" s="21" t="s">
        <v>101</v>
      </c>
      <c r="U2" s="21" t="s">
        <v>102</v>
      </c>
      <c r="V2" s="26"/>
      <c r="W2" s="21" t="s">
        <v>129</v>
      </c>
      <c r="X2" s="21" t="s">
        <v>130</v>
      </c>
      <c r="Y2" s="21" t="s">
        <v>131</v>
      </c>
    </row>
    <row r="3" spans="1:27" ht="29.15" customHeight="1" x14ac:dyDescent="0.35">
      <c r="A3" s="100" t="s">
        <v>52</v>
      </c>
      <c r="B3" s="100"/>
      <c r="C3" s="100"/>
      <c r="D3" s="40"/>
      <c r="E3" s="40"/>
      <c r="F3" s="41"/>
      <c r="G3" s="65" t="s">
        <v>88</v>
      </c>
      <c r="H3" s="41"/>
      <c r="I3" s="62">
        <v>5.9008403553834121</v>
      </c>
      <c r="J3" s="62">
        <v>5.9008403553834121</v>
      </c>
      <c r="K3" s="62">
        <v>11.904877251876588</v>
      </c>
      <c r="L3" s="62">
        <v>8.0109179401481576</v>
      </c>
      <c r="M3" s="62">
        <v>9.5594240709098273</v>
      </c>
      <c r="N3" s="62">
        <v>6.2309269730030561</v>
      </c>
      <c r="O3" s="62">
        <v>6.2309269730030561</v>
      </c>
      <c r="P3" s="62">
        <v>13.198715539744221</v>
      </c>
      <c r="Q3" s="62">
        <v>8.7021440379045245</v>
      </c>
      <c r="R3" s="62">
        <v>10.463458573003685</v>
      </c>
      <c r="S3" s="41"/>
      <c r="T3" s="41"/>
      <c r="U3" s="41"/>
      <c r="V3" s="41"/>
      <c r="W3" s="41"/>
      <c r="X3" s="41"/>
      <c r="Y3" s="41"/>
    </row>
    <row r="4" spans="1:27" customFormat="1" ht="14.5" x14ac:dyDescent="0.35">
      <c r="A4" s="28" t="s">
        <v>31</v>
      </c>
      <c r="B4" s="28" t="s">
        <v>24</v>
      </c>
      <c r="C4" s="28" t="s">
        <v>53</v>
      </c>
      <c r="D4" s="61" t="s">
        <v>170</v>
      </c>
      <c r="E4" s="30">
        <v>65</v>
      </c>
      <c r="F4" s="29">
        <v>170.57982618</v>
      </c>
      <c r="G4" s="31">
        <v>17990</v>
      </c>
      <c r="H4" s="19"/>
      <c r="I4" s="32">
        <v>6.5132387442743855</v>
      </c>
      <c r="J4" s="32">
        <v>6.5132387442743855</v>
      </c>
      <c r="K4" s="32">
        <v>12.618038588913748</v>
      </c>
      <c r="L4" s="32">
        <v>7.3420304377308288</v>
      </c>
      <c r="M4" s="32">
        <v>9.6509177932855508</v>
      </c>
      <c r="N4" s="32">
        <v>6.8624145268953995</v>
      </c>
      <c r="O4" s="32">
        <v>6.8624145268953995</v>
      </c>
      <c r="P4" s="32">
        <v>13.080789538223826</v>
      </c>
      <c r="Q4" s="32">
        <v>8.3811479577114092</v>
      </c>
      <c r="R4" s="32">
        <v>10.373929638005276</v>
      </c>
      <c r="S4" s="20"/>
      <c r="T4" s="32">
        <v>8.0763417080618662</v>
      </c>
      <c r="U4" s="32">
        <v>8.6678001234495206</v>
      </c>
      <c r="V4" s="20"/>
      <c r="W4" s="32">
        <v>0.49</v>
      </c>
      <c r="X4" s="32">
        <v>0.73</v>
      </c>
      <c r="Y4" s="32" t="s">
        <v>81</v>
      </c>
      <c r="Z4" s="53"/>
      <c r="AA4" s="53"/>
    </row>
    <row r="5" spans="1:27" customFormat="1" ht="14.5" x14ac:dyDescent="0.35">
      <c r="A5" s="28" t="s">
        <v>167</v>
      </c>
      <c r="B5" s="28" t="s">
        <v>22</v>
      </c>
      <c r="C5" s="28" t="s">
        <v>165</v>
      </c>
      <c r="D5" s="61" t="s">
        <v>170</v>
      </c>
      <c r="E5" s="30">
        <v>61.18</v>
      </c>
      <c r="F5" s="29">
        <v>248.29906109000001</v>
      </c>
      <c r="G5" s="31">
        <v>22088</v>
      </c>
      <c r="H5" s="19"/>
      <c r="I5" s="32">
        <v>7.6017007584463503</v>
      </c>
      <c r="J5" s="32">
        <v>7.6017007584463503</v>
      </c>
      <c r="K5" s="32">
        <v>11.181691053811637</v>
      </c>
      <c r="L5" s="32">
        <v>8.0564922435750752</v>
      </c>
      <c r="M5" s="32">
        <v>9.3688347410240347</v>
      </c>
      <c r="N5" s="32">
        <v>7.2509022578152837</v>
      </c>
      <c r="O5" s="32">
        <v>7.2509022578152837</v>
      </c>
      <c r="P5" s="32">
        <v>12.735413300595866</v>
      </c>
      <c r="Q5" s="32">
        <v>7.7849618440747781</v>
      </c>
      <c r="R5" s="32">
        <v>9.8149585517552929</v>
      </c>
      <c r="S5" s="20"/>
      <c r="T5" s="32">
        <v>6.2715083620987322</v>
      </c>
      <c r="U5" s="32">
        <v>8.2435800525721881</v>
      </c>
      <c r="V5" s="20"/>
      <c r="W5" s="32">
        <v>0.5</v>
      </c>
      <c r="X5" s="32">
        <v>1.1000000000000001</v>
      </c>
      <c r="Y5" s="32">
        <v>1.1000000000000001</v>
      </c>
      <c r="Z5" s="53"/>
      <c r="AA5" s="53"/>
    </row>
    <row r="6" spans="1:27" customFormat="1" ht="14.5" x14ac:dyDescent="0.35">
      <c r="A6" s="28" t="s">
        <v>78</v>
      </c>
      <c r="B6" s="28" t="s">
        <v>21</v>
      </c>
      <c r="C6" s="28" t="s">
        <v>54</v>
      </c>
      <c r="D6" s="61" t="s">
        <v>170</v>
      </c>
      <c r="E6" s="30">
        <v>63.3</v>
      </c>
      <c r="F6" s="29">
        <v>579.84994542999993</v>
      </c>
      <c r="G6" s="31">
        <v>52924</v>
      </c>
      <c r="H6" s="19"/>
      <c r="I6" s="32">
        <v>5.7558753264070228</v>
      </c>
      <c r="J6" s="32">
        <v>5.7558753264070228</v>
      </c>
      <c r="K6" s="32">
        <v>11.839915975888914</v>
      </c>
      <c r="L6" s="32">
        <v>7.7810861298570178</v>
      </c>
      <c r="M6" s="32">
        <v>9.6238092868107472</v>
      </c>
      <c r="N6" s="32">
        <v>6.9013373578650894</v>
      </c>
      <c r="O6" s="32">
        <v>6.9013373578650894</v>
      </c>
      <c r="P6" s="32">
        <v>14.22237065913734</v>
      </c>
      <c r="Q6" s="32">
        <v>9.4993532431632222</v>
      </c>
      <c r="R6" s="32">
        <v>11.210935301492775</v>
      </c>
      <c r="S6" s="20"/>
      <c r="T6" s="32">
        <v>7.8274595980422426</v>
      </c>
      <c r="U6" s="32">
        <v>8.8567232606362154</v>
      </c>
      <c r="V6" s="20"/>
      <c r="W6" s="32">
        <v>0.5</v>
      </c>
      <c r="X6" s="32" t="s">
        <v>81</v>
      </c>
      <c r="Y6" s="32">
        <v>0.77</v>
      </c>
      <c r="Z6" s="53"/>
      <c r="AA6" s="53"/>
    </row>
    <row r="7" spans="1:27" customFormat="1" ht="14.5" x14ac:dyDescent="0.35">
      <c r="A7" s="28" t="s">
        <v>79</v>
      </c>
      <c r="B7" s="28" t="s">
        <v>23</v>
      </c>
      <c r="C7" s="28" t="s">
        <v>96</v>
      </c>
      <c r="D7" s="61" t="s">
        <v>170</v>
      </c>
      <c r="E7" s="30">
        <v>65</v>
      </c>
      <c r="F7" s="29">
        <v>803.83452649000003</v>
      </c>
      <c r="G7" s="31">
        <v>93440</v>
      </c>
      <c r="H7" s="19"/>
      <c r="I7" s="32">
        <v>3.3027317510076148</v>
      </c>
      <c r="J7" s="32">
        <v>3.3027317510076148</v>
      </c>
      <c r="K7" s="32">
        <v>10.655023878840563</v>
      </c>
      <c r="L7" s="32">
        <v>7.9630315373126814</v>
      </c>
      <c r="M7" s="32">
        <v>9.6282855630026365</v>
      </c>
      <c r="N7" s="32">
        <v>5.6635346901437122</v>
      </c>
      <c r="O7" s="32">
        <v>5.6635346901437122</v>
      </c>
      <c r="P7" s="32">
        <v>12.92559751425928</v>
      </c>
      <c r="Q7" s="32">
        <v>8.6166879898447633</v>
      </c>
      <c r="R7" s="32">
        <v>10.43992666753708</v>
      </c>
      <c r="S7" s="20"/>
      <c r="T7" s="32">
        <v>8.0703747150271319</v>
      </c>
      <c r="U7" s="32">
        <v>8.8508144010665823</v>
      </c>
      <c r="V7" s="20"/>
      <c r="W7" s="32">
        <v>0.41000000000000003</v>
      </c>
      <c r="X7" s="32" t="s">
        <v>81</v>
      </c>
      <c r="Y7" s="32">
        <v>0.64700000000000002</v>
      </c>
      <c r="Z7" s="53"/>
      <c r="AA7" s="53"/>
    </row>
    <row r="8" spans="1:27" customFormat="1" ht="14.5" x14ac:dyDescent="0.35">
      <c r="A8" s="28" t="s">
        <v>106</v>
      </c>
      <c r="B8" s="28" t="s">
        <v>25</v>
      </c>
      <c r="C8" s="28" t="s">
        <v>111</v>
      </c>
      <c r="D8" s="61" t="s">
        <v>170</v>
      </c>
      <c r="E8" s="30">
        <v>65</v>
      </c>
      <c r="F8" s="29">
        <v>339.84283105000003</v>
      </c>
      <c r="G8" s="31">
        <v>38562</v>
      </c>
      <c r="H8" s="19"/>
      <c r="I8" s="32">
        <v>10.415430267062309</v>
      </c>
      <c r="J8" s="32">
        <v>10.415430267062309</v>
      </c>
      <c r="K8" s="32">
        <v>14.564892996229361</v>
      </c>
      <c r="L8" s="32">
        <v>8.8187718616250308</v>
      </c>
      <c r="M8" s="32">
        <v>9.2668434102616928</v>
      </c>
      <c r="N8" s="32">
        <v>5.1931336829510011</v>
      </c>
      <c r="O8" s="32">
        <v>5.1931336829510011</v>
      </c>
      <c r="P8" s="32">
        <v>12.090342326835968</v>
      </c>
      <c r="Q8" s="32">
        <v>8.3752921847866091</v>
      </c>
      <c r="R8" s="32">
        <v>9.7378122376624798</v>
      </c>
      <c r="S8" s="20"/>
      <c r="T8" s="32">
        <v>8.0333057548912379</v>
      </c>
      <c r="U8" s="32">
        <v>8.3597129644290966</v>
      </c>
      <c r="V8" s="20"/>
      <c r="W8" s="32">
        <v>0.5</v>
      </c>
      <c r="X8" s="32">
        <v>0.89</v>
      </c>
      <c r="Y8" s="32" t="s">
        <v>81</v>
      </c>
      <c r="Z8" s="53"/>
      <c r="AA8" s="53"/>
    </row>
    <row r="9" spans="1:27" customFormat="1" ht="14.5" x14ac:dyDescent="0.35">
      <c r="A9" s="28" t="s">
        <v>113</v>
      </c>
      <c r="B9" s="28" t="s">
        <v>118</v>
      </c>
      <c r="C9" s="28" t="s">
        <v>122</v>
      </c>
      <c r="D9" s="61" t="s">
        <v>171</v>
      </c>
      <c r="E9" s="30">
        <v>100</v>
      </c>
      <c r="F9" s="29">
        <v>44.530986701300002</v>
      </c>
      <c r="G9" s="31">
        <v>3549</v>
      </c>
      <c r="H9" s="19"/>
      <c r="I9" s="32">
        <v>8.4040747028862448</v>
      </c>
      <c r="J9" s="32">
        <v>8.4040747028862448</v>
      </c>
      <c r="K9" s="32">
        <v>16.312399676961121</v>
      </c>
      <c r="L9" s="32" t="s">
        <v>139</v>
      </c>
      <c r="M9" s="32">
        <v>10.423105800480737</v>
      </c>
      <c r="N9" s="32">
        <v>7.5572112825971427</v>
      </c>
      <c r="O9" s="32">
        <v>7.5572112825971427</v>
      </c>
      <c r="P9" s="32">
        <v>16.293219886891762</v>
      </c>
      <c r="Q9" s="32" t="s">
        <v>139</v>
      </c>
      <c r="R9" s="32">
        <v>10.651886901039331</v>
      </c>
      <c r="S9" s="20"/>
      <c r="T9" s="32">
        <v>11.248518884853228</v>
      </c>
      <c r="U9" s="32">
        <v>11.471015332834895</v>
      </c>
      <c r="V9" s="20"/>
      <c r="W9" s="32">
        <v>0.44640000000000002</v>
      </c>
      <c r="X9" s="32">
        <v>0.57769999999999999</v>
      </c>
      <c r="Y9" s="32" t="s">
        <v>81</v>
      </c>
      <c r="Z9" s="53"/>
      <c r="AA9" s="53"/>
    </row>
    <row r="10" spans="1:27"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7" s="51" customFormat="1" ht="13.5" x14ac:dyDescent="0.3">
      <c r="A11" s="49" t="s">
        <v>173</v>
      </c>
      <c r="B11" s="45"/>
      <c r="C11" s="45"/>
      <c r="D11" s="50"/>
      <c r="E11" s="50"/>
      <c r="F11" s="50"/>
      <c r="G11" s="50"/>
      <c r="H11" s="50"/>
      <c r="I11" s="50"/>
      <c r="J11" s="50"/>
      <c r="K11" s="50"/>
      <c r="L11" s="50"/>
      <c r="M11" s="50"/>
      <c r="N11" s="50"/>
      <c r="O11" s="50"/>
      <c r="P11" s="50"/>
      <c r="Q11" s="50"/>
      <c r="R11" s="50"/>
    </row>
    <row r="12" spans="1:27" s="51" customFormat="1" ht="13.5" x14ac:dyDescent="0.3">
      <c r="A12" s="45" t="s">
        <v>83</v>
      </c>
      <c r="B12" s="49"/>
      <c r="C12" s="49"/>
    </row>
    <row r="13" spans="1:27" s="51" customFormat="1" ht="13.5" x14ac:dyDescent="0.3">
      <c r="A13" s="49" t="s">
        <v>85</v>
      </c>
      <c r="B13" s="49"/>
      <c r="C13" s="49"/>
    </row>
    <row r="14" spans="1:27" s="51" customFormat="1" ht="13.5" x14ac:dyDescent="0.3">
      <c r="A14" s="49" t="s">
        <v>86</v>
      </c>
      <c r="B14" s="49"/>
      <c r="C14" s="49"/>
    </row>
    <row r="15" spans="1:27" s="51" customFormat="1" ht="13.5" x14ac:dyDescent="0.3">
      <c r="A15" s="49" t="s">
        <v>172</v>
      </c>
      <c r="B15" s="50"/>
      <c r="C15" s="50"/>
    </row>
    <row r="16" spans="1:27" s="51" customFormat="1" ht="13.5" x14ac:dyDescent="0.3">
      <c r="A16" s="52" t="s">
        <v>105</v>
      </c>
      <c r="B16" s="50"/>
      <c r="C16" s="50"/>
    </row>
    <row r="17" spans="1:4" s="51" customFormat="1" ht="13.5" x14ac:dyDescent="0.3">
      <c r="A17" s="52" t="s">
        <v>91</v>
      </c>
    </row>
    <row r="18" spans="1:4" s="51" customFormat="1" ht="13.5" x14ac:dyDescent="0.3">
      <c r="A18" s="52" t="s">
        <v>174</v>
      </c>
    </row>
    <row r="19" spans="1:4" s="51" customFormat="1" ht="13.5" x14ac:dyDescent="0.3">
      <c r="A19" s="52" t="s">
        <v>132</v>
      </c>
    </row>
    <row r="20" spans="1:4" s="51" customFormat="1" ht="13.5" x14ac:dyDescent="0.3">
      <c r="A20" s="52" t="s">
        <v>133</v>
      </c>
    </row>
    <row r="21" spans="1:4" s="51" customFormat="1" ht="13.5" x14ac:dyDescent="0.3">
      <c r="A21" s="52" t="s">
        <v>136</v>
      </c>
    </row>
    <row r="22" spans="1:4" s="51" customFormat="1" ht="13.5" x14ac:dyDescent="0.3">
      <c r="A22" s="52" t="s">
        <v>135</v>
      </c>
    </row>
    <row r="23" spans="1:4" s="51" customFormat="1" ht="13.5" x14ac:dyDescent="0.3">
      <c r="A23" s="82" t="s">
        <v>156</v>
      </c>
    </row>
    <row r="24" spans="1:4" x14ac:dyDescent="0.35">
      <c r="A24" s="52"/>
    </row>
    <row r="25" spans="1:4" x14ac:dyDescent="0.35">
      <c r="A25" s="33" t="s">
        <v>103</v>
      </c>
      <c r="B25" s="33"/>
      <c r="C25" s="33"/>
      <c r="D25" s="33"/>
    </row>
    <row r="26" spans="1:4" s="51" customFormat="1" ht="13.5" x14ac:dyDescent="0.3">
      <c r="A26" s="49" t="s">
        <v>73</v>
      </c>
      <c r="B26" s="50"/>
      <c r="C26" s="50"/>
    </row>
    <row r="27" spans="1:4" s="51" customFormat="1" ht="13.5" x14ac:dyDescent="0.3">
      <c r="A27" s="49" t="s">
        <v>74</v>
      </c>
      <c r="B27" s="50"/>
      <c r="C27" s="50"/>
    </row>
    <row r="28" spans="1:4" x14ac:dyDescent="0.35">
      <c r="A28" s="15"/>
      <c r="B28" s="15"/>
      <c r="C28" s="15"/>
    </row>
    <row r="35" spans="1:3" x14ac:dyDescent="0.35">
      <c r="A35" s="33" t="s">
        <v>0</v>
      </c>
      <c r="B35" s="33" t="s">
        <v>63</v>
      </c>
      <c r="C35" s="33" t="s">
        <v>62</v>
      </c>
    </row>
    <row r="36" spans="1:3" x14ac:dyDescent="0.35">
      <c r="A36" s="28" t="s">
        <v>24</v>
      </c>
      <c r="B36" s="29">
        <v>8.0763417080618662</v>
      </c>
      <c r="C36" s="29">
        <v>12.618038588913748</v>
      </c>
    </row>
    <row r="37" spans="1:3" x14ac:dyDescent="0.35">
      <c r="A37" s="28" t="s">
        <v>22</v>
      </c>
      <c r="B37" s="29">
        <v>6.2715083620987322</v>
      </c>
      <c r="C37" s="29">
        <v>11.181691053811637</v>
      </c>
    </row>
    <row r="38" spans="1:3" x14ac:dyDescent="0.35">
      <c r="A38" s="28" t="s">
        <v>21</v>
      </c>
      <c r="B38" s="29">
        <v>7.8274595980422426</v>
      </c>
      <c r="C38" s="29">
        <v>11.839915975888914</v>
      </c>
    </row>
    <row r="39" spans="1:3" x14ac:dyDescent="0.35">
      <c r="A39" s="28" t="s">
        <v>23</v>
      </c>
      <c r="B39" s="29">
        <v>8.0703747150271319</v>
      </c>
      <c r="C39" s="29">
        <v>10.655023878840563</v>
      </c>
    </row>
    <row r="40" spans="1:3" x14ac:dyDescent="0.35">
      <c r="A40" s="28" t="s">
        <v>25</v>
      </c>
      <c r="B40" s="29">
        <v>8.0333057548912379</v>
      </c>
      <c r="C40" s="29">
        <v>14.564892996229361</v>
      </c>
    </row>
    <row r="41" spans="1:3" x14ac:dyDescent="0.35">
      <c r="A41" s="28" t="s">
        <v>118</v>
      </c>
      <c r="B41" s="29">
        <v>11.248518884853228</v>
      </c>
      <c r="C41" s="29">
        <v>16.312399676961121</v>
      </c>
    </row>
    <row r="57" spans="1:5" x14ac:dyDescent="0.35">
      <c r="A57" s="33" t="s">
        <v>104</v>
      </c>
      <c r="B57" s="33"/>
      <c r="C57" s="33"/>
      <c r="D57" s="33"/>
      <c r="E57" s="33"/>
    </row>
    <row r="58" spans="1:5" s="51" customFormat="1" ht="13.5" x14ac:dyDescent="0.3">
      <c r="A58" s="49" t="s">
        <v>75</v>
      </c>
      <c r="B58" s="50"/>
      <c r="C58" s="50"/>
    </row>
    <row r="59" spans="1:5" s="51" customFormat="1" ht="13.5" x14ac:dyDescent="0.3">
      <c r="A59" s="49" t="s">
        <v>76</v>
      </c>
      <c r="B59" s="50"/>
      <c r="C59" s="50"/>
    </row>
    <row r="60" spans="1:5" s="51" customFormat="1" ht="13.5" x14ac:dyDescent="0.3">
      <c r="A60" s="49" t="s">
        <v>77</v>
      </c>
      <c r="B60" s="50"/>
      <c r="C60" s="50"/>
    </row>
    <row r="65" spans="1:4" x14ac:dyDescent="0.35">
      <c r="A65" s="33" t="s">
        <v>0</v>
      </c>
      <c r="B65" s="33" t="s">
        <v>67</v>
      </c>
      <c r="C65" s="33" t="s">
        <v>68</v>
      </c>
      <c r="D65" s="33" t="s">
        <v>69</v>
      </c>
    </row>
    <row r="66" spans="1:4" x14ac:dyDescent="0.35">
      <c r="A66" s="28" t="s">
        <v>22</v>
      </c>
      <c r="B66" s="29">
        <v>22.088000000000001</v>
      </c>
      <c r="C66" s="29">
        <v>11.181691053811637</v>
      </c>
      <c r="D66" s="29">
        <v>248.29906109000001</v>
      </c>
    </row>
    <row r="67" spans="1:4" x14ac:dyDescent="0.35">
      <c r="A67" s="28" t="s">
        <v>24</v>
      </c>
      <c r="B67" s="29">
        <v>17.989999999999998</v>
      </c>
      <c r="C67" s="29">
        <v>12.618038588913748</v>
      </c>
      <c r="D67" s="29">
        <v>170.57982618</v>
      </c>
    </row>
    <row r="68" spans="1:4" x14ac:dyDescent="0.35">
      <c r="A68" s="28" t="s">
        <v>21</v>
      </c>
      <c r="B68" s="29">
        <v>52.923999999999999</v>
      </c>
      <c r="C68" s="29">
        <v>11.839915975888914</v>
      </c>
      <c r="D68" s="29">
        <v>579.84994542999993</v>
      </c>
    </row>
    <row r="69" spans="1:4" x14ac:dyDescent="0.35">
      <c r="A69" s="28" t="s">
        <v>23</v>
      </c>
      <c r="B69" s="29">
        <v>93.44</v>
      </c>
      <c r="C69" s="29">
        <v>10.655023878840563</v>
      </c>
      <c r="D69" s="29">
        <v>803.83452649000003</v>
      </c>
    </row>
    <row r="70" spans="1:4" x14ac:dyDescent="0.35">
      <c r="A70" s="28" t="s">
        <v>25</v>
      </c>
      <c r="B70" s="29">
        <v>38.561999999999998</v>
      </c>
      <c r="C70" s="29">
        <v>14.564892996229361</v>
      </c>
      <c r="D70" s="29">
        <v>339.84283105000003</v>
      </c>
    </row>
    <row r="71" spans="1:4" x14ac:dyDescent="0.35">
      <c r="A71" s="28" t="s">
        <v>118</v>
      </c>
      <c r="B71" s="29">
        <v>3.5489999999999999</v>
      </c>
      <c r="C71" s="29">
        <v>16.312399676961121</v>
      </c>
      <c r="D71" s="29">
        <v>44.530986701300002</v>
      </c>
    </row>
  </sheetData>
  <mergeCells count="7">
    <mergeCell ref="W1:Y1"/>
    <mergeCell ref="T1:U1"/>
    <mergeCell ref="A3:C3"/>
    <mergeCell ref="D1:D2"/>
    <mergeCell ref="F1:F2"/>
    <mergeCell ref="G1:G2"/>
    <mergeCell ref="I1:P1"/>
  </mergeCells>
  <conditionalFormatting sqref="I3:R9">
    <cfRule type="cellIs" dxfId="17" priority="5" operator="greaterThanOrEqual">
      <formula>0</formula>
    </cfRule>
    <cfRule type="cellIs" dxfId="16" priority="6" operator="lessThan">
      <formula>0</formula>
    </cfRule>
  </conditionalFormatting>
  <conditionalFormatting sqref="T4:U9">
    <cfRule type="cellIs" dxfId="15" priority="3" operator="greaterThanOrEqual">
      <formula>0</formula>
    </cfRule>
    <cfRule type="cellIs" dxfId="14" priority="4" operator="lessThan">
      <formula>0</formula>
    </cfRule>
  </conditionalFormatting>
  <conditionalFormatting sqref="W4:Y9">
    <cfRule type="cellIs" dxfId="13" priority="1" operator="greaterThanOrEqual">
      <formula>0</formula>
    </cfRule>
    <cfRule type="cellIs" dxfId="12" priority="2" operator="lessThan">
      <formula>0</formula>
    </cfRule>
  </conditionalFormatting>
  <hyperlinks>
    <hyperlink ref="C1" location="GCF_2025!A1" display="GCF_2025!A1" xr:uid="{D7A27D81-498D-4F19-B6E6-D22CFBCF617E}"/>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71"/>
  <sheetViews>
    <sheetView showGridLines="0" zoomScale="70" zoomScaleNormal="70" workbookViewId="0"/>
  </sheetViews>
  <sheetFormatPr defaultColWidth="8.81640625" defaultRowHeight="15.5" x14ac:dyDescent="0.35"/>
  <cols>
    <col min="1" max="1" width="43.54296875" style="13" customWidth="1"/>
    <col min="2" max="2" width="14.81640625" style="13" bestFit="1" customWidth="1"/>
    <col min="3" max="3" width="68.54296875" style="13" customWidth="1"/>
    <col min="4" max="4" width="17.453125" style="13" customWidth="1"/>
    <col min="5" max="5" width="16.1796875" style="13" bestFit="1" customWidth="1"/>
    <col min="6" max="6" width="19.453125" style="13" customWidth="1"/>
    <col min="7" max="7" width="13.54296875" style="13" customWidth="1"/>
    <col min="8" max="8" width="1.453125" style="13" customWidth="1"/>
    <col min="9" max="10" width="17.453125" style="13" customWidth="1"/>
    <col min="11" max="13" width="17" style="13" customWidth="1"/>
    <col min="14" max="15" width="18.453125" style="13" customWidth="1"/>
    <col min="16" max="18" width="17.1796875" style="13" customWidth="1"/>
    <col min="19" max="19" width="1.453125" style="13" customWidth="1"/>
    <col min="20" max="20" width="16" style="13" customWidth="1"/>
    <col min="21" max="21" width="18.81640625" style="13" customWidth="1"/>
    <col min="22" max="22" width="1.453125" style="13" customWidth="1"/>
    <col min="23" max="23" width="8.81640625" style="13"/>
    <col min="24" max="24" width="11" style="13" customWidth="1"/>
    <col min="25" max="25" width="13.453125" style="13" customWidth="1"/>
    <col min="26" max="16384" width="8.81640625" style="13"/>
  </cols>
  <sheetData>
    <row r="1" spans="1:27" ht="22.4" customHeight="1" x14ac:dyDescent="0.35">
      <c r="A1" s="95">
        <v>46022</v>
      </c>
      <c r="B1" s="22"/>
      <c r="C1" s="84" t="s">
        <v>66</v>
      </c>
      <c r="D1" s="103" t="s">
        <v>80</v>
      </c>
      <c r="E1" s="27" t="s">
        <v>65</v>
      </c>
      <c r="F1" s="103" t="s">
        <v>90</v>
      </c>
      <c r="G1" s="103" t="s">
        <v>61</v>
      </c>
      <c r="H1" s="24"/>
      <c r="I1" s="101" t="s">
        <v>62</v>
      </c>
      <c r="J1" s="107"/>
      <c r="K1" s="107">
        <v>0</v>
      </c>
      <c r="L1" s="107"/>
      <c r="M1" s="107"/>
      <c r="N1" s="107">
        <v>0</v>
      </c>
      <c r="O1" s="107"/>
      <c r="P1" s="107">
        <v>0</v>
      </c>
      <c r="Q1" s="81"/>
      <c r="R1" s="91"/>
      <c r="S1" s="25"/>
      <c r="T1" s="105" t="s">
        <v>87</v>
      </c>
      <c r="U1" s="106">
        <v>0</v>
      </c>
      <c r="V1" s="25"/>
      <c r="W1" s="101" t="s">
        <v>159</v>
      </c>
      <c r="X1" s="107">
        <v>0</v>
      </c>
      <c r="Y1" s="107">
        <v>0</v>
      </c>
    </row>
    <row r="2" spans="1:27" ht="92.5" customHeight="1" x14ac:dyDescent="0.35">
      <c r="A2" s="21" t="s">
        <v>37</v>
      </c>
      <c r="B2" s="21" t="s">
        <v>38</v>
      </c>
      <c r="C2" s="21" t="s">
        <v>39</v>
      </c>
      <c r="D2" s="104">
        <v>0</v>
      </c>
      <c r="E2" s="21" t="s">
        <v>89</v>
      </c>
      <c r="F2" s="104">
        <v>0</v>
      </c>
      <c r="G2" s="104">
        <v>0</v>
      </c>
      <c r="H2" s="24"/>
      <c r="I2" s="59" t="s">
        <v>82</v>
      </c>
      <c r="J2" s="90" t="s">
        <v>154</v>
      </c>
      <c r="K2" s="21" t="s">
        <v>137</v>
      </c>
      <c r="L2" s="21" t="s">
        <v>151</v>
      </c>
      <c r="M2" s="21" t="s">
        <v>158</v>
      </c>
      <c r="N2" s="21" t="s">
        <v>84</v>
      </c>
      <c r="O2" s="21" t="s">
        <v>155</v>
      </c>
      <c r="P2" s="21" t="s">
        <v>138</v>
      </c>
      <c r="Q2" s="21" t="s">
        <v>152</v>
      </c>
      <c r="R2" s="21" t="s">
        <v>157</v>
      </c>
      <c r="S2" s="26"/>
      <c r="T2" s="21" t="s">
        <v>101</v>
      </c>
      <c r="U2" s="21" t="s">
        <v>102</v>
      </c>
      <c r="V2" s="26"/>
      <c r="W2" s="21" t="s">
        <v>129</v>
      </c>
      <c r="X2" s="21" t="s">
        <v>130</v>
      </c>
      <c r="Y2" s="21" t="s">
        <v>131</v>
      </c>
    </row>
    <row r="3" spans="1:27" ht="29.15" customHeight="1" x14ac:dyDescent="0.35">
      <c r="A3" s="100" t="s">
        <v>55</v>
      </c>
      <c r="B3" s="100"/>
      <c r="C3" s="100"/>
      <c r="D3" s="40"/>
      <c r="E3" s="40"/>
      <c r="F3" s="41"/>
      <c r="G3" s="65" t="s">
        <v>88</v>
      </c>
      <c r="H3" s="41"/>
      <c r="I3" s="62">
        <v>4.5730158511206822</v>
      </c>
      <c r="J3" s="62">
        <v>4.5730158511206822</v>
      </c>
      <c r="K3" s="62">
        <v>8.4949852777719634</v>
      </c>
      <c r="L3" s="62">
        <v>4.4568966000018877</v>
      </c>
      <c r="M3" s="62">
        <v>5.9419098791772944</v>
      </c>
      <c r="N3" s="62">
        <v>4.1466298263266026</v>
      </c>
      <c r="O3" s="62">
        <v>4.1466298263266026</v>
      </c>
      <c r="P3" s="62">
        <v>8.7265959475274819</v>
      </c>
      <c r="Q3" s="62">
        <v>4.149558522307121</v>
      </c>
      <c r="R3" s="62">
        <v>6.0487944813674615</v>
      </c>
      <c r="S3" s="41"/>
      <c r="T3" s="41"/>
      <c r="U3" s="41"/>
      <c r="V3" s="41"/>
      <c r="W3" s="41"/>
      <c r="X3" s="41"/>
      <c r="Y3" s="41"/>
    </row>
    <row r="4" spans="1:27" customFormat="1" x14ac:dyDescent="0.35">
      <c r="A4" s="28" t="s">
        <v>31</v>
      </c>
      <c r="B4" s="28" t="s">
        <v>27</v>
      </c>
      <c r="C4" s="28" t="s">
        <v>56</v>
      </c>
      <c r="D4" s="61" t="s">
        <v>170</v>
      </c>
      <c r="E4" s="30">
        <v>30</v>
      </c>
      <c r="F4" s="29">
        <v>126.72778362000001</v>
      </c>
      <c r="G4" s="31">
        <v>15881</v>
      </c>
      <c r="H4" s="19"/>
      <c r="I4" s="32">
        <v>5.3947094355342617</v>
      </c>
      <c r="J4" s="32">
        <v>5.3947094355342617</v>
      </c>
      <c r="K4" s="32">
        <v>8.9775220019737709</v>
      </c>
      <c r="L4" s="32">
        <v>3.9747678104059547</v>
      </c>
      <c r="M4" s="32">
        <v>6.1391761702405345</v>
      </c>
      <c r="N4" s="32">
        <v>5.3706778023822954</v>
      </c>
      <c r="O4" s="32">
        <v>5.3706778023822954</v>
      </c>
      <c r="P4" s="32">
        <v>9.1735443572205533</v>
      </c>
      <c r="Q4" s="32">
        <v>4.5931333124030083</v>
      </c>
      <c r="R4" s="32">
        <v>6.6164533710812545</v>
      </c>
      <c r="S4" s="20"/>
      <c r="T4" s="32">
        <v>5.6666193373530618</v>
      </c>
      <c r="U4" s="32">
        <v>6.1242626955401755</v>
      </c>
      <c r="V4" s="20"/>
      <c r="W4" s="32">
        <v>0.49</v>
      </c>
      <c r="X4" s="32">
        <v>0.71</v>
      </c>
      <c r="Y4" s="32" t="s">
        <v>81</v>
      </c>
      <c r="Z4" s="13"/>
      <c r="AA4" s="53"/>
    </row>
    <row r="5" spans="1:27" customFormat="1" x14ac:dyDescent="0.35">
      <c r="A5" s="28" t="s">
        <v>167</v>
      </c>
      <c r="B5" s="28" t="s">
        <v>29</v>
      </c>
      <c r="C5" s="28" t="s">
        <v>168</v>
      </c>
      <c r="D5" s="61" t="s">
        <v>170</v>
      </c>
      <c r="E5" s="30">
        <v>25.35</v>
      </c>
      <c r="F5" s="29">
        <v>152.67929046</v>
      </c>
      <c r="G5" s="31">
        <v>16740</v>
      </c>
      <c r="H5" s="19"/>
      <c r="I5" s="32">
        <v>6.2491203377902815</v>
      </c>
      <c r="J5" s="32">
        <v>6.2491203377902815</v>
      </c>
      <c r="K5" s="32">
        <v>8.8986728016897452</v>
      </c>
      <c r="L5" s="32">
        <v>4.7596610284591501</v>
      </c>
      <c r="M5" s="32">
        <v>6.0571433408141084</v>
      </c>
      <c r="N5" s="32">
        <v>5.5526115858058889</v>
      </c>
      <c r="O5" s="32">
        <v>5.5526115858058889</v>
      </c>
      <c r="P5" s="32">
        <v>8.9958570359158117</v>
      </c>
      <c r="Q5" s="32">
        <v>3.1723243870252826</v>
      </c>
      <c r="R5" s="32">
        <v>5.365094784375013</v>
      </c>
      <c r="S5" s="20"/>
      <c r="T5" s="32">
        <v>4.0243488158230578</v>
      </c>
      <c r="U5" s="32">
        <v>4.9537151643883215</v>
      </c>
      <c r="V5" s="20"/>
      <c r="W5" s="32">
        <v>0.5</v>
      </c>
      <c r="X5" s="32">
        <v>0.83</v>
      </c>
      <c r="Y5" s="32">
        <v>0.83</v>
      </c>
      <c r="Z5" s="13"/>
      <c r="AA5" s="53"/>
    </row>
    <row r="6" spans="1:27" customFormat="1" x14ac:dyDescent="0.35">
      <c r="A6" s="28" t="s">
        <v>78</v>
      </c>
      <c r="B6" s="28" t="s">
        <v>28</v>
      </c>
      <c r="C6" s="28" t="s">
        <v>57</v>
      </c>
      <c r="D6" s="61" t="s">
        <v>170</v>
      </c>
      <c r="E6" s="30">
        <v>30.8</v>
      </c>
      <c r="F6" s="29">
        <v>413.40451451000001</v>
      </c>
      <c r="G6" s="31">
        <v>45315</v>
      </c>
      <c r="H6" s="19"/>
      <c r="I6" s="32">
        <v>4.2711299395791436</v>
      </c>
      <c r="J6" s="32">
        <v>4.2711299395791436</v>
      </c>
      <c r="K6" s="32">
        <v>8.6406116020934398</v>
      </c>
      <c r="L6" s="32">
        <v>4.3600511034741052</v>
      </c>
      <c r="M6" s="32">
        <v>5.9727127277317216</v>
      </c>
      <c r="N6" s="32">
        <v>4.4318479844028813</v>
      </c>
      <c r="O6" s="32">
        <v>4.4318479844028813</v>
      </c>
      <c r="P6" s="32">
        <v>9.3391727679404966</v>
      </c>
      <c r="Q6" s="32">
        <v>5.0245970324525047</v>
      </c>
      <c r="R6" s="32">
        <v>6.9083632565032804</v>
      </c>
      <c r="S6" s="20"/>
      <c r="T6" s="32">
        <v>4.8946719179296068</v>
      </c>
      <c r="U6" s="32">
        <v>5.9073267435162515</v>
      </c>
      <c r="V6" s="20"/>
      <c r="W6" s="32">
        <v>0.5</v>
      </c>
      <c r="X6" s="32" t="s">
        <v>81</v>
      </c>
      <c r="Y6" s="32">
        <v>0.67</v>
      </c>
      <c r="Z6" s="13"/>
      <c r="AA6" s="53"/>
    </row>
    <row r="7" spans="1:27" customFormat="1" x14ac:dyDescent="0.35">
      <c r="A7" s="28" t="s">
        <v>79</v>
      </c>
      <c r="B7" s="28" t="s">
        <v>26</v>
      </c>
      <c r="C7" s="28" t="s">
        <v>97</v>
      </c>
      <c r="D7" s="61" t="s">
        <v>170</v>
      </c>
      <c r="E7" s="30">
        <v>30</v>
      </c>
      <c r="F7" s="29">
        <v>578.75341508000008</v>
      </c>
      <c r="G7" s="31">
        <v>78991</v>
      </c>
      <c r="H7" s="19"/>
      <c r="I7" s="32">
        <v>2.7183263367971833</v>
      </c>
      <c r="J7" s="32">
        <v>2.7183263367971833</v>
      </c>
      <c r="K7" s="32">
        <v>7.6910794815833183</v>
      </c>
      <c r="L7" s="32">
        <v>4.5111439172957235</v>
      </c>
      <c r="M7" s="32">
        <v>6.1896192811427886</v>
      </c>
      <c r="N7" s="32">
        <v>3.4469752363356809</v>
      </c>
      <c r="O7" s="32">
        <v>3.4469752363356809</v>
      </c>
      <c r="P7" s="32">
        <v>8.5532332288596358</v>
      </c>
      <c r="Q7" s="32">
        <v>3.594401351438159</v>
      </c>
      <c r="R7" s="32">
        <v>5.8564489298486899</v>
      </c>
      <c r="S7" s="20"/>
      <c r="T7" s="32">
        <v>4.9687369667386863</v>
      </c>
      <c r="U7" s="32">
        <v>6.2231478937250113</v>
      </c>
      <c r="V7" s="20"/>
      <c r="W7" s="32">
        <v>0.41000000000000003</v>
      </c>
      <c r="X7" s="32" t="s">
        <v>81</v>
      </c>
      <c r="Y7" s="32">
        <v>0.4874</v>
      </c>
      <c r="Z7" s="13"/>
      <c r="AA7" s="53"/>
    </row>
    <row r="8" spans="1:27" customFormat="1" x14ac:dyDescent="0.35">
      <c r="A8" s="28" t="s">
        <v>106</v>
      </c>
      <c r="B8" s="28" t="s">
        <v>30</v>
      </c>
      <c r="C8" s="28" t="s">
        <v>112</v>
      </c>
      <c r="D8" s="61" t="s">
        <v>170</v>
      </c>
      <c r="E8" s="30">
        <v>30</v>
      </c>
      <c r="F8" s="29">
        <v>267.26285072999997</v>
      </c>
      <c r="G8" s="31">
        <v>34648</v>
      </c>
      <c r="H8" s="19"/>
      <c r="I8" s="32">
        <v>7.7307110438729065</v>
      </c>
      <c r="J8" s="32">
        <v>7.7307110438729065</v>
      </c>
      <c r="K8" s="32">
        <v>9.5285290104270679</v>
      </c>
      <c r="L8" s="32">
        <v>4.5448766543906283</v>
      </c>
      <c r="M8" s="32">
        <v>5.1771871521454349</v>
      </c>
      <c r="N8" s="32">
        <v>3.8418357447903118</v>
      </c>
      <c r="O8" s="32">
        <v>3.8418357447903118</v>
      </c>
      <c r="P8" s="32">
        <v>7.7630504801017297</v>
      </c>
      <c r="Q8" s="32">
        <v>4.3461604904010853</v>
      </c>
      <c r="R8" s="32">
        <v>5.2277986967787404</v>
      </c>
      <c r="S8" s="20"/>
      <c r="T8" s="32">
        <v>4.5630576224307635</v>
      </c>
      <c r="U8" s="32">
        <v>4.7479490731477316</v>
      </c>
      <c r="V8" s="20"/>
      <c r="W8" s="32">
        <v>0.5</v>
      </c>
      <c r="X8" s="32">
        <v>0.78</v>
      </c>
      <c r="Y8" s="32" t="s">
        <v>81</v>
      </c>
      <c r="Z8" s="13"/>
      <c r="AA8" s="53"/>
    </row>
    <row r="9" spans="1:27" customFormat="1" x14ac:dyDescent="0.35">
      <c r="A9" s="28" t="s">
        <v>113</v>
      </c>
      <c r="B9" s="28" t="s">
        <v>119</v>
      </c>
      <c r="C9" s="28" t="s">
        <v>121</v>
      </c>
      <c r="D9" s="61" t="s">
        <v>171</v>
      </c>
      <c r="E9" s="30">
        <v>30</v>
      </c>
      <c r="F9" s="29">
        <v>13.551247999099999</v>
      </c>
      <c r="G9" s="31">
        <v>1335</v>
      </c>
      <c r="H9" s="19"/>
      <c r="I9" s="32">
        <v>4.1476985331310168</v>
      </c>
      <c r="J9" s="32">
        <v>4.1476985331310168</v>
      </c>
      <c r="K9" s="32">
        <v>8.9412369001310221</v>
      </c>
      <c r="L9" s="32" t="s">
        <v>139</v>
      </c>
      <c r="M9" s="32">
        <v>6.3619740716760242</v>
      </c>
      <c r="N9" s="32">
        <v>4.0501043841336015</v>
      </c>
      <c r="O9" s="32">
        <v>4.0501043841336015</v>
      </c>
      <c r="P9" s="32">
        <v>9.2328797665362607</v>
      </c>
      <c r="Q9" s="32" t="s">
        <v>139</v>
      </c>
      <c r="R9" s="32">
        <v>6.6274377288289887</v>
      </c>
      <c r="S9" s="20"/>
      <c r="T9" s="32">
        <v>5.326726500804531</v>
      </c>
      <c r="U9" s="32">
        <v>5.6942509479068333</v>
      </c>
      <c r="V9" s="20"/>
      <c r="W9" s="32">
        <v>0.44669999999999999</v>
      </c>
      <c r="X9" s="32">
        <v>0.59330000000000005</v>
      </c>
      <c r="Y9" s="32" t="s">
        <v>81</v>
      </c>
      <c r="Z9" s="13"/>
      <c r="AA9" s="53"/>
    </row>
    <row r="10" spans="1:27"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7" s="51" customFormat="1" ht="13.5" x14ac:dyDescent="0.3">
      <c r="A11" s="49" t="s">
        <v>173</v>
      </c>
      <c r="B11" s="45"/>
      <c r="C11" s="45"/>
      <c r="D11" s="50"/>
      <c r="E11" s="50"/>
      <c r="F11" s="50"/>
      <c r="G11" s="50"/>
      <c r="H11" s="50"/>
      <c r="I11" s="50"/>
      <c r="J11" s="50"/>
      <c r="K11" s="50"/>
      <c r="L11" s="50"/>
      <c r="M11" s="50"/>
      <c r="N11" s="50"/>
      <c r="O11" s="50"/>
      <c r="P11" s="50"/>
      <c r="Q11" s="50"/>
      <c r="R11" s="50"/>
    </row>
    <row r="12" spans="1:27" s="51" customFormat="1" ht="13.5" x14ac:dyDescent="0.3">
      <c r="A12" s="45" t="s">
        <v>83</v>
      </c>
      <c r="B12" s="49"/>
      <c r="C12" s="49"/>
    </row>
    <row r="13" spans="1:27" s="51" customFormat="1" ht="13.5" x14ac:dyDescent="0.3">
      <c r="A13" s="49" t="s">
        <v>85</v>
      </c>
      <c r="B13" s="49"/>
      <c r="C13" s="49"/>
    </row>
    <row r="14" spans="1:27" s="51" customFormat="1" ht="13.5" x14ac:dyDescent="0.3">
      <c r="A14" s="49" t="s">
        <v>86</v>
      </c>
      <c r="B14" s="49"/>
      <c r="C14" s="49"/>
    </row>
    <row r="15" spans="1:27" s="51" customFormat="1" ht="13.5" x14ac:dyDescent="0.3">
      <c r="A15" s="49" t="s">
        <v>172</v>
      </c>
      <c r="B15" s="50"/>
      <c r="C15" s="50"/>
    </row>
    <row r="16" spans="1:27" s="51" customFormat="1" ht="13.5" x14ac:dyDescent="0.3">
      <c r="A16" s="52" t="s">
        <v>105</v>
      </c>
      <c r="B16" s="50"/>
      <c r="C16" s="50"/>
    </row>
    <row r="17" spans="1:4" s="51" customFormat="1" ht="13.5" x14ac:dyDescent="0.3">
      <c r="A17" s="52" t="s">
        <v>91</v>
      </c>
    </row>
    <row r="18" spans="1:4" s="51" customFormat="1" ht="13.5" x14ac:dyDescent="0.3">
      <c r="A18" s="52" t="s">
        <v>174</v>
      </c>
    </row>
    <row r="19" spans="1:4" s="51" customFormat="1" ht="13.5" x14ac:dyDescent="0.3">
      <c r="A19" s="52" t="s">
        <v>132</v>
      </c>
    </row>
    <row r="20" spans="1:4" s="51" customFormat="1" ht="13.5" x14ac:dyDescent="0.3">
      <c r="A20" s="52" t="s">
        <v>133</v>
      </c>
    </row>
    <row r="21" spans="1:4" s="51" customFormat="1" ht="13.5" x14ac:dyDescent="0.3">
      <c r="A21" s="52" t="s">
        <v>136</v>
      </c>
    </row>
    <row r="22" spans="1:4" s="51" customFormat="1" ht="13.5" x14ac:dyDescent="0.3">
      <c r="A22" s="52" t="s">
        <v>135</v>
      </c>
    </row>
    <row r="23" spans="1:4" s="51" customFormat="1" ht="13.5" x14ac:dyDescent="0.3">
      <c r="A23" s="82" t="s">
        <v>156</v>
      </c>
    </row>
    <row r="24" spans="1:4" x14ac:dyDescent="0.35">
      <c r="A24" s="52"/>
    </row>
    <row r="25" spans="1:4" x14ac:dyDescent="0.35">
      <c r="A25" s="33" t="s">
        <v>103</v>
      </c>
      <c r="B25" s="33"/>
      <c r="C25" s="33"/>
      <c r="D25" s="33"/>
    </row>
    <row r="26" spans="1:4" s="51" customFormat="1" ht="13.5" x14ac:dyDescent="0.3">
      <c r="A26" s="49" t="s">
        <v>73</v>
      </c>
      <c r="B26" s="50"/>
      <c r="C26" s="50"/>
    </row>
    <row r="27" spans="1:4" s="51" customFormat="1" ht="13.5" x14ac:dyDescent="0.3">
      <c r="A27" s="49" t="s">
        <v>74</v>
      </c>
      <c r="B27" s="50"/>
      <c r="C27" s="50"/>
    </row>
    <row r="28" spans="1:4" x14ac:dyDescent="0.35">
      <c r="A28" s="15"/>
      <c r="B28" s="15"/>
      <c r="C28" s="15"/>
    </row>
    <row r="35" spans="1:3" x14ac:dyDescent="0.35">
      <c r="A35" s="33" t="s">
        <v>0</v>
      </c>
      <c r="B35" s="33" t="s">
        <v>63</v>
      </c>
      <c r="C35" s="33" t="s">
        <v>62</v>
      </c>
    </row>
    <row r="36" spans="1:3" x14ac:dyDescent="0.35">
      <c r="A36" s="28" t="s">
        <v>27</v>
      </c>
      <c r="B36" s="29">
        <v>5.6666193373530618</v>
      </c>
      <c r="C36" s="29">
        <v>8.9775220019737709</v>
      </c>
    </row>
    <row r="37" spans="1:3" x14ac:dyDescent="0.35">
      <c r="A37" s="28" t="s">
        <v>29</v>
      </c>
      <c r="B37" s="29">
        <v>4.0243488158230578</v>
      </c>
      <c r="C37" s="29">
        <v>8.8986728016897452</v>
      </c>
    </row>
    <row r="38" spans="1:3" x14ac:dyDescent="0.35">
      <c r="A38" s="28" t="s">
        <v>28</v>
      </c>
      <c r="B38" s="29">
        <v>4.8946719179296068</v>
      </c>
      <c r="C38" s="29">
        <v>8.6406116020934398</v>
      </c>
    </row>
    <row r="39" spans="1:3" x14ac:dyDescent="0.35">
      <c r="A39" s="28" t="s">
        <v>26</v>
      </c>
      <c r="B39" s="29">
        <v>4.9687369667386863</v>
      </c>
      <c r="C39" s="29">
        <v>7.6910794815833183</v>
      </c>
    </row>
    <row r="40" spans="1:3" x14ac:dyDescent="0.35">
      <c r="A40" s="28" t="s">
        <v>30</v>
      </c>
      <c r="B40" s="29">
        <v>4.5630576224307635</v>
      </c>
      <c r="C40" s="29">
        <v>9.5285290104270679</v>
      </c>
    </row>
    <row r="41" spans="1:3" x14ac:dyDescent="0.35">
      <c r="A41" s="28" t="s">
        <v>119</v>
      </c>
      <c r="B41" s="29">
        <v>5.326726500804531</v>
      </c>
      <c r="C41" s="29">
        <v>8.9412369001310221</v>
      </c>
    </row>
    <row r="57" spans="1:5" x14ac:dyDescent="0.35">
      <c r="A57" s="33" t="s">
        <v>104</v>
      </c>
      <c r="B57" s="33"/>
      <c r="C57" s="33"/>
      <c r="D57" s="33"/>
      <c r="E57" s="33"/>
    </row>
    <row r="58" spans="1:5" s="51" customFormat="1" ht="13.5" x14ac:dyDescent="0.3">
      <c r="A58" s="49" t="s">
        <v>75</v>
      </c>
      <c r="B58" s="50"/>
      <c r="C58" s="50"/>
    </row>
    <row r="59" spans="1:5" s="51" customFormat="1" ht="13.5" x14ac:dyDescent="0.3">
      <c r="A59" s="49" t="s">
        <v>76</v>
      </c>
      <c r="B59" s="50"/>
      <c r="C59" s="50"/>
    </row>
    <row r="60" spans="1:5" s="51" customFormat="1" ht="13.5" x14ac:dyDescent="0.3">
      <c r="A60" s="49" t="s">
        <v>77</v>
      </c>
      <c r="B60" s="50"/>
      <c r="C60" s="50"/>
    </row>
    <row r="65" spans="1:4" x14ac:dyDescent="0.35">
      <c r="A65" s="33" t="s">
        <v>0</v>
      </c>
      <c r="B65" s="33" t="s">
        <v>67</v>
      </c>
      <c r="C65" s="33" t="s">
        <v>68</v>
      </c>
      <c r="D65" s="33" t="s">
        <v>69</v>
      </c>
    </row>
    <row r="66" spans="1:4" x14ac:dyDescent="0.35">
      <c r="A66" s="28" t="s">
        <v>27</v>
      </c>
      <c r="B66" s="29">
        <v>15.881</v>
      </c>
      <c r="C66" s="29">
        <v>8.9775220019737709</v>
      </c>
      <c r="D66" s="29">
        <v>126.72778362000001</v>
      </c>
    </row>
    <row r="67" spans="1:4" x14ac:dyDescent="0.35">
      <c r="A67" s="28" t="s">
        <v>29</v>
      </c>
      <c r="B67" s="29">
        <v>16.739999999999998</v>
      </c>
      <c r="C67" s="29">
        <v>8.8986728016897452</v>
      </c>
      <c r="D67" s="29">
        <v>152.67929046</v>
      </c>
    </row>
    <row r="68" spans="1:4" x14ac:dyDescent="0.35">
      <c r="A68" s="28" t="s">
        <v>28</v>
      </c>
      <c r="B68" s="29">
        <v>45.314999999999998</v>
      </c>
      <c r="C68" s="29">
        <v>8.6406116020934398</v>
      </c>
      <c r="D68" s="29">
        <v>413.40451451000001</v>
      </c>
    </row>
    <row r="69" spans="1:4" x14ac:dyDescent="0.35">
      <c r="A69" s="28" t="s">
        <v>26</v>
      </c>
      <c r="B69" s="29">
        <v>78.991</v>
      </c>
      <c r="C69" s="29">
        <v>7.6910794815833183</v>
      </c>
      <c r="D69" s="29">
        <v>578.75341508000008</v>
      </c>
    </row>
    <row r="70" spans="1:4" x14ac:dyDescent="0.35">
      <c r="A70" s="28" t="s">
        <v>30</v>
      </c>
      <c r="B70" s="29">
        <v>34.648000000000003</v>
      </c>
      <c r="C70" s="29">
        <v>9.5285290104270679</v>
      </c>
      <c r="D70" s="29">
        <v>267.26285072999997</v>
      </c>
    </row>
    <row r="71" spans="1:4" x14ac:dyDescent="0.35">
      <c r="A71" s="28" t="s">
        <v>119</v>
      </c>
      <c r="B71" s="29">
        <v>1.335</v>
      </c>
      <c r="C71" s="29">
        <v>8.9412369001310221</v>
      </c>
      <c r="D71" s="29">
        <v>13.551247999099999</v>
      </c>
    </row>
  </sheetData>
  <mergeCells count="7">
    <mergeCell ref="W1:Y1"/>
    <mergeCell ref="T1:U1"/>
    <mergeCell ref="A3:C3"/>
    <mergeCell ref="D1:D2"/>
    <mergeCell ref="F1:F2"/>
    <mergeCell ref="G1:G2"/>
    <mergeCell ref="I1:P1"/>
  </mergeCells>
  <conditionalFormatting sqref="I3:R9">
    <cfRule type="cellIs" dxfId="11" priority="5" operator="greaterThanOrEqual">
      <formula>0</formula>
    </cfRule>
    <cfRule type="cellIs" dxfId="10" priority="6" operator="lessThan">
      <formula>0</formula>
    </cfRule>
  </conditionalFormatting>
  <conditionalFormatting sqref="T4:U9">
    <cfRule type="cellIs" dxfId="9" priority="3" operator="greaterThanOrEqual">
      <formula>0</formula>
    </cfRule>
    <cfRule type="cellIs" dxfId="8" priority="4" operator="lessThan">
      <formula>0</formula>
    </cfRule>
  </conditionalFormatting>
  <conditionalFormatting sqref="W4:Y9">
    <cfRule type="cellIs" dxfId="7" priority="1" operator="greaterThanOrEqual">
      <formula>0</formula>
    </cfRule>
    <cfRule type="cellIs" dxfId="6" priority="2" operator="lessThan">
      <formula>0</formula>
    </cfRule>
  </conditionalFormatting>
  <hyperlinks>
    <hyperlink ref="C1" location="GCF_2025!A1" display="GCF_2025!A1" xr:uid="{7FF44437-933A-4942-9528-1A38E6A26D75}"/>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1"/>
  <sheetViews>
    <sheetView showGridLines="0" zoomScale="70" zoomScaleNormal="70" workbookViewId="0"/>
  </sheetViews>
  <sheetFormatPr defaultColWidth="8.81640625" defaultRowHeight="15.5" x14ac:dyDescent="0.35"/>
  <cols>
    <col min="1" max="1" width="43.54296875" style="13" customWidth="1"/>
    <col min="2" max="2" width="14.81640625" style="13" bestFit="1" customWidth="1"/>
    <col min="3" max="3" width="50" style="13" customWidth="1"/>
    <col min="4" max="4" width="16" style="13" customWidth="1"/>
    <col min="5" max="5" width="16.1796875" style="13" bestFit="1" customWidth="1"/>
    <col min="6" max="6" width="19.453125" style="13" customWidth="1"/>
    <col min="7" max="7" width="12.453125" style="13" customWidth="1"/>
    <col min="8" max="8" width="3.453125" style="13" customWidth="1"/>
    <col min="9" max="10" width="17.54296875" style="13" customWidth="1"/>
    <col min="11" max="11" width="18.1796875" style="13" customWidth="1"/>
    <col min="12" max="13" width="17.81640625" style="13" customWidth="1"/>
    <col min="14" max="14" width="15.81640625" style="13" customWidth="1"/>
    <col min="15" max="15" width="16.54296875" style="13" customWidth="1"/>
    <col min="16" max="16" width="18.1796875" style="13" customWidth="1"/>
    <col min="17" max="18" width="18.54296875" style="13" customWidth="1"/>
    <col min="19" max="19" width="3.453125" style="13" customWidth="1"/>
    <col min="20" max="20" width="17.54296875" style="13" customWidth="1"/>
    <col min="21" max="21" width="17.1796875" style="13" customWidth="1"/>
    <col min="22" max="22" width="3.453125" style="13" customWidth="1"/>
    <col min="23" max="23" width="11" style="13" customWidth="1"/>
    <col min="24" max="24" width="11.1796875" style="13" customWidth="1"/>
    <col min="25" max="25" width="12.453125" style="13" customWidth="1"/>
    <col min="26" max="16384" width="8.81640625" style="13"/>
  </cols>
  <sheetData>
    <row r="1" spans="1:25" ht="22.4" customHeight="1" x14ac:dyDescent="0.35">
      <c r="A1" s="95">
        <v>46022</v>
      </c>
      <c r="B1" s="22"/>
      <c r="C1" s="84" t="s">
        <v>66</v>
      </c>
      <c r="D1" s="103" t="str">
        <f>+GCF_2025!D1</f>
        <v>Veiklos 
laikotarpis, metais</v>
      </c>
      <c r="E1" s="27" t="str">
        <f>+GCF_2025!E1</f>
        <v xml:space="preserve">Strategija </v>
      </c>
      <c r="F1" s="103" t="str">
        <f>+GCF_2025!F1</f>
        <v>Grynųjų aktyvų vertė, mln. Eur [6]</v>
      </c>
      <c r="G1" s="103" t="str">
        <f>+GCF_2025!G1</f>
        <v>Dalyvių skaičius</v>
      </c>
      <c r="H1" s="24"/>
      <c r="I1" s="101" t="str">
        <f>+GCF_2025!I1</f>
        <v>Grąža</v>
      </c>
      <c r="J1" s="107"/>
      <c r="K1" s="107">
        <f>+GCF_2025!K1</f>
        <v>0</v>
      </c>
      <c r="L1" s="107"/>
      <c r="M1" s="107"/>
      <c r="N1" s="107">
        <f>+GCF_2025!N1</f>
        <v>0</v>
      </c>
      <c r="O1" s="107"/>
      <c r="P1" s="107">
        <f>+GCF_2025!P1</f>
        <v>0</v>
      </c>
      <c r="Q1" s="81"/>
      <c r="R1" s="91"/>
      <c r="S1" s="25"/>
      <c r="T1" s="105" t="str">
        <f>+GCF_2025!T1</f>
        <v xml:space="preserve">Rizika [3] </v>
      </c>
      <c r="U1" s="106">
        <f>+GCF_2025!U1</f>
        <v>0</v>
      </c>
      <c r="V1" s="25"/>
      <c r="W1" s="101" t="str">
        <f>+GCF_2025!W1</f>
        <v>Išlaidų rodikliai (2024 m.)</v>
      </c>
      <c r="X1" s="107">
        <f>+GCF_2025!X1</f>
        <v>0</v>
      </c>
      <c r="Y1" s="107">
        <f>+GCF_2025!Y1</f>
        <v>0</v>
      </c>
    </row>
    <row r="2" spans="1:25" ht="92.5" customHeight="1" x14ac:dyDescent="0.35">
      <c r="A2" s="21" t="str">
        <f>+GCF_2025!A2</f>
        <v xml:space="preserve">Pensijų kaupimo bendrovės pavadinimas
</v>
      </c>
      <c r="B2" s="21" t="str">
        <f>+GCF_2025!B2</f>
        <v xml:space="preserve">Fondo kodas
</v>
      </c>
      <c r="C2" s="21" t="str">
        <f>+GCF_2025!C2</f>
        <v xml:space="preserve">Pensijų fondo pavadinimas
</v>
      </c>
      <c r="D2" s="104">
        <f>+GCF_2025!D2</f>
        <v>0</v>
      </c>
      <c r="E2" s="21" t="str">
        <f>+GCF_2025!E2</f>
        <v>rizikingų aktyvų dalis fonde, proc. [5]</v>
      </c>
      <c r="F2" s="104">
        <f>+GCF_2025!F2</f>
        <v>0</v>
      </c>
      <c r="G2" s="104">
        <f>+GCF_2025!G2</f>
        <v>0</v>
      </c>
      <c r="H2" s="24"/>
      <c r="I2" s="59" t="str">
        <f>+GCF_2025!I2</f>
        <v>vieneto vertės pokytis nuo metų pradžios, proc. [1]</v>
      </c>
      <c r="J2" s="90" t="str">
        <f>+GCF_2025!J2</f>
        <v>vieneto vertės pokytis [1] per praėjusius 1 metus, proc.</v>
      </c>
      <c r="K2" s="21" t="str">
        <f>+GCF_2025!K2</f>
        <v>vidutinis metinis vieneto vertės pokytis [10] per praėjusius 3 metus, proc.</v>
      </c>
      <c r="L2" s="21" t="str">
        <f>+GCF_2025!L2</f>
        <v>vidutinis metinis vieneto vertės pokytis [10] per praėjusius 5 metus, proc.</v>
      </c>
      <c r="M2" s="21" t="str">
        <f>+GCF_2025!M2</f>
        <v>vidutinis metinis vieneto vertės pokytis [1] nuo faktinės GCF [12] pradžios</v>
      </c>
      <c r="N2" s="21" t="str">
        <f>+GCF_2025!N2</f>
        <v>lyginamojo indekso vertės pokytis nuo metų pradžios, proc. [2]</v>
      </c>
      <c r="O2" s="21" t="str">
        <f>+GCF_2025!O2</f>
        <v>lyginamojo indekso vertės pokytis [2] per praėjusius 1 metus, proc.</v>
      </c>
      <c r="P2" s="21" t="str">
        <f>+GCF_2025!P2</f>
        <v>vidutinis lyginamojo indekso vertės pokytis [10] per praėjusius 3 metus, proc.</v>
      </c>
      <c r="Q2" s="21" t="str">
        <f>+GCF_2025!Q2</f>
        <v>vidutinis lyginamojo indekso vertės pokytis [10] per praėjusius 5 metus, proc.</v>
      </c>
      <c r="R2" s="21" t="str">
        <f>+GCF_2025!R2</f>
        <v>vidutinis metinis lyginamojo indekso vertės pokytis [2] nuo faktinės GCF [12] pradžios</v>
      </c>
      <c r="S2" s="26"/>
      <c r="T2" s="21" t="str">
        <f>+GCF_2025!T2</f>
        <v xml:space="preserve">vieneto vertės standartinis nuokrypis, per praėjusius 3 metus, proc. </v>
      </c>
      <c r="U2" s="21" t="str">
        <f>+GCF_2025!U2</f>
        <v xml:space="preserve">lyginamojo indekso standartinis nuokrypis, per praėjusius 3 metus, proc. </v>
      </c>
      <c r="V2" s="26"/>
      <c r="W2" s="21" t="str">
        <f>+GCF_2025!W2</f>
        <v>BAR, proc. [8]</v>
      </c>
      <c r="X2" s="21" t="str">
        <f>+GCF_2025!X2</f>
        <v>Sąlyginis BIK, proc. [9]</v>
      </c>
      <c r="Y2" s="21" t="str">
        <f>+GCF_2025!Y2</f>
        <v>Tikėtinas  sąlyginis BIK, proc. [9]</v>
      </c>
    </row>
    <row r="3" spans="1:25" ht="29.15" customHeight="1" x14ac:dyDescent="0.35">
      <c r="A3" s="100" t="str">
        <f>+GCF_2025!A52</f>
        <v>Pensijų turto išsaugojimo pensijų fondai</v>
      </c>
      <c r="B3" s="100"/>
      <c r="C3" s="100"/>
      <c r="D3" s="40"/>
      <c r="E3" s="40"/>
      <c r="F3" s="41"/>
      <c r="G3" s="65" t="str">
        <f>+GCF_2025!G52</f>
        <v>Svertinis vidurkis [4]:</v>
      </c>
      <c r="H3" s="41"/>
      <c r="I3" s="62">
        <f>+GCF_2025!I52</f>
        <v>3.4613520143273018</v>
      </c>
      <c r="J3" s="62">
        <f>+GCF_2025!J52</f>
        <v>3.4613520143273018</v>
      </c>
      <c r="K3" s="62">
        <f>+GCF_2025!K52</f>
        <v>5.8266388252447534</v>
      </c>
      <c r="L3" s="62">
        <f>+GCF_2025!L52</f>
        <v>1.5659899808400832</v>
      </c>
      <c r="M3" s="62">
        <f>+GCF_2025!M52</f>
        <v>2.359923888747427</v>
      </c>
      <c r="N3" s="62">
        <f>+GCF_2025!N52</f>
        <v>2.8248503547708697</v>
      </c>
      <c r="O3" s="62">
        <f>+GCF_2025!O52</f>
        <v>2.8248503547708697</v>
      </c>
      <c r="P3" s="62">
        <f>+GCF_2025!P52</f>
        <v>5.4993007476671414</v>
      </c>
      <c r="Q3" s="62">
        <f>+GCF_2025!Q52</f>
        <v>0.74022884611111117</v>
      </c>
      <c r="R3" s="62">
        <f>+GCF_2025!R52</f>
        <v>1.886851127030142</v>
      </c>
      <c r="S3" s="41"/>
      <c r="T3" s="41"/>
      <c r="U3" s="41"/>
      <c r="V3" s="41"/>
      <c r="W3" s="41"/>
      <c r="X3" s="41"/>
      <c r="Y3" s="41"/>
    </row>
    <row r="4" spans="1:25" customFormat="1" ht="14.5" x14ac:dyDescent="0.35">
      <c r="A4" s="28" t="str">
        <f>+GCF_2025!A53</f>
        <v xml:space="preserve">Luminor investicijų valdymas UAB </v>
      </c>
      <c r="B4" s="28" t="str">
        <f>+GCF_2025!B53</f>
        <v>LMN-TIPF</v>
      </c>
      <c r="C4" s="28" t="str">
        <f>+GCF_2025!C53</f>
        <v>Luminor turto išsaugojimo fondas</v>
      </c>
      <c r="D4" s="61" t="str">
        <f>+GCF_2025!D53</f>
        <v>7m.</v>
      </c>
      <c r="E4" s="30">
        <f>+GCF_2025!E53</f>
        <v>10</v>
      </c>
      <c r="F4" s="29">
        <f>+GCF_2025!F53</f>
        <v>28.106034620000003</v>
      </c>
      <c r="G4" s="31">
        <f>+GCF_2025!G53</f>
        <v>4809</v>
      </c>
      <c r="H4" s="19"/>
      <c r="I4" s="32">
        <f>+GCF_2025!I53</f>
        <v>3.3939723051859882</v>
      </c>
      <c r="J4" s="32">
        <f>+GCF_2025!J53</f>
        <v>3.3939723051859882</v>
      </c>
      <c r="K4" s="32">
        <f>+GCF_2025!K53</f>
        <v>5.0407496694640175</v>
      </c>
      <c r="L4" s="32">
        <f>+GCF_2025!L53</f>
        <v>1.1128927901310037</v>
      </c>
      <c r="M4" s="32">
        <f>+GCF_2025!M53</f>
        <v>1.9185606214717321</v>
      </c>
      <c r="N4" s="32">
        <f>+GCF_2025!N53</f>
        <v>4.6665201353523811</v>
      </c>
      <c r="O4" s="32">
        <f>+GCF_2025!O53</f>
        <v>4.6665201353523811</v>
      </c>
      <c r="P4" s="32">
        <f>+GCF_2025!P53</f>
        <v>5.5737644258782693</v>
      </c>
      <c r="Q4" s="32">
        <f>+GCF_2025!Q53</f>
        <v>1.6924114548724445</v>
      </c>
      <c r="R4" s="32">
        <f>+GCF_2025!R53</f>
        <v>2.4027473922796805</v>
      </c>
      <c r="S4" s="20"/>
      <c r="T4" s="32">
        <f>+GCF_2025!T53</f>
        <v>3.38909773858339</v>
      </c>
      <c r="U4" s="32">
        <f>+GCF_2025!U53</f>
        <v>3.5782713460960589</v>
      </c>
      <c r="V4" s="20"/>
      <c r="W4" s="32" t="e">
        <f>+GCF_2025!#REF!</f>
        <v>#REF!</v>
      </c>
      <c r="X4" s="32" t="e">
        <f>+GCF_2025!#REF!</f>
        <v>#REF!</v>
      </c>
      <c r="Y4" s="32" t="e">
        <f>+GCF_2025!#REF!</f>
        <v>#REF!</v>
      </c>
    </row>
    <row r="5" spans="1:25" customFormat="1" ht="14.5" x14ac:dyDescent="0.35">
      <c r="A5" s="28" t="str">
        <f>+GCF_2025!A54</f>
        <v>UAB Artea Asset Management</v>
      </c>
      <c r="B5" s="28" t="str">
        <f>+GCF_2025!B54</f>
        <v>INV-TIPF</v>
      </c>
      <c r="C5" s="28" t="str">
        <f>+GCF_2025!C54</f>
        <v>Artea pensijų turto išsaugojimo fondas</v>
      </c>
      <c r="D5" s="61" t="str">
        <f>+GCF_2025!D54</f>
        <v>7m.</v>
      </c>
      <c r="E5" s="30">
        <f>+GCF_2025!E54</f>
        <v>17</v>
      </c>
      <c r="F5" s="29">
        <f>+GCF_2025!F54</f>
        <v>30.3757558</v>
      </c>
      <c r="G5" s="31">
        <f>+GCF_2025!G54</f>
        <v>4267</v>
      </c>
      <c r="H5" s="19"/>
      <c r="I5" s="32">
        <f>+GCF_2025!I54</f>
        <v>3.0716437897555959</v>
      </c>
      <c r="J5" s="32">
        <f>+GCF_2025!J54</f>
        <v>3.0716437897555959</v>
      </c>
      <c r="K5" s="32">
        <f>+GCF_2025!K54</f>
        <v>5.6804193494415012</v>
      </c>
      <c r="L5" s="32">
        <f>+GCF_2025!L54</f>
        <v>2.0239299261207933</v>
      </c>
      <c r="M5" s="32">
        <f>+GCF_2025!M54</f>
        <v>3.0170471753953265</v>
      </c>
      <c r="N5" s="32">
        <f>+GCF_2025!N54</f>
        <v>2.9981657779271975</v>
      </c>
      <c r="O5" s="32">
        <f>+GCF_2025!O54</f>
        <v>2.9981657779271975</v>
      </c>
      <c r="P5" s="32">
        <f>+GCF_2025!P54</f>
        <v>5.1895715875426962</v>
      </c>
      <c r="Q5" s="32">
        <f>+GCF_2025!Q54</f>
        <v>1.5280182552398713</v>
      </c>
      <c r="R5" s="32">
        <f>+GCF_2025!R54</f>
        <v>2.7597092308734306</v>
      </c>
      <c r="S5" s="20"/>
      <c r="T5" s="32">
        <f>+GCF_2025!T54</f>
        <v>2.635145200059732</v>
      </c>
      <c r="U5" s="32">
        <f>+GCF_2025!U54</f>
        <v>2.6065821333382369</v>
      </c>
      <c r="V5" s="20"/>
      <c r="W5" s="32" t="e">
        <f>+GCF_2025!#REF!</f>
        <v>#REF!</v>
      </c>
      <c r="X5" s="32" t="e">
        <f>+GCF_2025!#REF!</f>
        <v>#REF!</v>
      </c>
      <c r="Y5" s="32" t="e">
        <f>+GCF_2025!#REF!</f>
        <v>#REF!</v>
      </c>
    </row>
    <row r="6" spans="1:25" customFormat="1" ht="14.5" x14ac:dyDescent="0.35">
      <c r="A6" s="28" t="str">
        <f>+GCF_2025!A55</f>
        <v>UAB „SEB investicijų valdymas“</v>
      </c>
      <c r="B6" s="28" t="str">
        <f>+GCF_2025!B55</f>
        <v>SBN-TIPF</v>
      </c>
      <c r="C6" s="28" t="str">
        <f>+GCF_2025!C55</f>
        <v>SEB turto išsaugojimo pensijų kaupimo fondas</v>
      </c>
      <c r="D6" s="61" t="str">
        <f>+GCF_2025!D55</f>
        <v>7m.</v>
      </c>
      <c r="E6" s="30">
        <f>+GCF_2025!E55</f>
        <v>15</v>
      </c>
      <c r="F6" s="29">
        <f>+GCF_2025!F55</f>
        <v>97.240802090000003</v>
      </c>
      <c r="G6" s="31">
        <f>+GCF_2025!G55</f>
        <v>10998</v>
      </c>
      <c r="H6" s="19"/>
      <c r="I6" s="32">
        <f>+GCF_2025!I55</f>
        <v>3.363834422657952</v>
      </c>
      <c r="J6" s="32">
        <f>+GCF_2025!J55</f>
        <v>3.363834422657952</v>
      </c>
      <c r="K6" s="32">
        <f>+GCF_2025!K55</f>
        <v>6.0807482381887379</v>
      </c>
      <c r="L6" s="32">
        <f>+GCF_2025!L55</f>
        <v>1.622305688016823</v>
      </c>
      <c r="M6" s="32">
        <f>+GCF_2025!M55</f>
        <v>2.4661634989073145</v>
      </c>
      <c r="N6" s="32">
        <f>+GCF_2025!N55</f>
        <v>2.733832599118946</v>
      </c>
      <c r="O6" s="32">
        <f>+GCF_2025!O55</f>
        <v>2.733832599118946</v>
      </c>
      <c r="P6" s="32">
        <f>+GCF_2025!P55</f>
        <v>5.6621719085675926</v>
      </c>
      <c r="Q6" s="32">
        <f>+GCF_2025!Q55</f>
        <v>1.1443203614897035</v>
      </c>
      <c r="R6" s="32">
        <f>+GCF_2025!R55</f>
        <v>2.2168406275631103</v>
      </c>
      <c r="S6" s="20"/>
      <c r="T6" s="32">
        <f>+GCF_2025!T55</f>
        <v>3.2896385161789539</v>
      </c>
      <c r="U6" s="32">
        <f>+GCF_2025!U55</f>
        <v>4.3601255182535086</v>
      </c>
      <c r="V6" s="20"/>
      <c r="W6" s="32" t="e">
        <f>+GCF_2025!#REF!</f>
        <v>#REF!</v>
      </c>
      <c r="X6" s="32" t="e">
        <f>+GCF_2025!#REF!</f>
        <v>#REF!</v>
      </c>
      <c r="Y6" s="32" t="e">
        <f>+GCF_2025!#REF!</f>
        <v>#REF!</v>
      </c>
    </row>
    <row r="7" spans="1:25" customFormat="1" ht="14.5" x14ac:dyDescent="0.35">
      <c r="A7" s="28" t="str">
        <f>+GCF_2025!A56</f>
        <v>UAB „Swedbank investicijų valdymas“</v>
      </c>
      <c r="B7" s="28" t="str">
        <f>+GCF_2025!B56</f>
        <v>SWD-TIPF</v>
      </c>
      <c r="C7" s="28" t="str">
        <f>+GCF_2025!C56</f>
        <v>Swedbank turto išsaugojimo pensijų fondas</v>
      </c>
      <c r="D7" s="61" t="str">
        <f>+GCF_2025!D56</f>
        <v>7m.</v>
      </c>
      <c r="E7" s="30">
        <f>+GCF_2025!E56</f>
        <v>15</v>
      </c>
      <c r="F7" s="29">
        <f>+GCF_2025!F56</f>
        <v>133.49013637000002</v>
      </c>
      <c r="G7" s="31">
        <f>+GCF_2025!G56</f>
        <v>12268</v>
      </c>
      <c r="H7" s="19"/>
      <c r="I7" s="32">
        <f>+GCF_2025!I56</f>
        <v>1.9925495971584439</v>
      </c>
      <c r="J7" s="32">
        <f>+GCF_2025!J56</f>
        <v>1.9925495971584439</v>
      </c>
      <c r="K7" s="32">
        <f>+GCF_2025!K56</f>
        <v>5.7256106458779099</v>
      </c>
      <c r="L7" s="32">
        <f>+GCF_2025!L56</f>
        <v>1.6350398703881996</v>
      </c>
      <c r="M7" s="32">
        <f>+GCF_2025!M56</f>
        <v>2.3572982561139044</v>
      </c>
      <c r="N7" s="32">
        <f>+GCF_2025!N56</f>
        <v>2.4281246717442917</v>
      </c>
      <c r="O7" s="32">
        <f>+GCF_2025!O56</f>
        <v>2.4281246717442917</v>
      </c>
      <c r="P7" s="32">
        <f>+GCF_2025!P56</f>
        <v>6.0064114726671614</v>
      </c>
      <c r="Q7" s="32">
        <f>+GCF_2025!Q56</f>
        <v>-0.27668318827148708</v>
      </c>
      <c r="R7" s="32">
        <f>+GCF_2025!R56</f>
        <v>1.5221575485415251</v>
      </c>
      <c r="S7" s="20"/>
      <c r="T7" s="32">
        <f>+GCF_2025!T56</f>
        <v>3.5472974344520569</v>
      </c>
      <c r="U7" s="32">
        <f>+GCF_2025!U56</f>
        <v>5.0296290133676438</v>
      </c>
      <c r="V7" s="20"/>
      <c r="W7" s="32" t="e">
        <f>+GCF_2025!#REF!</f>
        <v>#REF!</v>
      </c>
      <c r="X7" s="32" t="e">
        <f>+GCF_2025!#REF!</f>
        <v>#REF!</v>
      </c>
      <c r="Y7" s="32" t="e">
        <f>+GCF_2025!#REF!</f>
        <v>#REF!</v>
      </c>
    </row>
    <row r="8" spans="1:25" customFormat="1" ht="14.5" x14ac:dyDescent="0.35">
      <c r="A8" s="28" t="str">
        <f>+GCF_2025!A57</f>
        <v>Allianz Lietuva gyvybės draudimas UAB</v>
      </c>
      <c r="B8" s="28" t="str">
        <f>+GCF_2025!B57</f>
        <v>AVI-TIPF</v>
      </c>
      <c r="C8" s="64" t="str">
        <f>+GCF_2025!C57</f>
        <v>Allianz S turto išsaugojimo pensijų fondas</v>
      </c>
      <c r="D8" s="61" t="str">
        <f>+GCF_2025!D57</f>
        <v>7m.</v>
      </c>
      <c r="E8" s="30">
        <f>+GCF_2025!E57</f>
        <v>10</v>
      </c>
      <c r="F8" s="29">
        <f>+GCF_2025!F57</f>
        <v>70.272019310000005</v>
      </c>
      <c r="G8" s="31">
        <f>+GCF_2025!G57</f>
        <v>10683</v>
      </c>
      <c r="H8" s="19"/>
      <c r="I8" s="32">
        <f>+GCF_2025!I57</f>
        <v>6.6169016680490467</v>
      </c>
      <c r="J8" s="32">
        <f>+GCF_2025!J57</f>
        <v>6.6169016680490467</v>
      </c>
      <c r="K8" s="32">
        <f>+GCF_2025!K57</f>
        <v>6.1333062058643195</v>
      </c>
      <c r="L8" s="32">
        <f>+GCF_2025!L57</f>
        <v>1.3401651008283721</v>
      </c>
      <c r="M8" s="32">
        <f>+GCF_2025!M57</f>
        <v>2.1022206068911586</v>
      </c>
      <c r="N8" s="32">
        <f>+GCF_2025!N57</f>
        <v>2.897075037291641</v>
      </c>
      <c r="O8" s="32">
        <f>+GCF_2025!O57</f>
        <v>2.897075037291641</v>
      </c>
      <c r="P8" s="32">
        <f>+GCF_2025!P57</f>
        <v>4.4739253403556001</v>
      </c>
      <c r="Q8" s="32">
        <f>+GCF_2025!Q57</f>
        <v>1.3914377830714253</v>
      </c>
      <c r="R8" s="32">
        <f>+GCF_2025!R57</f>
        <v>1.5086593787577485</v>
      </c>
      <c r="S8" s="20"/>
      <c r="T8" s="32">
        <f>+GCF_2025!T57</f>
        <v>2.7585579182073343</v>
      </c>
      <c r="U8" s="32">
        <f>+GCF_2025!U57</f>
        <v>2.6173921721962876</v>
      </c>
      <c r="V8" s="20"/>
      <c r="W8" s="32" t="e">
        <f>+GCF_2025!#REF!</f>
        <v>#REF!</v>
      </c>
      <c r="X8" s="32" t="e">
        <f>+GCF_2025!#REF!</f>
        <v>#REF!</v>
      </c>
      <c r="Y8" s="32" t="e">
        <f>+GCF_2025!#REF!</f>
        <v>#REF!</v>
      </c>
    </row>
    <row r="9" spans="1:25" customFormat="1" ht="14.5" x14ac:dyDescent="0.35">
      <c r="A9" s="28" t="str">
        <f>+GCF_2025!A58</f>
        <v>Goindex, UAB</v>
      </c>
      <c r="B9" s="28" t="str">
        <f>+GCF_2025!B58</f>
        <v>GOX-TIPF</v>
      </c>
      <c r="C9" s="64" t="str">
        <f>+GCF_2025!C58</f>
        <v>Goindex turto išsaugojimo pensijų fondas</v>
      </c>
      <c r="D9" s="61" t="str">
        <f>+GCF_2025!D58</f>
        <v>3 m. 5 mėn.</v>
      </c>
      <c r="E9" s="30">
        <f>+GCF_2025!E58</f>
        <v>0</v>
      </c>
      <c r="F9" s="29">
        <f>+GCF_2025!F58</f>
        <v>2.2987906428999998</v>
      </c>
      <c r="G9" s="31">
        <f>+GCF_2025!G58</f>
        <v>158</v>
      </c>
      <c r="H9" s="19"/>
      <c r="I9" s="32">
        <f>+GCF_2025!I58</f>
        <v>2.3903262092238586</v>
      </c>
      <c r="J9" s="32">
        <f>+GCF_2025!J58</f>
        <v>2.3903262092238586</v>
      </c>
      <c r="K9" s="32">
        <f>+GCF_2025!K58</f>
        <v>3.1104633030107021</v>
      </c>
      <c r="L9" s="32" t="str">
        <f>+GCF_2025!L58</f>
        <v>Veikia trumpiau</v>
      </c>
      <c r="M9" s="32">
        <f>+GCF_2025!M58</f>
        <v>2.6093402231978313</v>
      </c>
      <c r="N9" s="32">
        <f>+GCF_2025!N58</f>
        <v>2.6976570521796139</v>
      </c>
      <c r="O9" s="32">
        <f>+GCF_2025!O58</f>
        <v>2.6976570521796139</v>
      </c>
      <c r="P9" s="32">
        <f>+GCF_2025!P58</f>
        <v>3.689034495651522</v>
      </c>
      <c r="Q9" s="32" t="str">
        <f>+GCF_2025!Q58</f>
        <v>Veikia trumpiau</v>
      </c>
      <c r="R9" s="32">
        <f>+GCF_2025!R58</f>
        <v>2.8253127285338575</v>
      </c>
      <c r="S9" s="20"/>
      <c r="T9" s="32">
        <f>+GCF_2025!T58</f>
        <v>2.0667130254238244</v>
      </c>
      <c r="U9" s="32">
        <f>+GCF_2025!U58</f>
        <v>2.2390700504911898</v>
      </c>
      <c r="V9" s="20"/>
      <c r="W9" s="32" t="e">
        <f>+GCF_2025!#REF!</f>
        <v>#REF!</v>
      </c>
      <c r="X9" s="32" t="e">
        <f>+GCF_2025!#REF!</f>
        <v>#REF!</v>
      </c>
      <c r="Y9" s="32" t="e">
        <f>+GCF_2025!#REF!</f>
        <v>#REF!</v>
      </c>
    </row>
    <row r="10" spans="1:25" x14ac:dyDescent="0.35">
      <c r="A10" s="14"/>
      <c r="B10" s="14"/>
      <c r="C10" s="14"/>
      <c r="D10" s="14"/>
      <c r="E10" s="14"/>
      <c r="F10" s="14"/>
      <c r="G10" s="14"/>
      <c r="H10" s="14"/>
      <c r="I10" s="14"/>
      <c r="J10" s="14"/>
      <c r="K10" s="14"/>
      <c r="L10" s="14"/>
      <c r="M10" s="14"/>
      <c r="N10" s="14"/>
      <c r="O10" s="14"/>
      <c r="P10" s="14"/>
      <c r="Q10" s="14"/>
      <c r="R10" s="14"/>
      <c r="S10" s="14"/>
      <c r="T10" s="14"/>
      <c r="U10" s="14"/>
      <c r="V10" s="14"/>
    </row>
    <row r="11" spans="1:25" s="51" customFormat="1" ht="13.5" x14ac:dyDescent="0.3">
      <c r="A11" s="49" t="str">
        <f>+GCF_2025!A62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5"/>
      <c r="C11" s="45"/>
      <c r="D11" s="50"/>
      <c r="E11" s="50"/>
      <c r="F11" s="50"/>
      <c r="G11" s="50"/>
      <c r="H11" s="50"/>
      <c r="I11" s="50"/>
      <c r="J11" s="50"/>
      <c r="K11" s="50"/>
      <c r="L11" s="50"/>
      <c r="M11" s="50"/>
      <c r="N11" s="50"/>
      <c r="O11" s="50"/>
      <c r="P11" s="50"/>
      <c r="Q11" s="50"/>
      <c r="R11" s="50"/>
    </row>
    <row r="12" spans="1:25" s="51" customFormat="1" ht="13.5" x14ac:dyDescent="0.3">
      <c r="A12" s="45" t="str">
        <f>+GCF_2025!A63</f>
        <v>[1] Apskaitos vieneto vertės pokytis. Juo atsižvelgiama į atskaitymus nuo turto.</v>
      </c>
      <c r="B12" s="49"/>
      <c r="C12" s="49"/>
    </row>
    <row r="13" spans="1:25" s="51" customFormat="1" ht="13.5" x14ac:dyDescent="0.3">
      <c r="A13" s="49" t="str">
        <f>+GCF_2025!A64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49"/>
      <c r="C13" s="49"/>
    </row>
    <row r="14" spans="1:25" s="51" customFormat="1" ht="13.5" x14ac:dyDescent="0.3">
      <c r="A14" s="49" t="str">
        <f>+GCF_2025!A65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49"/>
      <c r="C14" s="49"/>
    </row>
    <row r="15" spans="1:25" s="51" customFormat="1" ht="13.5" x14ac:dyDescent="0.3">
      <c r="A15" s="49" t="str">
        <f>+GCF_2025!A66</f>
        <v>[4] Svertiniam vidurkiui apskaičiuoti naudotas 2025-12-31 dienos fondų grynųjų aktyvų dydis.</v>
      </c>
      <c r="B15" s="50"/>
      <c r="C15" s="50"/>
    </row>
    <row r="16" spans="1:25" s="51" customFormat="1" ht="13.5" x14ac:dyDescent="0.3">
      <c r="A16" s="52" t="str">
        <f>+GCF_2025!A67</f>
        <v>[5] Investicijų į akcijas dalis, numatyta pensijų fondo strategijoje. Rizikingų turto klasių dalis gali būti padidinta arba sumažinta iki 10 procentinių punktų.</v>
      </c>
      <c r="B16" s="50"/>
      <c r="C16" s="50"/>
    </row>
    <row r="17" spans="1:4" s="51" customFormat="1" ht="13.5" x14ac:dyDescent="0.3">
      <c r="A17" s="52" t="str">
        <f>+GCF_2025!A68</f>
        <v>[6] Grynieji aktyvai – pensijų fondą sudarančio turto ir įsipareigojimų verčių skirtumas.</v>
      </c>
    </row>
    <row r="18" spans="1:4" s="51" customFormat="1" ht="13.5" x14ac:dyDescent="0.3">
      <c r="A18" s="52" t="str">
        <f>+GCF_2025!A69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4" x14ac:dyDescent="0.35">
      <c r="A19" s="52" t="str">
        <f>+GCF_2025!A70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4" x14ac:dyDescent="0.35">
      <c r="A20" s="52" t="str">
        <f>+GCF_2025!A71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4" x14ac:dyDescent="0.35">
      <c r="A21" s="52" t="str">
        <f>+GCF_2025!A72</f>
        <v>[10] Apskaičiuota taikant geometrinį vidurkį.</v>
      </c>
    </row>
    <row r="22" spans="1:4" x14ac:dyDescent="0.35">
      <c r="A22" s="52" t="str">
        <f>+GCF_2025!A73</f>
        <v>[11] Goindex, UAB valdomi pensijų fondai įsteigti 2022-07-05</v>
      </c>
    </row>
    <row r="23" spans="1:4" x14ac:dyDescent="0.35">
      <c r="A23" s="82" t="s">
        <v>156</v>
      </c>
    </row>
    <row r="24" spans="1:4" x14ac:dyDescent="0.35">
      <c r="A24" s="52"/>
    </row>
    <row r="25" spans="1:4" x14ac:dyDescent="0.35">
      <c r="A25" s="33" t="str">
        <f>+'1996-2002'!A25</f>
        <v>Rizikos ir grąžos palyginimas (per praėjusius 3 metus)</v>
      </c>
      <c r="B25" s="33"/>
      <c r="C25" s="33"/>
      <c r="D25" s="33"/>
    </row>
    <row r="26" spans="1:4" s="51" customFormat="1" ht="13.5" x14ac:dyDescent="0.3">
      <c r="A26" s="49" t="str">
        <f>+'1996-2002'!A26</f>
        <v>Kuo pensijų fondas paveiksle vaizduojamas aukščiau, tuo jo uždirbama grąža yra didesnė. Kuo žemiau – tuo grąža mažesnė.</v>
      </c>
      <c r="B26" s="50"/>
      <c r="C26" s="50"/>
    </row>
    <row r="27" spans="1:4" s="51" customFormat="1" ht="13.5" x14ac:dyDescent="0.3">
      <c r="A27" s="49" t="str">
        <f>+'1996-2002'!A27</f>
        <v>Dešiniau pavaizduoti pensijų fondai prisiima didesnę riziką (jų vieneto vertės svyruoja daugiau). Kairiau – mažesnę (jų vieneto vertės svyruoja mažiau).</v>
      </c>
      <c r="B27" s="50"/>
      <c r="C27" s="50"/>
    </row>
    <row r="28" spans="1:4" x14ac:dyDescent="0.35">
      <c r="A28" s="15"/>
      <c r="B28" s="15"/>
      <c r="C28" s="15"/>
    </row>
    <row r="35" spans="1:3" x14ac:dyDescent="0.35">
      <c r="A35" s="33" t="s">
        <v>0</v>
      </c>
      <c r="B35" s="33" t="s">
        <v>63</v>
      </c>
      <c r="C35" s="33" t="s">
        <v>62</v>
      </c>
    </row>
    <row r="36" spans="1:3" x14ac:dyDescent="0.35">
      <c r="A36" s="28" t="str">
        <f t="shared" ref="A36:A41" si="0">+B4</f>
        <v>LMN-TIPF</v>
      </c>
      <c r="B36" s="29">
        <f t="shared" ref="B36:B41" si="1">+T4</f>
        <v>3.38909773858339</v>
      </c>
      <c r="C36" s="29">
        <f t="shared" ref="C36:C41" si="2">+K4</f>
        <v>5.0407496694640175</v>
      </c>
    </row>
    <row r="37" spans="1:3" x14ac:dyDescent="0.35">
      <c r="A37" s="28" t="str">
        <f t="shared" si="0"/>
        <v>INV-TIPF</v>
      </c>
      <c r="B37" s="29">
        <f t="shared" si="1"/>
        <v>2.635145200059732</v>
      </c>
      <c r="C37" s="29">
        <f t="shared" si="2"/>
        <v>5.6804193494415012</v>
      </c>
    </row>
    <row r="38" spans="1:3" x14ac:dyDescent="0.35">
      <c r="A38" s="28" t="str">
        <f t="shared" si="0"/>
        <v>SBN-TIPF</v>
      </c>
      <c r="B38" s="29">
        <f t="shared" si="1"/>
        <v>3.2896385161789539</v>
      </c>
      <c r="C38" s="29">
        <f t="shared" si="2"/>
        <v>6.0807482381887379</v>
      </c>
    </row>
    <row r="39" spans="1:3" x14ac:dyDescent="0.35">
      <c r="A39" s="28" t="str">
        <f t="shared" si="0"/>
        <v>SWD-TIPF</v>
      </c>
      <c r="B39" s="29">
        <f t="shared" si="1"/>
        <v>3.5472974344520569</v>
      </c>
      <c r="C39" s="29">
        <f t="shared" si="2"/>
        <v>5.7256106458779099</v>
      </c>
    </row>
    <row r="40" spans="1:3" x14ac:dyDescent="0.35">
      <c r="A40" s="28" t="str">
        <f t="shared" si="0"/>
        <v>AVI-TIPF</v>
      </c>
      <c r="B40" s="29">
        <f t="shared" si="1"/>
        <v>2.7585579182073343</v>
      </c>
      <c r="C40" s="29">
        <f t="shared" si="2"/>
        <v>6.1333062058643195</v>
      </c>
    </row>
    <row r="41" spans="1:3" x14ac:dyDescent="0.35">
      <c r="A41" s="28" t="str">
        <f t="shared" si="0"/>
        <v>GOX-TIPF</v>
      </c>
      <c r="B41" s="29">
        <f t="shared" si="1"/>
        <v>2.0667130254238244</v>
      </c>
      <c r="C41" s="29">
        <f t="shared" si="2"/>
        <v>3.1104633030107021</v>
      </c>
    </row>
    <row r="57" spans="1:5" x14ac:dyDescent="0.35">
      <c r="A57" s="33" t="str">
        <f>+'1996-2002'!A57</f>
        <v>Dalyvių skaičiaus, grąžos (per praėjusius 3 metus) ir fondo turto palyginimas</v>
      </c>
      <c r="B57" s="33"/>
      <c r="C57" s="33"/>
      <c r="D57" s="33"/>
      <c r="E57" s="33"/>
    </row>
    <row r="58" spans="1:5" s="51" customFormat="1" ht="13.5" x14ac:dyDescent="0.3">
      <c r="A58" s="49" t="str">
        <f>+'1996-2002'!A58</f>
        <v>Kuo pensijų fondas paveiksle pavaizduotas aukščiau, tuo jo uždirbama grąža yra didesnė. Kuo žemiau – tuo grąža mažesnė.</v>
      </c>
      <c r="B58" s="50"/>
      <c r="C58" s="50"/>
    </row>
    <row r="59" spans="1:5" s="51" customFormat="1" ht="13.5" x14ac:dyDescent="0.3">
      <c r="A59" s="49" t="str">
        <f>+'1996-2002'!A59</f>
        <v>Dešiniau pavaizduoti pensijų fondai turi daugiau dalyvių. Kairiau – mažiau.</v>
      </c>
      <c r="B59" s="50"/>
      <c r="C59" s="50"/>
    </row>
    <row r="60" spans="1:5" s="51" customFormat="1" ht="13.5" x14ac:dyDescent="0.3">
      <c r="A60" s="49" t="str">
        <f>+'1996-2002'!A60</f>
        <v>Kuo didesnis fondą vaizduojančio skritulio dydis – tuo fondas turi daugiau turto. Kuo mažesnis – mažiau.</v>
      </c>
      <c r="B60" s="50"/>
      <c r="C60" s="50"/>
    </row>
    <row r="65" spans="1:4" x14ac:dyDescent="0.35">
      <c r="A65" s="33" t="s">
        <v>0</v>
      </c>
      <c r="B65" s="33" t="s">
        <v>67</v>
      </c>
      <c r="C65" s="33" t="s">
        <v>68</v>
      </c>
      <c r="D65" s="33" t="s">
        <v>69</v>
      </c>
    </row>
    <row r="66" spans="1:4" x14ac:dyDescent="0.35">
      <c r="A66" s="28" t="str">
        <f t="shared" ref="A66:A71" si="3">+B4</f>
        <v>LMN-TIPF</v>
      </c>
      <c r="B66" s="29">
        <f t="shared" ref="B66:B71" si="4">+G4/1000</f>
        <v>4.8090000000000002</v>
      </c>
      <c r="C66" s="29">
        <f t="shared" ref="C66:C71" si="5">+K4</f>
        <v>5.0407496694640175</v>
      </c>
      <c r="D66" s="29">
        <f t="shared" ref="D66:D71" si="6">+F4</f>
        <v>28.106034620000003</v>
      </c>
    </row>
    <row r="67" spans="1:4" x14ac:dyDescent="0.35">
      <c r="A67" s="28" t="str">
        <f t="shared" si="3"/>
        <v>INV-TIPF</v>
      </c>
      <c r="B67" s="29">
        <f t="shared" si="4"/>
        <v>4.2670000000000003</v>
      </c>
      <c r="C67" s="29">
        <f t="shared" si="5"/>
        <v>5.6804193494415012</v>
      </c>
      <c r="D67" s="29">
        <f t="shared" si="6"/>
        <v>30.3757558</v>
      </c>
    </row>
    <row r="68" spans="1:4" x14ac:dyDescent="0.35">
      <c r="A68" s="28" t="str">
        <f t="shared" si="3"/>
        <v>SBN-TIPF</v>
      </c>
      <c r="B68" s="29">
        <f t="shared" si="4"/>
        <v>10.997999999999999</v>
      </c>
      <c r="C68" s="29">
        <f t="shared" si="5"/>
        <v>6.0807482381887379</v>
      </c>
      <c r="D68" s="29">
        <f t="shared" si="6"/>
        <v>97.240802090000003</v>
      </c>
    </row>
    <row r="69" spans="1:4" x14ac:dyDescent="0.35">
      <c r="A69" s="28" t="str">
        <f t="shared" si="3"/>
        <v>SWD-TIPF</v>
      </c>
      <c r="B69" s="29">
        <f t="shared" si="4"/>
        <v>12.268000000000001</v>
      </c>
      <c r="C69" s="29">
        <f t="shared" si="5"/>
        <v>5.7256106458779099</v>
      </c>
      <c r="D69" s="29">
        <f t="shared" si="6"/>
        <v>133.49013637000002</v>
      </c>
    </row>
    <row r="70" spans="1:4" x14ac:dyDescent="0.35">
      <c r="A70" s="28" t="str">
        <f t="shared" si="3"/>
        <v>AVI-TIPF</v>
      </c>
      <c r="B70" s="29">
        <f t="shared" si="4"/>
        <v>10.683</v>
      </c>
      <c r="C70" s="29">
        <f t="shared" si="5"/>
        <v>6.1333062058643195</v>
      </c>
      <c r="D70" s="29">
        <f t="shared" si="6"/>
        <v>70.272019310000005</v>
      </c>
    </row>
    <row r="71" spans="1:4" x14ac:dyDescent="0.35">
      <c r="A71" s="28" t="str">
        <f t="shared" si="3"/>
        <v>GOX-TIPF</v>
      </c>
      <c r="B71" s="29">
        <f t="shared" si="4"/>
        <v>0.158</v>
      </c>
      <c r="C71" s="29">
        <f t="shared" si="5"/>
        <v>3.1104633030107021</v>
      </c>
      <c r="D71" s="29">
        <f t="shared" si="6"/>
        <v>2.2987906428999998</v>
      </c>
    </row>
  </sheetData>
  <mergeCells count="7">
    <mergeCell ref="W1:Y1"/>
    <mergeCell ref="T1:U1"/>
    <mergeCell ref="A3:C3"/>
    <mergeCell ref="D1:D2"/>
    <mergeCell ref="F1:F2"/>
    <mergeCell ref="G1:G2"/>
    <mergeCell ref="I1:P1"/>
  </mergeCells>
  <conditionalFormatting sqref="I3:R9">
    <cfRule type="cellIs" dxfId="5" priority="5" operator="greaterThanOrEqual">
      <formula>0</formula>
    </cfRule>
    <cfRule type="cellIs" dxfId="4" priority="6" operator="lessThan">
      <formula>0</formula>
    </cfRule>
  </conditionalFormatting>
  <conditionalFormatting sqref="T4:U9">
    <cfRule type="cellIs" dxfId="3" priority="3" operator="greaterThanOrEqual">
      <formula>0</formula>
    </cfRule>
    <cfRule type="cellIs" dxfId="2" priority="4" operator="lessThan">
      <formula>0</formula>
    </cfRule>
  </conditionalFormatting>
  <conditionalFormatting sqref="W4:Y9">
    <cfRule type="cellIs" dxfId="1" priority="1" operator="greaterThanOrEqual">
      <formula>0</formula>
    </cfRule>
    <cfRule type="cellIs" dxfId="0" priority="2" operator="lessThan">
      <formula>0</formula>
    </cfRule>
  </conditionalFormatting>
  <hyperlinks>
    <hyperlink ref="C1" location="GCF_2025!A1" display="GCF_2025!A1" xr:uid="{A22D4BD2-109D-4E06-8B86-67E447D2AEDB}"/>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D220B-3EE6-4822-A355-6FDAE189C5B9}">
  <sheetPr>
    <tabColor rgb="FF00B07D"/>
  </sheetPr>
  <dimension ref="A1:O69"/>
  <sheetViews>
    <sheetView showGridLines="0" zoomScale="60" zoomScaleNormal="60" workbookViewId="0">
      <selection sqref="A1:A2"/>
    </sheetView>
  </sheetViews>
  <sheetFormatPr defaultColWidth="8.81640625" defaultRowHeight="13.5" x14ac:dyDescent="0.25"/>
  <cols>
    <col min="1" max="1" width="12.54296875" style="2" customWidth="1"/>
    <col min="2" max="2" width="15.81640625" style="2" customWidth="1"/>
    <col min="3" max="3" width="15.54296875" style="2" customWidth="1"/>
    <col min="4" max="4" width="15.453125" style="2" customWidth="1"/>
    <col min="5" max="5" width="14.1796875" style="2" customWidth="1"/>
    <col min="6" max="7" width="18.453125" style="2" customWidth="1"/>
    <col min="8" max="16384" width="8.81640625" style="2"/>
  </cols>
  <sheetData>
    <row r="1" spans="1:15" ht="13.75" customHeight="1" x14ac:dyDescent="0.25">
      <c r="A1" s="103" t="s">
        <v>64</v>
      </c>
      <c r="B1" s="101" t="s">
        <v>70</v>
      </c>
      <c r="C1" s="102"/>
      <c r="D1" s="102"/>
      <c r="E1" s="102"/>
      <c r="F1" s="102"/>
      <c r="G1" s="102"/>
      <c r="O1" s="16"/>
    </row>
    <row r="2" spans="1:15" ht="59.15" customHeight="1" x14ac:dyDescent="0.25">
      <c r="A2" s="104" t="s">
        <v>64</v>
      </c>
      <c r="B2" s="21" t="s">
        <v>78</v>
      </c>
      <c r="C2" s="21" t="s">
        <v>167</v>
      </c>
      <c r="D2" s="21" t="s">
        <v>79</v>
      </c>
      <c r="E2" s="21" t="s">
        <v>31</v>
      </c>
      <c r="F2" s="21" t="s">
        <v>106</v>
      </c>
      <c r="G2" s="21" t="s">
        <v>113</v>
      </c>
      <c r="H2" s="93" t="s">
        <v>66</v>
      </c>
    </row>
    <row r="3" spans="1:15" x14ac:dyDescent="0.25">
      <c r="A3" s="97">
        <v>20</v>
      </c>
      <c r="B3" s="98">
        <v>98</v>
      </c>
      <c r="C3" s="98">
        <v>97</v>
      </c>
      <c r="D3" s="98">
        <v>97</v>
      </c>
      <c r="E3" s="98">
        <v>90</v>
      </c>
      <c r="F3" s="98">
        <v>90</v>
      </c>
      <c r="G3" s="98">
        <v>100</v>
      </c>
    </row>
    <row r="4" spans="1:15" x14ac:dyDescent="0.25">
      <c r="A4" s="97">
        <v>21</v>
      </c>
      <c r="B4" s="98">
        <v>98</v>
      </c>
      <c r="C4" s="98">
        <v>97</v>
      </c>
      <c r="D4" s="98">
        <v>97</v>
      </c>
      <c r="E4" s="98">
        <v>90</v>
      </c>
      <c r="F4" s="98">
        <v>90</v>
      </c>
      <c r="G4" s="98">
        <v>100</v>
      </c>
    </row>
    <row r="5" spans="1:15" x14ac:dyDescent="0.25">
      <c r="A5" s="97">
        <v>22</v>
      </c>
      <c r="B5" s="98">
        <v>98</v>
      </c>
      <c r="C5" s="98">
        <v>97</v>
      </c>
      <c r="D5" s="98">
        <v>97</v>
      </c>
      <c r="E5" s="98">
        <v>90</v>
      </c>
      <c r="F5" s="98">
        <v>90</v>
      </c>
      <c r="G5" s="98">
        <v>100</v>
      </c>
    </row>
    <row r="6" spans="1:15" x14ac:dyDescent="0.25">
      <c r="A6" s="97">
        <v>23</v>
      </c>
      <c r="B6" s="98">
        <v>98</v>
      </c>
      <c r="C6" s="98">
        <v>97</v>
      </c>
      <c r="D6" s="98">
        <v>97</v>
      </c>
      <c r="E6" s="98">
        <v>90</v>
      </c>
      <c r="F6" s="98">
        <v>90</v>
      </c>
      <c r="G6" s="98">
        <v>100</v>
      </c>
    </row>
    <row r="7" spans="1:15" x14ac:dyDescent="0.25">
      <c r="A7" s="97">
        <v>24</v>
      </c>
      <c r="B7" s="98">
        <v>98</v>
      </c>
      <c r="C7" s="98">
        <v>97</v>
      </c>
      <c r="D7" s="98">
        <v>97</v>
      </c>
      <c r="E7" s="98">
        <v>90</v>
      </c>
      <c r="F7" s="98">
        <v>90</v>
      </c>
      <c r="G7" s="98">
        <v>100</v>
      </c>
    </row>
    <row r="8" spans="1:15" x14ac:dyDescent="0.25">
      <c r="A8" s="97">
        <v>25</v>
      </c>
      <c r="B8" s="98">
        <v>98</v>
      </c>
      <c r="C8" s="98">
        <v>97</v>
      </c>
      <c r="D8" s="98">
        <v>97</v>
      </c>
      <c r="E8" s="98">
        <v>90</v>
      </c>
      <c r="F8" s="98">
        <v>90</v>
      </c>
      <c r="G8" s="98">
        <v>100</v>
      </c>
    </row>
    <row r="9" spans="1:15" x14ac:dyDescent="0.25">
      <c r="A9" s="97">
        <v>26</v>
      </c>
      <c r="B9" s="98">
        <v>98</v>
      </c>
      <c r="C9" s="98">
        <v>97</v>
      </c>
      <c r="D9" s="98">
        <v>97</v>
      </c>
      <c r="E9" s="98">
        <v>90</v>
      </c>
      <c r="F9" s="98">
        <v>90</v>
      </c>
      <c r="G9" s="98">
        <v>100</v>
      </c>
    </row>
    <row r="10" spans="1:15" x14ac:dyDescent="0.25">
      <c r="A10" s="97">
        <v>27</v>
      </c>
      <c r="B10" s="98">
        <v>98</v>
      </c>
      <c r="C10" s="98">
        <v>97</v>
      </c>
      <c r="D10" s="98">
        <v>97</v>
      </c>
      <c r="E10" s="98">
        <v>90</v>
      </c>
      <c r="F10" s="98">
        <v>90</v>
      </c>
      <c r="G10" s="98">
        <v>100</v>
      </c>
    </row>
    <row r="11" spans="1:15" x14ac:dyDescent="0.25">
      <c r="A11" s="97">
        <v>28</v>
      </c>
      <c r="B11" s="98">
        <v>98</v>
      </c>
      <c r="C11" s="98">
        <v>97</v>
      </c>
      <c r="D11" s="98">
        <v>97</v>
      </c>
      <c r="E11" s="98">
        <v>90</v>
      </c>
      <c r="F11" s="98">
        <v>90</v>
      </c>
      <c r="G11" s="98">
        <v>100</v>
      </c>
    </row>
    <row r="12" spans="1:15" x14ac:dyDescent="0.25">
      <c r="A12" s="97">
        <v>29</v>
      </c>
      <c r="B12" s="98">
        <v>98</v>
      </c>
      <c r="C12" s="98">
        <v>97</v>
      </c>
      <c r="D12" s="98">
        <v>97</v>
      </c>
      <c r="E12" s="98">
        <v>90</v>
      </c>
      <c r="F12" s="98">
        <v>90</v>
      </c>
      <c r="G12" s="98">
        <v>100</v>
      </c>
    </row>
    <row r="13" spans="1:15" x14ac:dyDescent="0.25">
      <c r="A13" s="97">
        <v>30</v>
      </c>
      <c r="B13" s="98">
        <v>98</v>
      </c>
      <c r="C13" s="98">
        <v>97</v>
      </c>
      <c r="D13" s="98">
        <v>97</v>
      </c>
      <c r="E13" s="98">
        <v>90</v>
      </c>
      <c r="F13" s="98">
        <v>90</v>
      </c>
      <c r="G13" s="98">
        <v>100</v>
      </c>
    </row>
    <row r="14" spans="1:15" x14ac:dyDescent="0.25">
      <c r="A14" s="97">
        <v>31</v>
      </c>
      <c r="B14" s="98">
        <v>98</v>
      </c>
      <c r="C14" s="98">
        <v>97</v>
      </c>
      <c r="D14" s="98">
        <v>97</v>
      </c>
      <c r="E14" s="98">
        <v>90</v>
      </c>
      <c r="F14" s="98">
        <v>90</v>
      </c>
      <c r="G14" s="98">
        <v>100</v>
      </c>
    </row>
    <row r="15" spans="1:15" x14ac:dyDescent="0.25">
      <c r="A15" s="97">
        <v>32</v>
      </c>
      <c r="B15" s="98">
        <v>98</v>
      </c>
      <c r="C15" s="98">
        <v>97</v>
      </c>
      <c r="D15" s="98">
        <v>97</v>
      </c>
      <c r="E15" s="98">
        <v>90</v>
      </c>
      <c r="F15" s="98">
        <v>90</v>
      </c>
      <c r="G15" s="98">
        <v>100</v>
      </c>
    </row>
    <row r="16" spans="1:15" x14ac:dyDescent="0.25">
      <c r="A16" s="97">
        <v>33</v>
      </c>
      <c r="B16" s="98">
        <v>98</v>
      </c>
      <c r="C16" s="98">
        <v>97</v>
      </c>
      <c r="D16" s="98">
        <v>97</v>
      </c>
      <c r="E16" s="98">
        <v>90</v>
      </c>
      <c r="F16" s="98">
        <v>90</v>
      </c>
      <c r="G16" s="98">
        <v>100</v>
      </c>
    </row>
    <row r="17" spans="1:7" x14ac:dyDescent="0.25">
      <c r="A17" s="97">
        <v>34</v>
      </c>
      <c r="B17" s="98">
        <v>98</v>
      </c>
      <c r="C17" s="98">
        <v>97</v>
      </c>
      <c r="D17" s="98">
        <v>97</v>
      </c>
      <c r="E17" s="98">
        <v>90</v>
      </c>
      <c r="F17" s="98">
        <v>90</v>
      </c>
      <c r="G17" s="98">
        <v>100</v>
      </c>
    </row>
    <row r="18" spans="1:7" x14ac:dyDescent="0.25">
      <c r="A18" s="97">
        <v>35</v>
      </c>
      <c r="B18" s="98">
        <v>98</v>
      </c>
      <c r="C18" s="98">
        <v>97</v>
      </c>
      <c r="D18" s="98">
        <v>97</v>
      </c>
      <c r="E18" s="98">
        <v>90</v>
      </c>
      <c r="F18" s="98">
        <v>90</v>
      </c>
      <c r="G18" s="98">
        <v>100</v>
      </c>
    </row>
    <row r="19" spans="1:7" x14ac:dyDescent="0.25">
      <c r="A19" s="97">
        <v>36</v>
      </c>
      <c r="B19" s="98">
        <v>98</v>
      </c>
      <c r="C19" s="98">
        <v>97</v>
      </c>
      <c r="D19" s="98">
        <v>97</v>
      </c>
      <c r="E19" s="98">
        <v>90</v>
      </c>
      <c r="F19" s="98">
        <v>90</v>
      </c>
      <c r="G19" s="98">
        <v>100</v>
      </c>
    </row>
    <row r="20" spans="1:7" x14ac:dyDescent="0.25">
      <c r="A20" s="97">
        <v>37</v>
      </c>
      <c r="B20" s="98">
        <v>98</v>
      </c>
      <c r="C20" s="98">
        <v>97</v>
      </c>
      <c r="D20" s="98">
        <v>97</v>
      </c>
      <c r="E20" s="98">
        <v>90</v>
      </c>
      <c r="F20" s="98">
        <v>90</v>
      </c>
      <c r="G20" s="98">
        <v>100</v>
      </c>
    </row>
    <row r="21" spans="1:7" x14ac:dyDescent="0.25">
      <c r="A21" s="97">
        <v>38</v>
      </c>
      <c r="B21" s="98">
        <v>98</v>
      </c>
      <c r="C21" s="98">
        <v>97</v>
      </c>
      <c r="D21" s="98">
        <v>97</v>
      </c>
      <c r="E21" s="98">
        <v>90</v>
      </c>
      <c r="F21" s="98">
        <v>90</v>
      </c>
      <c r="G21" s="98">
        <v>100</v>
      </c>
    </row>
    <row r="22" spans="1:7" x14ac:dyDescent="0.25">
      <c r="A22" s="97">
        <v>39</v>
      </c>
      <c r="B22" s="98">
        <v>98</v>
      </c>
      <c r="C22" s="98">
        <v>97</v>
      </c>
      <c r="D22" s="98">
        <v>97</v>
      </c>
      <c r="E22" s="98">
        <v>90</v>
      </c>
      <c r="F22" s="98">
        <v>90</v>
      </c>
      <c r="G22" s="98">
        <v>100</v>
      </c>
    </row>
    <row r="23" spans="1:7" x14ac:dyDescent="0.25">
      <c r="A23" s="97">
        <v>40</v>
      </c>
      <c r="B23" s="98">
        <v>98</v>
      </c>
      <c r="C23" s="98">
        <v>97</v>
      </c>
      <c r="D23" s="98">
        <v>97</v>
      </c>
      <c r="E23" s="98">
        <v>90</v>
      </c>
      <c r="F23" s="98">
        <v>90</v>
      </c>
      <c r="G23" s="98">
        <v>100</v>
      </c>
    </row>
    <row r="24" spans="1:7" x14ac:dyDescent="0.25">
      <c r="A24" s="97">
        <v>41</v>
      </c>
      <c r="B24" s="98">
        <v>98</v>
      </c>
      <c r="C24" s="98">
        <v>97</v>
      </c>
      <c r="D24" s="98">
        <v>97</v>
      </c>
      <c r="E24" s="98">
        <v>90</v>
      </c>
      <c r="F24" s="98">
        <v>90</v>
      </c>
      <c r="G24" s="98">
        <v>100</v>
      </c>
    </row>
    <row r="25" spans="1:7" x14ac:dyDescent="0.25">
      <c r="A25" s="97">
        <v>42</v>
      </c>
      <c r="B25" s="98">
        <v>98</v>
      </c>
      <c r="C25" s="98">
        <v>97</v>
      </c>
      <c r="D25" s="98">
        <v>97</v>
      </c>
      <c r="E25" s="98">
        <v>90</v>
      </c>
      <c r="F25" s="98">
        <v>90</v>
      </c>
      <c r="G25" s="98">
        <v>100</v>
      </c>
    </row>
    <row r="26" spans="1:7" x14ac:dyDescent="0.25">
      <c r="A26" s="97">
        <v>43</v>
      </c>
      <c r="B26" s="98">
        <v>98</v>
      </c>
      <c r="C26" s="98">
        <v>97</v>
      </c>
      <c r="D26" s="98">
        <v>97</v>
      </c>
      <c r="E26" s="98">
        <v>90</v>
      </c>
      <c r="F26" s="98">
        <v>90</v>
      </c>
      <c r="G26" s="98">
        <v>100</v>
      </c>
    </row>
    <row r="27" spans="1:7" x14ac:dyDescent="0.25">
      <c r="A27" s="97">
        <v>44</v>
      </c>
      <c r="B27" s="98">
        <v>98</v>
      </c>
      <c r="C27" s="98">
        <v>97</v>
      </c>
      <c r="D27" s="98">
        <v>97</v>
      </c>
      <c r="E27" s="98">
        <v>90</v>
      </c>
      <c r="F27" s="98">
        <v>90</v>
      </c>
      <c r="G27" s="98">
        <v>100</v>
      </c>
    </row>
    <row r="28" spans="1:7" x14ac:dyDescent="0.25">
      <c r="A28" s="97">
        <v>45</v>
      </c>
      <c r="B28" s="98">
        <v>98</v>
      </c>
      <c r="C28" s="98">
        <v>97</v>
      </c>
      <c r="D28" s="98">
        <v>97</v>
      </c>
      <c r="E28" s="98">
        <v>90</v>
      </c>
      <c r="F28" s="98">
        <v>90</v>
      </c>
      <c r="G28" s="98">
        <v>100</v>
      </c>
    </row>
    <row r="29" spans="1:7" x14ac:dyDescent="0.25">
      <c r="A29" s="97">
        <v>46</v>
      </c>
      <c r="B29" s="98">
        <v>98</v>
      </c>
      <c r="C29" s="98">
        <v>97</v>
      </c>
      <c r="D29" s="98">
        <v>97</v>
      </c>
      <c r="E29" s="98">
        <v>90</v>
      </c>
      <c r="F29" s="98">
        <v>90</v>
      </c>
      <c r="G29" s="98">
        <v>100</v>
      </c>
    </row>
    <row r="30" spans="1:7" x14ac:dyDescent="0.25">
      <c r="A30" s="97">
        <v>47</v>
      </c>
      <c r="B30" s="98">
        <v>98</v>
      </c>
      <c r="C30" s="98">
        <v>97</v>
      </c>
      <c r="D30" s="98">
        <v>97</v>
      </c>
      <c r="E30" s="98">
        <v>90</v>
      </c>
      <c r="F30" s="98">
        <v>90</v>
      </c>
      <c r="G30" s="98">
        <v>100</v>
      </c>
    </row>
    <row r="31" spans="1:7" x14ac:dyDescent="0.25">
      <c r="A31" s="97">
        <v>48</v>
      </c>
      <c r="B31" s="98">
        <v>92.9</v>
      </c>
      <c r="C31" s="98">
        <v>91.88</v>
      </c>
      <c r="D31" s="98">
        <v>95</v>
      </c>
      <c r="E31" s="98">
        <v>90</v>
      </c>
      <c r="F31" s="98">
        <v>90</v>
      </c>
      <c r="G31" s="98">
        <v>100</v>
      </c>
    </row>
    <row r="32" spans="1:7" x14ac:dyDescent="0.25">
      <c r="A32" s="97">
        <v>49</v>
      </c>
      <c r="B32" s="98">
        <v>87.9</v>
      </c>
      <c r="C32" s="98">
        <v>86.77</v>
      </c>
      <c r="D32" s="98">
        <v>90</v>
      </c>
      <c r="E32" s="98">
        <v>90</v>
      </c>
      <c r="F32" s="98">
        <v>90</v>
      </c>
      <c r="G32" s="98">
        <v>100</v>
      </c>
    </row>
    <row r="33" spans="1:7" x14ac:dyDescent="0.25">
      <c r="A33" s="97">
        <v>50</v>
      </c>
      <c r="B33" s="98">
        <v>82.899999999999991</v>
      </c>
      <c r="C33" s="98">
        <v>81.64</v>
      </c>
      <c r="D33" s="98">
        <v>85</v>
      </c>
      <c r="E33" s="98">
        <v>85</v>
      </c>
      <c r="F33" s="98">
        <v>85</v>
      </c>
      <c r="G33" s="98">
        <v>100</v>
      </c>
    </row>
    <row r="34" spans="1:7" x14ac:dyDescent="0.25">
      <c r="A34" s="97">
        <v>51</v>
      </c>
      <c r="B34" s="98">
        <v>78</v>
      </c>
      <c r="C34" s="98">
        <v>76.530000000000015</v>
      </c>
      <c r="D34" s="98">
        <v>80</v>
      </c>
      <c r="E34" s="98">
        <v>80</v>
      </c>
      <c r="F34" s="98">
        <v>80</v>
      </c>
      <c r="G34" s="98">
        <v>100</v>
      </c>
    </row>
    <row r="35" spans="1:7" x14ac:dyDescent="0.25">
      <c r="A35" s="97">
        <v>52</v>
      </c>
      <c r="B35" s="98">
        <v>73.099999999999994</v>
      </c>
      <c r="C35" s="98">
        <v>71.41</v>
      </c>
      <c r="D35" s="98">
        <v>75</v>
      </c>
      <c r="E35" s="98">
        <v>75</v>
      </c>
      <c r="F35" s="98">
        <v>75</v>
      </c>
      <c r="G35" s="98">
        <v>100</v>
      </c>
    </row>
    <row r="36" spans="1:7" x14ac:dyDescent="0.25">
      <c r="A36" s="97">
        <v>53</v>
      </c>
      <c r="B36" s="98">
        <v>68.099999999999994</v>
      </c>
      <c r="C36" s="98">
        <v>66.3</v>
      </c>
      <c r="D36" s="98">
        <v>70</v>
      </c>
      <c r="E36" s="98">
        <v>70</v>
      </c>
      <c r="F36" s="98">
        <v>70</v>
      </c>
      <c r="G36" s="98">
        <v>100</v>
      </c>
    </row>
    <row r="37" spans="1:7" x14ac:dyDescent="0.25">
      <c r="A37" s="97">
        <v>54</v>
      </c>
      <c r="B37" s="98">
        <v>63.3</v>
      </c>
      <c r="C37" s="98">
        <v>61.18</v>
      </c>
      <c r="D37" s="98">
        <v>65</v>
      </c>
      <c r="E37" s="98">
        <v>65</v>
      </c>
      <c r="F37" s="98">
        <v>65</v>
      </c>
      <c r="G37" s="98">
        <v>100</v>
      </c>
    </row>
    <row r="38" spans="1:7" x14ac:dyDescent="0.25">
      <c r="A38" s="97">
        <v>55</v>
      </c>
      <c r="B38" s="98">
        <v>58.5</v>
      </c>
      <c r="C38" s="98">
        <v>56.06</v>
      </c>
      <c r="D38" s="98">
        <v>60</v>
      </c>
      <c r="E38" s="98">
        <v>60</v>
      </c>
      <c r="F38" s="98">
        <v>60</v>
      </c>
      <c r="G38" s="98">
        <v>90</v>
      </c>
    </row>
    <row r="39" spans="1:7" x14ac:dyDescent="0.25">
      <c r="A39" s="97">
        <v>56</v>
      </c>
      <c r="B39" s="98">
        <v>53.800000000000004</v>
      </c>
      <c r="C39" s="98">
        <v>50.94</v>
      </c>
      <c r="D39" s="98">
        <v>55.000000000000007</v>
      </c>
      <c r="E39" s="98">
        <v>55.000000000000007</v>
      </c>
      <c r="F39" s="98">
        <v>55.000000000000007</v>
      </c>
      <c r="G39" s="98">
        <v>80</v>
      </c>
    </row>
    <row r="40" spans="1:7" x14ac:dyDescent="0.25">
      <c r="A40" s="97">
        <v>57</v>
      </c>
      <c r="B40" s="98">
        <v>49.1</v>
      </c>
      <c r="C40" s="98">
        <v>45.82</v>
      </c>
      <c r="D40" s="98">
        <v>50</v>
      </c>
      <c r="E40" s="98">
        <v>50</v>
      </c>
      <c r="F40" s="98">
        <v>50</v>
      </c>
      <c r="G40" s="98">
        <v>70</v>
      </c>
    </row>
    <row r="41" spans="1:7" x14ac:dyDescent="0.25">
      <c r="A41" s="97">
        <v>58</v>
      </c>
      <c r="B41" s="98">
        <v>44.4</v>
      </c>
      <c r="C41" s="98">
        <v>40.71</v>
      </c>
      <c r="D41" s="98">
        <v>45</v>
      </c>
      <c r="E41" s="98">
        <v>45</v>
      </c>
      <c r="F41" s="98">
        <v>45</v>
      </c>
      <c r="G41" s="98">
        <v>60</v>
      </c>
    </row>
    <row r="42" spans="1:7" x14ac:dyDescent="0.25">
      <c r="A42" s="97">
        <v>59</v>
      </c>
      <c r="B42" s="98">
        <v>39.800000000000004</v>
      </c>
      <c r="C42" s="98">
        <v>35.589999999999996</v>
      </c>
      <c r="D42" s="98">
        <v>40</v>
      </c>
      <c r="E42" s="98">
        <v>40</v>
      </c>
      <c r="F42" s="98">
        <v>40</v>
      </c>
      <c r="G42" s="98">
        <v>50</v>
      </c>
    </row>
    <row r="43" spans="1:7" x14ac:dyDescent="0.25">
      <c r="A43" s="97">
        <v>60</v>
      </c>
      <c r="B43" s="98">
        <v>35.299999999999997</v>
      </c>
      <c r="C43" s="98">
        <v>30.470000000000002</v>
      </c>
      <c r="D43" s="98">
        <v>35</v>
      </c>
      <c r="E43" s="98">
        <v>35</v>
      </c>
      <c r="F43" s="98">
        <v>35</v>
      </c>
      <c r="G43" s="98">
        <v>40</v>
      </c>
    </row>
    <row r="44" spans="1:7" x14ac:dyDescent="0.25">
      <c r="A44" s="97">
        <v>61</v>
      </c>
      <c r="B44" s="98">
        <v>30.8</v>
      </c>
      <c r="C44" s="98">
        <v>25.35</v>
      </c>
      <c r="D44" s="98">
        <v>30</v>
      </c>
      <c r="E44" s="98">
        <v>30</v>
      </c>
      <c r="F44" s="98">
        <v>30</v>
      </c>
      <c r="G44" s="98">
        <v>30</v>
      </c>
    </row>
    <row r="45" spans="1:7" x14ac:dyDescent="0.25">
      <c r="A45" s="97">
        <v>62</v>
      </c>
      <c r="B45" s="98">
        <v>26.6</v>
      </c>
      <c r="C45" s="98">
        <v>20.239999999999998</v>
      </c>
      <c r="D45" s="98">
        <v>25</v>
      </c>
      <c r="E45" s="98">
        <v>25</v>
      </c>
      <c r="F45" s="98">
        <v>25</v>
      </c>
      <c r="G45" s="98">
        <v>20</v>
      </c>
    </row>
    <row r="46" spans="1:7" x14ac:dyDescent="0.25">
      <c r="A46" s="97">
        <v>63</v>
      </c>
      <c r="B46" s="98">
        <v>22.400000000000002</v>
      </c>
      <c r="C46" s="98">
        <v>15.120000000000001</v>
      </c>
      <c r="D46" s="98">
        <v>20</v>
      </c>
      <c r="E46" s="98">
        <v>20</v>
      </c>
      <c r="F46" s="98">
        <v>20</v>
      </c>
      <c r="G46" s="98">
        <v>10</v>
      </c>
    </row>
    <row r="47" spans="1:7" x14ac:dyDescent="0.25">
      <c r="A47" s="97">
        <v>64</v>
      </c>
      <c r="B47" s="98">
        <v>18.5</v>
      </c>
      <c r="C47" s="98">
        <v>10</v>
      </c>
      <c r="D47" s="98">
        <v>15</v>
      </c>
      <c r="E47" s="98">
        <v>15</v>
      </c>
      <c r="F47" s="98">
        <v>15</v>
      </c>
      <c r="G47" s="98">
        <v>0</v>
      </c>
    </row>
    <row r="48" spans="1:7" x14ac:dyDescent="0.25">
      <c r="A48" s="97">
        <v>65</v>
      </c>
      <c r="B48" s="98">
        <v>18.5</v>
      </c>
      <c r="C48" s="98">
        <v>10</v>
      </c>
      <c r="D48" s="98">
        <v>15</v>
      </c>
      <c r="E48" s="98">
        <v>10</v>
      </c>
      <c r="F48" s="98">
        <v>15</v>
      </c>
      <c r="G48" s="98">
        <v>0</v>
      </c>
    </row>
    <row r="49" spans="1:7" x14ac:dyDescent="0.25">
      <c r="A49" s="97">
        <v>66</v>
      </c>
      <c r="B49" s="98">
        <v>18.5</v>
      </c>
      <c r="C49" s="98">
        <v>10</v>
      </c>
      <c r="D49" s="98">
        <v>15</v>
      </c>
      <c r="E49" s="98">
        <v>10</v>
      </c>
      <c r="F49" s="98">
        <v>15</v>
      </c>
      <c r="G49" s="98">
        <v>0</v>
      </c>
    </row>
    <row r="50" spans="1:7" x14ac:dyDescent="0.25">
      <c r="A50" s="97">
        <v>67</v>
      </c>
      <c r="B50" s="98">
        <v>18.5</v>
      </c>
      <c r="C50" s="98">
        <v>10</v>
      </c>
      <c r="D50" s="98">
        <v>15</v>
      </c>
      <c r="E50" s="98">
        <v>10</v>
      </c>
      <c r="F50" s="98">
        <v>15</v>
      </c>
      <c r="G50" s="98">
        <v>0</v>
      </c>
    </row>
    <row r="51" spans="1:7" x14ac:dyDescent="0.25">
      <c r="A51" s="97">
        <v>68</v>
      </c>
      <c r="B51" s="98">
        <v>18.5</v>
      </c>
      <c r="C51" s="98">
        <v>10</v>
      </c>
      <c r="D51" s="98">
        <v>15</v>
      </c>
      <c r="E51" s="98">
        <v>10</v>
      </c>
      <c r="F51" s="98">
        <v>15</v>
      </c>
      <c r="G51" s="98">
        <v>0</v>
      </c>
    </row>
    <row r="52" spans="1:7" ht="14" x14ac:dyDescent="0.3">
      <c r="A52" s="82" t="s">
        <v>71</v>
      </c>
      <c r="B52" s="82"/>
      <c r="C52" s="82"/>
      <c r="D52" s="82"/>
      <c r="E52" s="82"/>
      <c r="F52" s="82"/>
      <c r="G52" s="82"/>
    </row>
    <row r="53" spans="1:7" x14ac:dyDescent="0.25">
      <c r="D53" s="99"/>
    </row>
    <row r="54" spans="1:7" x14ac:dyDescent="0.25">
      <c r="D54" s="99"/>
    </row>
    <row r="55" spans="1:7" x14ac:dyDescent="0.25">
      <c r="D55" s="99"/>
    </row>
    <row r="56" spans="1:7" x14ac:dyDescent="0.25">
      <c r="D56" s="99"/>
    </row>
    <row r="57" spans="1:7" x14ac:dyDescent="0.25">
      <c r="D57" s="99"/>
    </row>
    <row r="58" spans="1:7" x14ac:dyDescent="0.25">
      <c r="D58" s="99"/>
    </row>
    <row r="59" spans="1:7" x14ac:dyDescent="0.25">
      <c r="D59" s="99"/>
    </row>
    <row r="65" spans="3:3" x14ac:dyDescent="0.25">
      <c r="C65" s="99"/>
    </row>
    <row r="66" spans="3:3" x14ac:dyDescent="0.25">
      <c r="C66" s="99"/>
    </row>
    <row r="67" spans="3:3" x14ac:dyDescent="0.25">
      <c r="C67" s="99"/>
    </row>
    <row r="68" spans="3:3" x14ac:dyDescent="0.25">
      <c r="C68" s="99"/>
    </row>
    <row r="69" spans="3:3" x14ac:dyDescent="0.25">
      <c r="C69" s="99"/>
    </row>
  </sheetData>
  <mergeCells count="2">
    <mergeCell ref="A1:A2"/>
    <mergeCell ref="B1:G1"/>
  </mergeCells>
  <hyperlinks>
    <hyperlink ref="H2" location="GCF_2025!A1" display="Grįžti į pagrindinį puslapį" xr:uid="{7E70A64A-3B4F-4186-BC04-03D91320F774}"/>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GCF_2025</vt:lpstr>
      <vt:lpstr>2003-2009</vt:lpstr>
      <vt:lpstr>1996-2002</vt:lpstr>
      <vt:lpstr>1989-1995</vt:lpstr>
      <vt:lpstr>1982-1988</vt:lpstr>
      <vt:lpstr>1975-1981</vt:lpstr>
      <vt:lpstr>1968-1974</vt:lpstr>
      <vt:lpstr>1961-1967</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2026-06-18T05:21:39Z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564178-1ca1-4992-b45e-fdaf9919e704_Enabled">
    <vt:lpwstr>true</vt:lpwstr>
  </property>
  <property fmtid="{D5CDD505-2E9C-101B-9397-08002B2CF9AE}" pid="3" name="MSIP_Label_e5564178-1ca1-4992-b45e-fdaf9919e704_SetDate">
    <vt:lpwstr>2026-05-12T10:52:28Z</vt:lpwstr>
  </property>
  <property fmtid="{D5CDD505-2E9C-101B-9397-08002B2CF9AE}" pid="4" name="MSIP_Label_e5564178-1ca1-4992-b45e-fdaf9919e704_Method">
    <vt:lpwstr>Privileged</vt:lpwstr>
  </property>
  <property fmtid="{D5CDD505-2E9C-101B-9397-08002B2CF9AE}" pid="5" name="MSIP_Label_e5564178-1ca1-4992-b45e-fdaf9919e704_Name">
    <vt:lpwstr>LB VIEŠA (ECB PUBLIC)</vt:lpwstr>
  </property>
  <property fmtid="{D5CDD505-2E9C-101B-9397-08002B2CF9AE}" pid="6" name="MSIP_Label_e5564178-1ca1-4992-b45e-fdaf9919e704_SiteId">
    <vt:lpwstr>5a40b399-6903-4594-ad73-dc4ed7ed91c0</vt:lpwstr>
  </property>
  <property fmtid="{D5CDD505-2E9C-101B-9397-08002B2CF9AE}" pid="7" name="MSIP_Label_e5564178-1ca1-4992-b45e-fdaf9919e704_ActionId">
    <vt:lpwstr>d2125340-2b21-4a4c-b09c-3ca2c6c29511</vt:lpwstr>
  </property>
  <property fmtid="{D5CDD505-2E9C-101B-9397-08002B2CF9AE}" pid="8" name="MSIP_Label_e5564178-1ca1-4992-b45e-fdaf9919e704_ContentBits">
    <vt:lpwstr>0</vt:lpwstr>
  </property>
  <property fmtid="{D5CDD505-2E9C-101B-9397-08002B2CF9AE}" pid="9" name="MSIP_Label_e5564178-1ca1-4992-b45e-fdaf9919e704_Tag">
    <vt:lpwstr>10, 0, 1, 1</vt:lpwstr>
  </property>
</Properties>
</file>