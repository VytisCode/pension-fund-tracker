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AAA2FEEC-B0DC-4CD9-9F54-2F50DA2BA2FB}" xr6:coauthVersionLast="47" xr6:coauthVersionMax="47" xr10:uidLastSave="{00000000-0000-0000-0000-000000000000}"/>
  <bookViews>
    <workbookView xWindow="-110" yWindow="-110" windowWidth="19420" windowHeight="11500"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<sst xmlns="http://schemas.openxmlformats.org/spreadsheetml/2006/main" count="1174" uniqueCount="180">
  <si>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</si>
  <si>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</si>
  <si>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</si>
  <si>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</si>
  <si>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</si>
  <si>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</si>
  <si>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</si>
  <si>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</si>
  <si>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</si>
  <si>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</si>
  <si>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</si>
  <si>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</si>
  <si>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</si>
  <si>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</si>
  <si>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</si>
  <si>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</si>
  <si>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</si>
  <si>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</si>
  <si>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</si>
  <si>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</si>
  <si>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</si>
  <si>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</si>
  <si>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</si>
  <si>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</si>
  <si>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</si>
  <si>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</si>
  <si>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</si>
  <si>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</si>
  <si>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</si>
  <si>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</si>
  <si>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</si>
  <si>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</si>
  <si>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</si>
  <si>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</si>
  <si>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</si>
  <si>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</si>
  <si>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</si>
  <si>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</si>
  <si>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</si>
  <si>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</si>
  <si>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</si>
  <si>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</si>
  <si>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</si>
  <si>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</si>
  <si>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</si>
  <si>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</si>
  <si>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</si>
  <si>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</si>
  <si>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</si>
  <si>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</si>
  <si>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</si>
  <si>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</si>
  <si>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</si>
  <si>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</si>
  <si>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</si>
  <si>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</si>
  <si>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</si>
  <si>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</si>
  <si>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</si>
  <si>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</si>
  <si>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</si>
  <si>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</si>
  <si>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</si>
  <si>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</si>
  <si>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</si>
  <si>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</si>
  <si>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</si>
  <si>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</si>
  <si>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</si>
  <si>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</si>
  <si>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</si>
  <si>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</si>
  <si>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</si>
  <si>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</si>
  <si>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</si>
  <si>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</si>
  <si>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</si>
  <si>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</si>
  <si>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</si>
  <si>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</si>
  <si>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</si>
  <si>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</si>
  <si>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</si>
  <si>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</si>
  <si>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</si>
  <si>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</si>
  <si>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</si>
  <si>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</si>
  <si>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</si>
  <si>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</si>
  <si>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</si>
  <si>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</si>
  <si>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</si>
  <si>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</si>
  <si>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</si>
  <si>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</si>
  <si>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</si>
  <si>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</si>
  <si>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</si>
  <si>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</si>
  <si>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</si>
  <si>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</si>
  <si>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</si>
  <si>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</si>
  <si>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</si>
  <si>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</si>
  <si>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</si>
  <si>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</si>
  <si>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</si>
  <si>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</si>
  <si>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</si>
  <si>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</si>
  <si>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</si>
  <si>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</si>
  <si>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</si>
  <si>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</si>
  <si>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</si>
  <si>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</si>
  <si>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</si>
  <si>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</si>
  <si>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</si>
  <si>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</si>
  <si>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</si>
  <si>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</si>
  <si>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</si>
  <si>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</si>
  <si>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</si>
  <si>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</si>
  <si>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</si>
  <si>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</si>
  <si>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</si>
  <si>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</si>
  <si>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</si>
  <si>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</si>
  <si>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</si>
  <si>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</si>
  <si>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</si>
  <si>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</si>
  <si>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</si>
  <si>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</si>
  <si>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</si>
  <si>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</si>
  <si>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</si>
  <si>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</si>
  <si>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</si>
  <si>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</si>
  <si>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</si>
  <si>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</si>
  <si>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Veikia trumpiau</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</si>
  <si>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</si>
  <si>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</si>
  <si>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</si>
  <si>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</si>
  <si>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</si>
  <si>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</si>
  <si>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</si>
  <si>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</si>
  <si>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</si>
  <si>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</si>
  <si>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</si>
  <si>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</si>
  <si>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</si>
  <si>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Išlaidų rodikliai (2022 m.)</t>
  </si>
  <si>
    <t>0,16 [12]</t>
  </si>
  <si>
    <t>0,21 [12]</t>
  </si>
  <si>
    <t>0,14 [12]</t>
  </si>
  <si>
    <t>0,18 [12]</t>
  </si>
  <si>
    <t>0,07 [12]</t>
  </si>
  <si>
    <t>0,1 [12]</t>
  </si>
  <si>
    <t>0,05 [12]</t>
  </si>
  <si>
    <t>0,08 [12]</t>
  </si>
  <si>
    <t>[12] Šie Goindex, UAB valdomi pensijų fondai įsteigti 2022-07-05, todėl išlaidų rodikliai skaičiuojami tik už veikimo laikotarpį, t. y. už ne pilnus 2022 metus.</t>
  </si>
  <si>
    <t>5 m.</t>
  </si>
  <si>
    <t>1 m. 5 mėn.</t>
  </si>
  <si>
    <t>[4] Svertiniam vidurkiui apskaičiuoti naudotas 2023-12-29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</si>
  <si>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</si>
  <si>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</si>
  <si>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UAB „SB Asset Management“</t>
  </si>
  <si>
    <t>UAB „SB Asset Management“ [13]</t>
  </si>
  <si>
    <t>[13] Nuo 2023-12-01 UAB „INVL Asset Management“ pensijų fondus valdo UAB „SB Asset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</si>
</sst>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i/>
      <sz val="10"/>
      <color theme="1"/>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0">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2" fontId="33" fillId="0" borderId="6" xfId="0" applyNumberFormat="1" applyFont="1" applyBorder="1" applyAlignment="1">
      <alignment horizontal="center" vertical="center"/>
    </xf>
    <xf numFmtId="2" fontId="33" fillId="2" borderId="6" xfId="0" applyNumberFormat="1" applyFont="1" applyFill="1" applyBorder="1" applyAlignment="1">
      <alignment horizontal="center" vertical="center"/>
    </xf>
    <xf numFmtId="0" fontId="28" fillId="2" borderId="0" xfId="4" applyFont="1" applyFill="1"/>
    <xf numFmtId="0" fontId="27" fillId="0" borderId="0" xfId="0" applyFont="1" applyFill="1" applyBorder="1" applyAlignment="1">
      <alignment wrapText="1"/>
    </xf>
    <xf numFmtId="1" fontId="16" fillId="0" borderId="6" xfId="0" applyNumberFormat="1" applyFont="1" applyFill="1" applyBorder="1" applyAlignment="1">
      <alignment horizontal="center" vertical="center"/>
    </xf>
    <xf numFmtId="0" fontId="28" fillId="0" borderId="0" xfId="0" applyFont="1"/>
    <xf numFmtId="14" fontId="23" fillId="0" borderId="0" xfId="0" applyNumberFormat="1" applyFont="1"/>
    <xf numFmtId="9" fontId="23" fillId="0" borderId="0" xfId="2" applyNumberFormat="1" applyFont="1"/>
    <xf numFmtId="165" fontId="23" fillId="0" borderId="0" xfId="0" applyNumberFormat="1" applyFont="1"/>
    <xf numFmtId="164" fontId="23" fillId="0" borderId="0" xfId="1" applyFont="1"/>
    <xf numFmtId="168" fontId="23" fillId="0" borderId="0" xfId="2" applyNumberFormat="1" applyFont="1"/>
    <xf numFmtId="167" fontId="23" fillId="0" borderId="0" xfId="0" applyNumberFormat="1" applyFont="1"/>
    <xf numFmtId="0" fontId="26" fillId="0" borderId="7" xfId="0" applyFont="1" applyFill="1" applyBorder="1" applyAlignment="1">
      <alignment horizontal="left" wrapText="1"/>
    </xf>
    <xf numFmtId="0" fontId="26" fillId="0" borderId="9"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'1996-2002'!$C$36</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'1996-2002'!$B$37:$B$41</c:f>
              <c:numCache>
                <c:formatCode>0.00</c:formatCode>
                <c:ptCount val="5"/>
                <c:pt idx="0">
                  <c:v>11.05152369950669</c:v>
                </c:pt>
                <c:pt idx="1">
                  <c:v>11.08421248816504</c:v>
                </c:pt>
                <c:pt idx="2">
                  <c:v>12.188292441842201</c:v>
                </c:pt>
                <c:pt idx="3">
                  <c:v>13.235074869839741</c:v>
                </c:pt>
                <c:pt idx="4">
                  <c:v>11.912929539227394</c:v>
                </c:pt>
              </c:numCache>
            </c:numRef>
          </c:xVal>
          <c:yVal>
            <c:numRef>
              <c:f>'1996-2002'!$C$37:$C$41</c:f>
              <c:numCache>
                <c:formatCode>0.00</c:formatCode>
                <c:ptCount val="5"/>
                <c:pt idx="0">
                  <c:v>4.485276774670055</c:v>
                </c:pt>
                <c:pt idx="1">
                  <c:v>7.9058459660352298</c:v>
                </c:pt>
                <c:pt idx="2">
                  <c:v>7.0386443443053892</c:v>
                </c:pt>
                <c:pt idx="3">
                  <c:v>8.3535379264059184</c:v>
                </c:pt>
                <c:pt idx="4">
                  <c:v>6.8330845929774453</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'1996-2002'!$C$66</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'1996-2002'!$B$67:$B$71</c:f>
              <c:numCache>
                <c:formatCode>0.00</c:formatCode>
                <c:ptCount val="5"/>
                <c:pt idx="0">
                  <c:v>14.941000000000001</c:v>
                </c:pt>
                <c:pt idx="1">
                  <c:v>20.552</c:v>
                </c:pt>
                <c:pt idx="2">
                  <c:v>21.763999999999999</c:v>
                </c:pt>
                <c:pt idx="3">
                  <c:v>49.262</c:v>
                </c:pt>
                <c:pt idx="4">
                  <c:v>20.53</c:v>
                </c:pt>
              </c:numCache>
            </c:numRef>
          </c:xVal>
          <c:yVal>
            <c:numRef>
              <c:f>'1996-2002'!$C$67:$C$71</c:f>
              <c:numCache>
                <c:formatCode>0.00</c:formatCode>
                <c:ptCount val="5"/>
                <c:pt idx="0">
                  <c:v>4.485276774670055</c:v>
                </c:pt>
                <c:pt idx="1">
                  <c:v>7.9058459660352298</c:v>
                </c:pt>
                <c:pt idx="2">
                  <c:v>7.0386443443053892</c:v>
                </c:pt>
                <c:pt idx="3">
                  <c:v>8.3535379264059184</c:v>
                </c:pt>
                <c:pt idx="4">
                  <c:v>6.8330845929774453</c:v>
                </c:pt>
              </c:numCache>
            </c:numRef>
          </c:yVal>
          <c:bubbleSize>
            <c:numRef>
              <c:f>'1996-2002'!$D$67:$D$71</c:f>
              <c:numCache>
                <c:formatCode>0.00</c:formatCode>
                <c:ptCount val="5"/>
                <c:pt idx="0">
                  <c:v>14.82678086</c:v>
                </c:pt>
                <c:pt idx="1">
                  <c:v>34.5551224847</c:v>
                </c:pt>
                <c:pt idx="2">
                  <c:v>42.233967079999999</c:v>
                </c:pt>
                <c:pt idx="3">
                  <c:v>98.98972298999999</c:v>
                </c:pt>
                <c:pt idx="4">
                  <c:v>34.00251051</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'1989-1995'!$C$36</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'1989-1995'!$B$37:$B$41</c:f>
              <c:numCache>
                <c:formatCode>0.00</c:formatCode>
                <c:ptCount val="5"/>
                <c:pt idx="0">
                  <c:v>10.963732676801063</c:v>
                </c:pt>
                <c:pt idx="1">
                  <c:v>10.837301099553866</c:v>
                </c:pt>
                <c:pt idx="2">
                  <c:v>12.176411879128967</c:v>
                </c:pt>
                <c:pt idx="3">
                  <c:v>12.942046682411828</c:v>
                </c:pt>
                <c:pt idx="4">
                  <c:v>11.796515289766731</c:v>
                </c:pt>
              </c:numCache>
            </c:numRef>
          </c:xVal>
          <c:yVal>
            <c:numRef>
              <c:f>'1989-1995'!$C$37:$C$41</c:f>
              <c:numCache>
                <c:formatCode>0.00</c:formatCode>
                <c:ptCount val="5"/>
                <c:pt idx="0">
                  <c:v>4.465843522420232</c:v>
                </c:pt>
                <c:pt idx="1">
                  <c:v>8.0852852868769087</c:v>
                </c:pt>
                <c:pt idx="2">
                  <c:v>6.9739098843869751</c:v>
                </c:pt>
                <c:pt idx="3">
                  <c:v>8.6218757512810171</c:v>
                </c:pt>
                <c:pt idx="4">
                  <c:v>7.1884498535270236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'1989-1995'!$C$66</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'1989-1995'!$B$67:$B$71</c:f>
              <c:numCache>
                <c:formatCode>0.00</c:formatCode>
                <c:ptCount val="5"/>
                <c:pt idx="0">
                  <c:v>19.079000000000001</c:v>
                </c:pt>
                <c:pt idx="1">
                  <c:v>37.409999999999997</c:v>
                </c:pt>
                <c:pt idx="2">
                  <c:v>46.078000000000003</c:v>
                </c:pt>
                <c:pt idx="3">
                  <c:v>95.626000000000005</c:v>
                </c:pt>
                <c:pt idx="4">
                  <c:v>33.984999999999999</c:v>
                </c:pt>
              </c:numCache>
            </c:numRef>
          </c:xVal>
          <c:yVal>
            <c:numRef>
              <c:f>'1989-1995'!$C$67:$C$71</c:f>
              <c:numCache>
                <c:formatCode>0.00</c:formatCode>
                <c:ptCount val="5"/>
                <c:pt idx="0">
                  <c:v>4.465843522420232</c:v>
                </c:pt>
                <c:pt idx="1">
                  <c:v>8.0852852868769087</c:v>
                </c:pt>
                <c:pt idx="2">
                  <c:v>6.9739098843869751</c:v>
                </c:pt>
                <c:pt idx="3">
                  <c:v>8.6218757512810171</c:v>
                </c:pt>
                <c:pt idx="4">
                  <c:v>7.1884498535270236</c:v>
                </c:pt>
              </c:numCache>
            </c:numRef>
          </c:yVal>
          <c:bubbleSize>
            <c:numRef>
              <c:f>'1989-1995'!$D$67:$D$71</c:f>
              <c:numCache>
                <c:formatCode>0.00</c:formatCode>
                <c:ptCount val="5"/>
                <c:pt idx="0">
                  <c:v>52.694060499999999</c:v>
                </c:pt>
                <c:pt idx="1">
                  <c:v>133.17819608529999</c:v>
                </c:pt>
                <c:pt idx="2">
                  <c:v>163.46362188999998</c:v>
                </c:pt>
                <c:pt idx="3">
                  <c:v>343.85591443999999</c:v>
                </c:pt>
                <c:pt idx="4">
                  <c:v>100.50774270999999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'1982-1988'!$C$36</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'1982-1988'!$B$37:$B$41</c:f>
              <c:numCache>
                <c:formatCode>0.00</c:formatCode>
                <c:ptCount val="5"/>
                <c:pt idx="0">
                  <c:v>10.873587827873466</c:v>
                </c:pt>
                <c:pt idx="1">
                  <c:v>10.764532048584597</c:v>
                </c:pt>
                <c:pt idx="2">
                  <c:v>12.148139104276815</c:v>
                </c:pt>
                <c:pt idx="3">
                  <c:v>12.883312300197233</c:v>
                </c:pt>
                <c:pt idx="4">
                  <c:v>11.738240084195322</c:v>
                </c:pt>
              </c:numCache>
            </c:numRef>
          </c:xVal>
          <c:yVal>
            <c:numRef>
              <c:f>'1982-1988'!$C$37:$C$41</c:f>
              <c:numCache>
                <c:formatCode>0.00</c:formatCode>
                <c:ptCount val="5"/>
                <c:pt idx="0">
                  <c:v>4.5861206296655688</c:v>
                </c:pt>
                <c:pt idx="1">
                  <c:v>8.203429821438446</c:v>
                </c:pt>
                <c:pt idx="2">
                  <c:v>6.9603084053469155</c:v>
                </c:pt>
                <c:pt idx="3">
                  <c:v>8.8767339267746159</c:v>
                </c:pt>
                <c:pt idx="4">
                  <c:v>7.0145755076505667</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'1982-1988'!$C$66</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'1982-1988'!$B$67:$B$71</c:f>
              <c:numCache>
                <c:formatCode>0.00</c:formatCode>
                <c:ptCount val="5"/>
                <c:pt idx="0">
                  <c:v>26.215</c:v>
                </c:pt>
                <c:pt idx="1">
                  <c:v>44.918999999999997</c:v>
                </c:pt>
                <c:pt idx="2">
                  <c:v>73.945999999999998</c:v>
                </c:pt>
                <c:pt idx="3">
                  <c:v>113.43300000000001</c:v>
                </c:pt>
                <c:pt idx="4">
                  <c:v>48.008000000000003</c:v>
                </c:pt>
              </c:numCache>
            </c:numRef>
          </c:xVal>
          <c:yVal>
            <c:numRef>
              <c:f>'1982-1988'!$C$67:$C$71</c:f>
              <c:numCache>
                <c:formatCode>0.00</c:formatCode>
                <c:ptCount val="5"/>
                <c:pt idx="0">
                  <c:v>4.5861206296655688</c:v>
                </c:pt>
                <c:pt idx="1">
                  <c:v>8.203429821438446</c:v>
                </c:pt>
                <c:pt idx="2">
                  <c:v>6.9603084053469155</c:v>
                </c:pt>
                <c:pt idx="3">
                  <c:v>8.8767339267746159</c:v>
                </c:pt>
                <c:pt idx="4">
                  <c:v>7.0145755076505667</c:v>
                </c:pt>
              </c:numCache>
            </c:numRef>
          </c:yVal>
          <c:bubbleSize>
            <c:numRef>
              <c:f>'1982-1988'!$D$67:$D$71</c:f>
              <c:numCache>
                <c:formatCode>0.00</c:formatCode>
                <c:ptCount val="5"/>
                <c:pt idx="0">
                  <c:v>103.89874386</c:v>
                </c:pt>
                <c:pt idx="1">
                  <c:v>232.34664083039999</c:v>
                </c:pt>
                <c:pt idx="2">
                  <c:v>363.13438201999998</c:v>
                </c:pt>
                <c:pt idx="3">
                  <c:v>491.13049738999996</c:v>
                </c:pt>
                <c:pt idx="4">
                  <c:v>173.70606647</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'1975-1981'!$C$36</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'1975-1981'!$B$37:$B$41</c:f>
              <c:numCache>
                <c:formatCode>0.00</c:formatCode>
                <c:ptCount val="5"/>
                <c:pt idx="0">
                  <c:v>10.899792750929894</c:v>
                </c:pt>
                <c:pt idx="1">
                  <c:v>10.732120450322844</c:v>
                </c:pt>
                <c:pt idx="2">
                  <c:v>12.139095179254559</c:v>
                </c:pt>
                <c:pt idx="3">
                  <c:v>12.812612559046554</c:v>
                </c:pt>
                <c:pt idx="4">
                  <c:v>11.76622998535434</c:v>
                </c:pt>
              </c:numCache>
            </c:numRef>
          </c:xVal>
          <c:yVal>
            <c:numRef>
              <c:f>'1975-1981'!$C$37:$C$41</c:f>
              <c:numCache>
                <c:formatCode>0.00</c:formatCode>
                <c:ptCount val="5"/>
                <c:pt idx="0">
                  <c:v>4.7596168491578217</c:v>
                </c:pt>
                <c:pt idx="1">
                  <c:v>8.2045885211777136</c:v>
                </c:pt>
                <c:pt idx="2">
                  <c:v>6.9346516710663275</c:v>
                </c:pt>
                <c:pt idx="3">
                  <c:v>8.8729270861585885</c:v>
                </c:pt>
                <c:pt idx="4">
                  <c:v>6.7856418079407677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'1975-1981'!$C$66</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'1975-1981'!$B$67:$B$71</c:f>
              <c:numCache>
                <c:formatCode>0.00</c:formatCode>
                <c:ptCount val="5"/>
                <c:pt idx="0">
                  <c:v>28.088000000000001</c:v>
                </c:pt>
                <c:pt idx="1">
                  <c:v>19.545000000000002</c:v>
                </c:pt>
                <c:pt idx="2">
                  <c:v>62.795999999999999</c:v>
                </c:pt>
                <c:pt idx="3">
                  <c:v>98.5</c:v>
                </c:pt>
                <c:pt idx="4">
                  <c:v>39.969000000000001</c:v>
                </c:pt>
              </c:numCache>
            </c:numRef>
          </c:xVal>
          <c:yVal>
            <c:numRef>
              <c:f>'1975-1981'!$C$67:$C$71</c:f>
              <c:numCache>
                <c:formatCode>0.00</c:formatCode>
                <c:ptCount val="5"/>
                <c:pt idx="0">
                  <c:v>8.2045885211777136</c:v>
                </c:pt>
                <c:pt idx="1">
                  <c:v>4.7596168491578217</c:v>
                </c:pt>
                <c:pt idx="2">
                  <c:v>6.9346516710663275</c:v>
                </c:pt>
                <c:pt idx="3">
                  <c:v>8.8729270861585885</c:v>
                </c:pt>
                <c:pt idx="4">
                  <c:v>6.7856418079407677</c:v>
                </c:pt>
              </c:numCache>
            </c:numRef>
          </c:yVal>
          <c:bubbleSize>
            <c:numRef>
              <c:f>'1975-1981'!$D$67:$D$71</c:f>
              <c:numCache>
                <c:formatCode>0.00</c:formatCode>
                <c:ptCount val="5"/>
                <c:pt idx="0">
                  <c:v>235.3049246912</c:v>
                </c:pt>
                <c:pt idx="1">
                  <c:v>119.01099531999999</c:v>
                </c:pt>
                <c:pt idx="2">
                  <c:v>457.06410735000003</c:v>
                </c:pt>
                <c:pt idx="3">
                  <c:v>596.30426254999998</c:v>
                </c:pt>
                <c:pt idx="4">
                  <c:v>210.87924747</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'1968-1974'!$C$36</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'1968-1974'!$B$37:$B$41</c:f>
              <c:numCache>
                <c:formatCode>0.00</c:formatCode>
                <c:ptCount val="5"/>
                <c:pt idx="0">
                  <c:v>10.369568065173732</c:v>
                </c:pt>
                <c:pt idx="1">
                  <c:v>9.1530270934068678</c:v>
                </c:pt>
                <c:pt idx="2">
                  <c:v>10.741978295100143</c:v>
                </c:pt>
                <c:pt idx="3">
                  <c:v>11.39968641711839</c:v>
                </c:pt>
                <c:pt idx="4">
                  <c:v>10.49750691246499</c:v>
                </c:pt>
              </c:numCache>
            </c:numRef>
          </c:xVal>
          <c:yVal>
            <c:numRef>
              <c:f>'1968-1974'!$C$37:$C$41</c:f>
              <c:numCache>
                <c:formatCode>0.00</c:formatCode>
                <c:ptCount val="5"/>
                <c:pt idx="0">
                  <c:v>4.1525322127150766</c:v>
                </c:pt>
                <c:pt idx="1">
                  <c:v>6.2509935210578904</c:v>
                </c:pt>
                <c:pt idx="2">
                  <c:v>5.7390614975144194</c:v>
                </c:pt>
                <c:pt idx="3">
                  <c:v>7.5862806130489346</c:v>
                </c:pt>
                <c:pt idx="4">
                  <c:v>5.1833676870888468</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'1968-1974'!$C$66</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'1968-1974'!$B$67:$B$71</c:f>
              <c:numCache>
                <c:formatCode>0.00</c:formatCode>
                <c:ptCount val="5"/>
                <c:pt idx="0">
                  <c:v>23.42</c:v>
                </c:pt>
                <c:pt idx="1">
                  <c:v>18.186</c:v>
                </c:pt>
                <c:pt idx="2">
                  <c:v>53.423000000000002</c:v>
                </c:pt>
                <c:pt idx="3">
                  <c:v>95.921999999999997</c:v>
                </c:pt>
                <c:pt idx="4">
                  <c:v>39.667999999999999</c:v>
                </c:pt>
              </c:numCache>
            </c:numRef>
          </c:xVal>
          <c:yVal>
            <c:numRef>
              <c:f>'1968-1974'!$C$67:$C$71</c:f>
              <c:numCache>
                <c:formatCode>0.00</c:formatCode>
                <c:ptCount val="5"/>
                <c:pt idx="0">
                  <c:v>6.2509935210578904</c:v>
                </c:pt>
                <c:pt idx="1">
                  <c:v>4.1525322127150766</c:v>
                </c:pt>
                <c:pt idx="2">
                  <c:v>5.7390614975144194</c:v>
                </c:pt>
                <c:pt idx="3">
                  <c:v>7.5862806130489346</c:v>
                </c:pt>
                <c:pt idx="4">
                  <c:v>5.1833676870888468</c:v>
                </c:pt>
              </c:numCache>
            </c:numRef>
          </c:yVal>
          <c:bubbleSize>
            <c:numRef>
              <c:f>'1968-1974'!$D$67:$D$71</c:f>
              <c:numCache>
                <c:formatCode>0.00</c:formatCode>
                <c:ptCount val="5"/>
                <c:pt idx="0">
                  <c:v>194.00735355809999</c:v>
                </c:pt>
                <c:pt idx="1">
                  <c:v>116.7010763</c:v>
                </c:pt>
                <c:pt idx="2">
                  <c:v>408.98524370999996</c:v>
                </c:pt>
                <c:pt idx="3">
                  <c:v>603.22986958000001</c:v>
                </c:pt>
                <c:pt idx="4">
                  <c:v>226.87033237</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'1961-1967'!$C$36</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'1961-1967'!$B$37:$B$41</c:f>
              <c:numCache>
                <c:formatCode>0.00</c:formatCode>
                <c:ptCount val="5"/>
                <c:pt idx="0">
                  <c:v>8.2347769262406576</c:v>
                </c:pt>
                <c:pt idx="1">
                  <c:v>6.8524238621338132</c:v>
                </c:pt>
                <c:pt idx="2">
                  <c:v>7.8139349428098415</c:v>
                </c:pt>
                <c:pt idx="3">
                  <c:v>8.0892238899219961</c:v>
                </c:pt>
                <c:pt idx="4">
                  <c:v>6.7231846204679089</c:v>
                </c:pt>
              </c:numCache>
            </c:numRef>
          </c:xVal>
          <c:yVal>
            <c:numRef>
              <c:f>'1961-1967'!$C$37:$C$41</c:f>
              <c:numCache>
                <c:formatCode>0.00</c:formatCode>
                <c:ptCount val="5"/>
                <c:pt idx="0">
                  <c:v>1.1214359343409974</c:v>
                </c:pt>
                <c:pt idx="1">
                  <c:v>2.5739927942123764</c:v>
                </c:pt>
                <c:pt idx="2">
                  <c:v>2.2782062673984971</c:v>
                </c:pt>
                <c:pt idx="3">
                  <c:v>3.5065976006565247</c:v>
                </c:pt>
                <c:pt idx="4">
                  <c:v>1.3012450747174942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'1961-1967'!$C$66</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'1961-1967'!$B$67:$B$71</c:f>
              <c:numCache>
                <c:formatCode>0.00</c:formatCode>
                <c:ptCount val="5"/>
                <c:pt idx="0">
                  <c:v>16.552</c:v>
                </c:pt>
                <c:pt idx="1">
                  <c:v>17.538</c:v>
                </c:pt>
                <c:pt idx="2">
                  <c:v>46.81</c:v>
                </c:pt>
                <c:pt idx="3">
                  <c:v>84.379000000000005</c:v>
                </c:pt>
                <c:pt idx="4">
                  <c:v>37.468000000000004</c:v>
                </c:pt>
              </c:numCache>
            </c:numRef>
          </c:xVal>
          <c:yVal>
            <c:numRef>
              <c:f>'1961-1967'!$C$67:$C$71</c:f>
              <c:numCache>
                <c:formatCode>0.00</c:formatCode>
                <c:ptCount val="5"/>
                <c:pt idx="0">
                  <c:v>1.1214359343409974</c:v>
                </c:pt>
                <c:pt idx="1">
                  <c:v>2.5739927942123764</c:v>
                </c:pt>
                <c:pt idx="2">
                  <c:v>2.2782062673984971</c:v>
                </c:pt>
                <c:pt idx="3">
                  <c:v>3.5065976006565247</c:v>
                </c:pt>
                <c:pt idx="4">
                  <c:v>1.3012450747174942</c:v>
                </c:pt>
              </c:numCache>
            </c:numRef>
          </c:yVal>
          <c:bubbleSize>
            <c:numRef>
              <c:f>'1961-1967'!$D$67:$D$71</c:f>
              <c:numCache>
                <c:formatCode>0.00</c:formatCode>
                <c:ptCount val="5"/>
                <c:pt idx="0">
                  <c:v>94.292977010000001</c:v>
                </c:pt>
                <c:pt idx="1">
                  <c:v>122.6155649868</c:v>
                </c:pt>
                <c:pt idx="2">
                  <c:v>312.66239045999998</c:v>
                </c:pt>
                <c:pt idx="3">
                  <c:v>464.85853888999998</c:v>
                </c:pt>
                <c:pt idx="4">
                  <c:v>201.44943655</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'1954-1960'!$C$36</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'1954-1960'!$B$37:$B$41</c:f>
              <c:numCache>
                <c:formatCode>0.00</c:formatCode>
                <c:ptCount val="5"/>
                <c:pt idx="0">
                  <c:v>6.0570414458253587</c:v>
                </c:pt>
                <c:pt idx="1">
                  <c:v>4.7448110816384537</c:v>
                </c:pt>
                <c:pt idx="2">
                  <c:v>5.4452688886214613</c:v>
                </c:pt>
                <c:pt idx="3">
                  <c:v>5.1523394735164461</c:v>
                </c:pt>
                <c:pt idx="4">
                  <c:v>4.0593125513414794</c:v>
                </c:pt>
              </c:numCache>
            </c:numRef>
          </c:xVal>
          <c:yVal>
            <c:numRef>
              <c:f>'1954-1960'!$C$37:$C$41</c:f>
              <c:numCache>
                <c:formatCode>0.00</c:formatCode>
                <c:ptCount val="5"/>
                <c:pt idx="0">
                  <c:v>-1.6402821433512904</c:v>
                </c:pt>
                <c:pt idx="1">
                  <c:v>-0.45496534622549989</c:v>
                </c:pt>
                <c:pt idx="2">
                  <c:v>-0.82598756514876692</c:v>
                </c:pt>
                <c:pt idx="3">
                  <c:v>-0.63601913547957079</c:v>
                </c:pt>
                <c:pt idx="4">
                  <c:v>-0.34311892826716095</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'1954-1960'!$C$66</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'1954-1960'!$B$67:$B$71</c:f>
              <c:numCache>
                <c:formatCode>0.00</c:formatCode>
                <c:ptCount val="5"/>
                <c:pt idx="0">
                  <c:v>3.4809999999999999</c:v>
                </c:pt>
                <c:pt idx="1">
                  <c:v>2.8069999999999999</c:v>
                </c:pt>
                <c:pt idx="2">
                  <c:v>8.8279999999999994</c:v>
                </c:pt>
                <c:pt idx="3">
                  <c:v>13.007</c:v>
                </c:pt>
                <c:pt idx="4">
                  <c:v>7.8410000000000002</c:v>
                </c:pt>
              </c:numCache>
            </c:numRef>
          </c:xVal>
          <c:yVal>
            <c:numRef>
              <c:f>'1954-1960'!$C$67:$C$71</c:f>
              <c:numCache>
                <c:formatCode>0.00</c:formatCode>
                <c:ptCount val="5"/>
                <c:pt idx="0">
                  <c:v>-1.6402821433512904</c:v>
                </c:pt>
                <c:pt idx="1">
                  <c:v>-0.45496534622549989</c:v>
                </c:pt>
                <c:pt idx="2">
                  <c:v>-0.82598756514876692</c:v>
                </c:pt>
                <c:pt idx="3">
                  <c:v>-0.63601913547957079</c:v>
                </c:pt>
                <c:pt idx="4">
                  <c:v>-0.34311892826716095</c:v>
                </c:pt>
              </c:numCache>
            </c:numRef>
          </c:yVal>
          <c:bubbleSize>
            <c:numRef>
              <c:f>'1954-1960'!$D$67:$D$71</c:f>
              <c:numCache>
                <c:formatCode>0.00</c:formatCode>
                <c:ptCount val="5"/>
                <c:pt idx="0">
                  <c:v>18.2109597</c:v>
                </c:pt>
                <c:pt idx="1">
                  <c:v>17.730033161400002</c:v>
                </c:pt>
                <c:pt idx="2">
                  <c:v>54.36879364</c:v>
                </c:pt>
                <c:pt idx="3">
                  <c:v>78.935728609999998</c:v>
                </c:pt>
                <c:pt idx="4">
                  <c:v>42.27616896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TIF!$C$36</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TIF!$B$37:$B$41</c:f>
              <c:numCache>
                <c:formatCode>0.00</c:formatCode>
                <c:ptCount val="5"/>
                <c:pt idx="0">
                  <c:v>4.3780947094682885</c:v>
                </c:pt>
                <c:pt idx="1">
                  <c:v>4.2573723770128673</c:v>
                </c:pt>
                <c:pt idx="2">
                  <c:v>4.7029400440582156</c:v>
                </c:pt>
                <c:pt idx="3">
                  <c:v>5.0269137416582552</c:v>
                </c:pt>
                <c:pt idx="4">
                  <c:v>3.7616719126581288</c:v>
                </c:pt>
              </c:numCache>
            </c:numRef>
          </c:xVal>
          <c:yVal>
            <c:numRef>
              <c:f>TIF!$C$37:$C$41</c:f>
              <c:numCache>
                <c:formatCode>0.00</c:formatCode>
                <c:ptCount val="5"/>
                <c:pt idx="0">
                  <c:v>-1.1985051132855196</c:v>
                </c:pt>
                <c:pt idx="1">
                  <c:v>-2.3941344622890881E-2</c:v>
                </c:pt>
                <c:pt idx="2">
                  <c:v>-0.67153161651762883</c:v>
                </c:pt>
                <c:pt idx="3">
                  <c:v>-0.1260492620153153</c:v>
                </c:pt>
                <c:pt idx="4">
                  <c:v>-2.0592358991000759</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TIF!$C$66</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TIF!$B$67:$B$71</c:f>
              <c:numCache>
                <c:formatCode>0.00</c:formatCode>
                <c:ptCount val="5"/>
                <c:pt idx="0">
                  <c:v>2.3519999999999999</c:v>
                </c:pt>
                <c:pt idx="1">
                  <c:v>1.9630000000000001</c:v>
                </c:pt>
                <c:pt idx="2">
                  <c:v>5.7210000000000001</c:v>
                </c:pt>
                <c:pt idx="3">
                  <c:v>6.8250000000000002</c:v>
                </c:pt>
                <c:pt idx="4">
                  <c:v>5.8559999999999999</c:v>
                </c:pt>
              </c:numCache>
            </c:numRef>
          </c:xVal>
          <c:yVal>
            <c:numRef>
              <c:f>TIF!$C$67:$C$71</c:f>
              <c:numCache>
                <c:formatCode>0.00</c:formatCode>
                <c:ptCount val="5"/>
                <c:pt idx="0">
                  <c:v>-1.1985051132855196</c:v>
                </c:pt>
                <c:pt idx="1">
                  <c:v>-2.3941344622890881E-2</c:v>
                </c:pt>
                <c:pt idx="2">
                  <c:v>-0.67153161651762883</c:v>
                </c:pt>
                <c:pt idx="3">
                  <c:v>-0.1260492620153153</c:v>
                </c:pt>
                <c:pt idx="4">
                  <c:v>-2.0592358991000759</c:v>
                </c:pt>
              </c:numCache>
            </c:numRef>
          </c:yVal>
          <c:bubbleSize>
            <c:numRef>
              <c:f>TIF!$D$67:$D$71</c:f>
              <c:numCache>
                <c:formatCode>0.00</c:formatCode>
                <c:ptCount val="5"/>
                <c:pt idx="0">
                  <c:v>8.3438626799999991</c:v>
                </c:pt>
                <c:pt idx="1">
                  <c:v>10.1510933248</c:v>
                </c:pt>
                <c:pt idx="2">
                  <c:v>39.845487749999997</c:v>
                </c:pt>
                <c:pt idx="3">
                  <c:v>49.559813220000002</c:v>
                </c:pt>
                <c:pt idx="4">
                  <c:v>22.36433809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112814</xdr:rowOff>
    </xdr:from>
    <xdr:to>
      <xdr:col>3</xdr:col>
      <xdr:colOff>1066107</xdr:colOff>
      <xdr:row>55</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122707</xdr:rowOff>
    </xdr:from>
    <xdr:to>
      <xdr:col>4</xdr:col>
      <xdr:colOff>27709</xdr:colOff>
      <xdr:row>87</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109845</xdr:rowOff>
    </xdr:from>
    <xdr:to>
      <xdr:col>4</xdr:col>
      <xdr:colOff>1025236</xdr:colOff>
      <xdr:row>56</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152400</xdr:rowOff>
    </xdr:from>
    <xdr:to>
      <xdr:col>4</xdr:col>
      <xdr:colOff>1094509</xdr:colOff>
      <xdr:row>87</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91044</xdr:rowOff>
    </xdr:from>
    <xdr:to>
      <xdr:col>5</xdr:col>
      <xdr:colOff>0</xdr:colOff>
      <xdr:row>55</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64321</xdr:rowOff>
    </xdr:from>
    <xdr:to>
      <xdr:col>5</xdr:col>
      <xdr:colOff>41564</xdr:colOff>
      <xdr:row>87</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77190</xdr:rowOff>
    </xdr:from>
    <xdr:to>
      <xdr:col>4</xdr:col>
      <xdr:colOff>1025236</xdr:colOff>
      <xdr:row>55</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125678</xdr:rowOff>
    </xdr:from>
    <xdr:to>
      <xdr:col>4</xdr:col>
      <xdr:colOff>1020288</xdr:colOff>
      <xdr:row>87</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28</xdr:row>
      <xdr:rowOff>168235</xdr:rowOff>
    </xdr:from>
    <xdr:to>
      <xdr:col>4</xdr:col>
      <xdr:colOff>1025236</xdr:colOff>
      <xdr:row>55</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84115</xdr:rowOff>
    </xdr:from>
    <xdr:to>
      <xdr:col>4</xdr:col>
      <xdr:colOff>1094509</xdr:colOff>
      <xdr:row>87</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28</xdr:row>
      <xdr:rowOff>90055</xdr:rowOff>
    </xdr:from>
    <xdr:to>
      <xdr:col>4</xdr:col>
      <xdr:colOff>1025236</xdr:colOff>
      <xdr:row>55</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103909</xdr:rowOff>
    </xdr:from>
    <xdr:to>
      <xdr:col>4</xdr:col>
      <xdr:colOff>1094509</xdr:colOff>
      <xdr:row>87</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28</xdr:row>
      <xdr:rowOff>151409</xdr:rowOff>
    </xdr:from>
    <xdr:to>
      <xdr:col>4</xdr:col>
      <xdr:colOff>1025236</xdr:colOff>
      <xdr:row>55</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147449</xdr:rowOff>
    </xdr:from>
    <xdr:to>
      <xdr:col>4</xdr:col>
      <xdr:colOff>1094509</xdr:colOff>
      <xdr:row>87</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28</xdr:row>
      <xdr:rowOff>74222</xdr:rowOff>
    </xdr:from>
    <xdr:to>
      <xdr:col>4</xdr:col>
      <xdr:colOff>1025236</xdr:colOff>
      <xdr:row>55</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39584</xdr:rowOff>
    </xdr:from>
    <xdr:to>
      <xdr:col>4</xdr:col>
      <xdr:colOff>1094509</xdr:colOff>
      <xdr:row>86</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5"/>
  <sheetViews>
    <sheetView showGridLines="0" tabSelected="1" zoomScale="70" zoomScaleNormal="70" workbookViewId="0">
      <pane xSplit="3" ySplit="2" topLeftCell="D3" activePane="bottomRight" state="frozen"/>
      <selection sqref="A1:A2"/>
      <selection pane="topRight" sqref="A1:A2"/>
      <selection pane="bottomLeft" sqref="A1:A2"/>
      <selection pane="bottomRight"/>
    </sheetView>
  </sheetViews>
  <sheetFormatPr defaultRowHeight="15" x14ac:dyDescent="0.25"/>
  <cols>
    <col min="1" max="1" width="46.42578125" style="7" customWidth="1"/>
    <col min="2" max="2" width="16.42578125" style="7" customWidth="1"/>
    <col min="3" max="3" width="70.42578125" style="7" customWidth="1"/>
    <col min="4" max="4" width="12.85546875" customWidth="1"/>
    <col min="5" max="5" width="13.5703125" customWidth="1"/>
    <col min="6" max="6" width="14.85546875" customWidth="1"/>
    <col min="7" max="7" width="15.42578125" customWidth="1"/>
    <col min="8" max="8" width="1.85546875" customWidth="1"/>
    <col min="9" max="9" width="13" customWidth="1"/>
    <col min="10" max="10" width="17.5703125" customWidth="1"/>
    <col min="11" max="11" width="17.85546875" customWidth="1"/>
    <col min="12" max="12" width="16.42578125" customWidth="1"/>
    <col min="13" max="13" width="17.28515625" customWidth="1"/>
    <col min="14" max="14" width="17.42578125" customWidth="1"/>
    <col min="15" max="15" width="1.85546875" customWidth="1"/>
    <col min="16" max="17" width="17.140625" customWidth="1"/>
    <col min="18" max="18" width="1.85546875" customWidth="1"/>
    <col min="19" max="19" width="14.42578125" bestFit="1" customWidth="1"/>
    <col min="20" max="20" width="18.42578125" bestFit="1" customWidth="1"/>
    <col min="21" max="21" width="15.5703125" bestFit="1" customWidth="1"/>
  </cols>
  <sheetData>
    <row r="1" spans="1:23" ht="20.100000000000001" customHeight="1" x14ac:dyDescent="0.25">
      <c r="A1" s="25">
        <v>45291</v>
      </c>
      <c r="B1" s="26"/>
      <c r="C1" s="27"/>
      <c r="D1" s="105" t="s">
        <v>90</v>
      </c>
      <c r="E1" s="31" t="s">
        <v>75</v>
      </c>
      <c r="F1" s="105" t="s">
        <v>100</v>
      </c>
      <c r="G1" s="105" t="s">
        <v>71</v>
      </c>
      <c r="H1" s="28"/>
      <c r="I1" s="103" t="s">
        <v>72</v>
      </c>
      <c r="J1" s="109"/>
      <c r="K1" s="109"/>
      <c r="L1" s="109"/>
      <c r="M1" s="109"/>
      <c r="N1" s="87"/>
      <c r="O1" s="29"/>
      <c r="P1" s="107" t="s">
        <v>97</v>
      </c>
      <c r="Q1" s="108"/>
      <c r="S1" s="103" t="s">
        <v>162</v>
      </c>
      <c r="T1" s="104"/>
      <c r="U1" s="104"/>
    </row>
    <row r="2" spans="1:23" ht="76.5" x14ac:dyDescent="0.25">
      <c r="A2" s="24" t="s">
        <v>42</v>
      </c>
      <c r="B2" s="24" t="s">
        <v>43</v>
      </c>
      <c r="C2" s="24" t="s">
        <v>44</v>
      </c>
      <c r="D2" s="106"/>
      <c r="E2" s="24" t="s">
        <v>99</v>
      </c>
      <c r="F2" s="106"/>
      <c r="G2" s="106"/>
      <c r="H2" s="28"/>
      <c r="I2" s="62" t="s">
        <v>92</v>
      </c>
      <c r="J2" s="24" t="s">
        <v>158</v>
      </c>
      <c r="K2" s="24" t="s">
        <v>159</v>
      </c>
      <c r="L2" s="24" t="s">
        <v>94</v>
      </c>
      <c r="M2" s="24" t="s">
        <v>160</v>
      </c>
      <c r="N2" s="24" t="s">
        <v>161</v>
      </c>
      <c r="O2" s="30"/>
      <c r="P2" s="24" t="s">
        <v>111</v>
      </c>
      <c r="Q2" s="24" t="s">
        <v>112</v>
      </c>
      <c r="S2" s="24" t="s">
        <v>150</v>
      </c>
      <c r="T2" s="24" t="s">
        <v>151</v>
      </c>
      <c r="U2" s="24" t="s">
        <v>152</v>
      </c>
      <c r="V2" s="48"/>
    </row>
    <row r="3" spans="1:23" s="47" customFormat="1" ht="18.600000000000001" customHeight="1" x14ac:dyDescent="0.25">
      <c r="A3" s="101" t="s">
        <v>45</v>
      </c>
      <c r="B3" s="101"/>
      <c r="C3" s="101"/>
      <c r="D3" s="44"/>
      <c r="E3" s="44"/>
      <c r="F3" s="45"/>
      <c r="G3" s="46" t="s">
        <v>98</v>
      </c>
      <c r="H3" s="44"/>
      <c r="I3" s="67">
        <v>16.312709942833752</v>
      </c>
      <c r="J3" s="67">
        <v>7.5518913673733437</v>
      </c>
      <c r="K3" s="67">
        <v>6.9302227497739617</v>
      </c>
      <c r="L3" s="67">
        <v>17.088003737580312</v>
      </c>
      <c r="M3" s="67">
        <v>8.3117097108016971</v>
      </c>
      <c r="N3" s="67">
        <v>7.763576732960062</v>
      </c>
      <c r="O3" s="44"/>
      <c r="P3" s="44"/>
      <c r="Q3" s="44"/>
      <c r="S3"/>
      <c r="T3"/>
      <c r="U3"/>
    </row>
    <row r="4" spans="1:23" x14ac:dyDescent="0.25">
      <c r="A4" s="32" t="s">
        <v>36</v>
      </c>
      <c r="B4" s="32" t="s">
        <v>4</v>
      </c>
      <c r="C4" s="32" t="s">
        <v>46</v>
      </c>
      <c r="D4" s="65" t="s">
        <v>172</v>
      </c>
      <c r="E4" s="34">
        <v>90</v>
      </c>
      <c r="F4" s="33">
        <v>14.82678086</v>
      </c>
      <c r="G4" s="35">
        <v>14941</v>
      </c>
      <c r="H4" s="22"/>
      <c r="I4" s="36">
        <v>15.00260591169682</v>
      </c>
      <c r="J4" s="36">
        <v>4.485276774670055</v>
      </c>
      <c r="K4" s="36">
        <v>5.8245882994651277</v>
      </c>
      <c r="L4" s="36">
        <v>15.903923911669304</v>
      </c>
      <c r="M4" s="36">
        <v>6.7179293445371213</v>
      </c>
      <c r="N4" s="36">
        <v>6.8383165297380755</v>
      </c>
      <c r="O4" s="23"/>
      <c r="P4" s="36">
        <v>11.05152369950669</v>
      </c>
      <c r="Q4" s="36">
        <v>12.070627257056525</v>
      </c>
      <c r="S4" s="83">
        <v>0.48692138391986478</v>
      </c>
      <c r="T4" s="83">
        <v>0.95</v>
      </c>
      <c r="U4" s="83" t="s">
        <v>91</v>
      </c>
      <c r="V4" s="58"/>
      <c r="W4" s="58"/>
    </row>
    <row r="5" spans="1:23" x14ac:dyDescent="0.25">
      <c r="A5" s="32" t="s">
        <v>178</v>
      </c>
      <c r="B5" s="32" t="s">
        <v>2</v>
      </c>
      <c r="C5" s="32" t="s">
        <v>124</v>
      </c>
      <c r="D5" s="65" t="s">
        <v>172</v>
      </c>
      <c r="E5" s="34">
        <v>97</v>
      </c>
      <c r="F5" s="33">
        <v>34.5551224847</v>
      </c>
      <c r="G5" s="35">
        <v>20552</v>
      </c>
      <c r="H5" s="22"/>
      <c r="I5" s="36">
        <v>13.777307963354479</v>
      </c>
      <c r="J5" s="36">
        <v>7.9058459660352298</v>
      </c>
      <c r="K5" s="36">
        <v>7.1590073915315022</v>
      </c>
      <c r="L5" s="36">
        <v>15.613931340571119</v>
      </c>
      <c r="M5" s="36">
        <v>7.9499147424427763</v>
      </c>
      <c r="N5" s="36">
        <v>7.7046810675450716</v>
      </c>
      <c r="O5" s="23"/>
      <c r="P5" s="36">
        <v>11.08421248816504</v>
      </c>
      <c r="Q5" s="36">
        <v>13.141219129139744</v>
      </c>
      <c r="S5" s="83">
        <v>0.5</v>
      </c>
      <c r="T5" s="83" t="s">
        <v>91</v>
      </c>
      <c r="U5" s="83">
        <v>1.07</v>
      </c>
      <c r="V5" s="58"/>
      <c r="W5" s="58"/>
    </row>
    <row r="6" spans="1:23" x14ac:dyDescent="0.25">
      <c r="A6" s="32" t="s">
        <v>88</v>
      </c>
      <c r="B6" s="32" t="s">
        <v>1</v>
      </c>
      <c r="C6" s="32" t="s">
        <v>47</v>
      </c>
      <c r="D6" s="65" t="s">
        <v>172</v>
      </c>
      <c r="E6" s="34">
        <v>98</v>
      </c>
      <c r="F6" s="33">
        <v>42.233967079999999</v>
      </c>
      <c r="G6" s="35">
        <v>21764</v>
      </c>
      <c r="H6" s="22"/>
      <c r="I6" s="36">
        <v>16.004011748692616</v>
      </c>
      <c r="J6" s="36">
        <v>7.0386443443053892</v>
      </c>
      <c r="K6" s="36">
        <v>6.6745709918252683</v>
      </c>
      <c r="L6" s="36">
        <v>19.72818393580522</v>
      </c>
      <c r="M6" s="36">
        <v>9.2611238091146788</v>
      </c>
      <c r="N6" s="36">
        <v>8.6772335036707773</v>
      </c>
      <c r="O6" s="23"/>
      <c r="P6" s="36">
        <v>12.188292441842201</v>
      </c>
      <c r="Q6" s="36">
        <v>13.730694440497917</v>
      </c>
      <c r="S6" s="83">
        <v>0.5</v>
      </c>
      <c r="T6" s="83">
        <v>0.86</v>
      </c>
      <c r="U6" s="83" t="s">
        <v>91</v>
      </c>
      <c r="V6" s="58"/>
      <c r="W6" s="58"/>
    </row>
    <row r="7" spans="1:23" x14ac:dyDescent="0.25">
      <c r="A7" s="32" t="s">
        <v>89</v>
      </c>
      <c r="B7" s="32" t="s">
        <v>3</v>
      </c>
      <c r="C7" s="32" t="s">
        <v>102</v>
      </c>
      <c r="D7" s="65" t="s">
        <v>172</v>
      </c>
      <c r="E7" s="34">
        <v>97</v>
      </c>
      <c r="F7" s="33">
        <v>98.98972298999999</v>
      </c>
      <c r="G7" s="35">
        <v>49262</v>
      </c>
      <c r="H7" s="22"/>
      <c r="I7" s="36">
        <v>17.535299770828729</v>
      </c>
      <c r="J7" s="36">
        <v>8.3535379264059184</v>
      </c>
      <c r="K7" s="36">
        <v>7.1799901071412986</v>
      </c>
      <c r="L7" s="36">
        <v>17.203621581670369</v>
      </c>
      <c r="M7" s="36">
        <v>8.2984423619793635</v>
      </c>
      <c r="N7" s="36">
        <v>7.7388246099246993</v>
      </c>
      <c r="O7" s="23"/>
      <c r="P7" s="36">
        <v>13.235074869839741</v>
      </c>
      <c r="Q7" s="36">
        <v>13.548018823716406</v>
      </c>
      <c r="S7" s="83">
        <v>0.5</v>
      </c>
      <c r="T7" s="83" t="s">
        <v>91</v>
      </c>
      <c r="U7" s="83">
        <v>0.81589999999999996</v>
      </c>
      <c r="V7" s="58"/>
      <c r="W7" s="58"/>
    </row>
    <row r="8" spans="1:23" x14ac:dyDescent="0.25">
      <c r="A8" s="32" t="s">
        <v>116</v>
      </c>
      <c r="B8" s="32" t="s">
        <v>5</v>
      </c>
      <c r="C8" s="32" t="s">
        <v>117</v>
      </c>
      <c r="D8" s="65" t="s">
        <v>172</v>
      </c>
      <c r="E8" s="34">
        <v>90</v>
      </c>
      <c r="F8" s="33">
        <v>34.00251051</v>
      </c>
      <c r="G8" s="35">
        <v>20530</v>
      </c>
      <c r="H8" s="22"/>
      <c r="I8" s="36">
        <v>15.988654176308149</v>
      </c>
      <c r="J8" s="36">
        <v>6.8330845929774453</v>
      </c>
      <c r="K8" s="36">
        <v>6.7702376451581614</v>
      </c>
      <c r="L8" s="36">
        <v>15.486433242049969</v>
      </c>
      <c r="M8" s="36">
        <v>8.2337245599006348</v>
      </c>
      <c r="N8" s="36">
        <v>7.1641102034503801</v>
      </c>
      <c r="O8" s="23"/>
      <c r="P8" s="36">
        <v>11.912929539227394</v>
      </c>
      <c r="Q8" s="36">
        <v>13.612412129093137</v>
      </c>
      <c r="S8" s="83">
        <v>0.5</v>
      </c>
      <c r="T8" s="83">
        <v>1.1000000000000001</v>
      </c>
      <c r="U8" s="83" t="s">
        <v>91</v>
      </c>
      <c r="V8" s="58"/>
      <c r="W8" s="58"/>
    </row>
    <row r="9" spans="1:23" x14ac:dyDescent="0.25">
      <c r="A9" s="32" t="s">
        <v>155</v>
      </c>
      <c r="B9" s="32" t="s">
        <v>132</v>
      </c>
      <c r="C9" s="32" t="s">
        <v>146</v>
      </c>
      <c r="D9" s="65" t="s">
        <v>173</v>
      </c>
      <c r="E9" s="34">
        <v>100</v>
      </c>
      <c r="F9" s="33">
        <v>6.2020907866000003</v>
      </c>
      <c r="G9" s="35">
        <v>4513</v>
      </c>
      <c r="H9" s="22"/>
      <c r="I9" s="36">
        <v>17.936062815479524</v>
      </c>
      <c r="J9" s="36" t="s">
        <v>148</v>
      </c>
      <c r="K9" s="36" t="s">
        <v>148</v>
      </c>
      <c r="L9" s="36">
        <v>17.898832684824907</v>
      </c>
      <c r="M9" s="36" t="s">
        <v>148</v>
      </c>
      <c r="N9" s="36" t="s">
        <v>148</v>
      </c>
      <c r="O9" s="23"/>
      <c r="P9" s="36" t="s">
        <v>148</v>
      </c>
      <c r="Q9" s="36" t="s">
        <v>148</v>
      </c>
      <c r="S9" s="89" t="s">
        <v>163</v>
      </c>
      <c r="T9" s="90" t="s">
        <v>164</v>
      </c>
      <c r="U9" s="83" t="s">
        <v>91</v>
      </c>
      <c r="V9" s="58"/>
      <c r="W9" s="58"/>
    </row>
    <row r="10" spans="1:23" s="47" customFormat="1" ht="18.600000000000001" customHeight="1" x14ac:dyDescent="0.25">
      <c r="A10" s="101" t="s">
        <v>48</v>
      </c>
      <c r="B10" s="101"/>
      <c r="C10" s="101"/>
      <c r="D10" s="92"/>
      <c r="E10" s="44"/>
      <c r="F10" s="45"/>
      <c r="G10" s="46" t="s">
        <v>98</v>
      </c>
      <c r="H10" s="44"/>
      <c r="I10" s="67">
        <v>16.091196029928668</v>
      </c>
      <c r="J10" s="67">
        <v>7.7349995432487271</v>
      </c>
      <c r="K10" s="67">
        <v>7.1573660255950511</v>
      </c>
      <c r="L10" s="67">
        <v>17.153079730217353</v>
      </c>
      <c r="M10" s="67">
        <v>8.3251008475993213</v>
      </c>
      <c r="N10" s="67">
        <v>7.7937999050952085</v>
      </c>
      <c r="O10" s="44"/>
      <c r="P10" s="44"/>
      <c r="Q10" s="44"/>
      <c r="S10" s="84"/>
      <c r="T10" s="84"/>
      <c r="U10" s="84"/>
      <c r="V10" s="58"/>
      <c r="W10" s="58"/>
    </row>
    <row r="11" spans="1:23" x14ac:dyDescent="0.25">
      <c r="A11" s="32" t="s">
        <v>36</v>
      </c>
      <c r="B11" s="32" t="s">
        <v>9</v>
      </c>
      <c r="C11" s="32" t="s">
        <v>49</v>
      </c>
      <c r="D11" s="65" t="s">
        <v>172</v>
      </c>
      <c r="E11" s="34">
        <v>90</v>
      </c>
      <c r="F11" s="33">
        <v>52.694060499999999</v>
      </c>
      <c r="G11" s="35">
        <v>19079</v>
      </c>
      <c r="H11" s="22"/>
      <c r="I11" s="36">
        <v>14.754220827730457</v>
      </c>
      <c r="J11" s="36">
        <v>4.465843522420232</v>
      </c>
      <c r="K11" s="36">
        <v>5.6422614443619512</v>
      </c>
      <c r="L11" s="36">
        <v>15.903923911669304</v>
      </c>
      <c r="M11" s="36">
        <v>6.7179293445371213</v>
      </c>
      <c r="N11" s="36">
        <v>6.8383165297380755</v>
      </c>
      <c r="O11" s="23"/>
      <c r="P11" s="36">
        <v>10.963732676801063</v>
      </c>
      <c r="Q11" s="36">
        <v>12.070621755791825</v>
      </c>
      <c r="S11" s="83">
        <v>0.48750781709370228</v>
      </c>
      <c r="T11" s="83">
        <v>1.0089419078961275</v>
      </c>
      <c r="U11" s="83" t="s">
        <v>91</v>
      </c>
      <c r="V11" s="58"/>
      <c r="W11" s="58"/>
    </row>
    <row r="12" spans="1:23" x14ac:dyDescent="0.25">
      <c r="A12" s="32" t="s">
        <v>177</v>
      </c>
      <c r="B12" s="32" t="s">
        <v>7</v>
      </c>
      <c r="C12" s="32" t="s">
        <v>125</v>
      </c>
      <c r="D12" s="65" t="s">
        <v>172</v>
      </c>
      <c r="E12" s="34">
        <v>97</v>
      </c>
      <c r="F12" s="33">
        <v>133.17819608529999</v>
      </c>
      <c r="G12" s="35">
        <v>37410</v>
      </c>
      <c r="H12" s="22"/>
      <c r="I12" s="36">
        <v>13.382301504022397</v>
      </c>
      <c r="J12" s="36">
        <v>8.0852852868769087</v>
      </c>
      <c r="K12" s="36">
        <v>7.2458782272472266</v>
      </c>
      <c r="L12" s="36">
        <v>15.613931340571119</v>
      </c>
      <c r="M12" s="36">
        <v>7.9499147424427763</v>
      </c>
      <c r="N12" s="36">
        <v>7.7046810675450716</v>
      </c>
      <c r="O12" s="23"/>
      <c r="P12" s="36">
        <v>10.837301099553866</v>
      </c>
      <c r="Q12" s="36">
        <v>13.141219129139744</v>
      </c>
      <c r="S12" s="83">
        <v>0.5</v>
      </c>
      <c r="T12" s="83" t="s">
        <v>91</v>
      </c>
      <c r="U12" s="83">
        <v>1.19</v>
      </c>
      <c r="V12" s="58"/>
      <c r="W12" s="58"/>
    </row>
    <row r="13" spans="1:23" x14ac:dyDescent="0.25">
      <c r="A13" s="32" t="s">
        <v>88</v>
      </c>
      <c r="B13" s="32" t="s">
        <v>6</v>
      </c>
      <c r="C13" s="32" t="s">
        <v>50</v>
      </c>
      <c r="D13" s="65" t="s">
        <v>172</v>
      </c>
      <c r="E13" s="34">
        <v>98</v>
      </c>
      <c r="F13" s="33">
        <v>163.46362188999998</v>
      </c>
      <c r="G13" s="35">
        <v>46078</v>
      </c>
      <c r="H13" s="22"/>
      <c r="I13" s="36">
        <v>15.615357014711151</v>
      </c>
      <c r="J13" s="36">
        <v>6.9739098843869751</v>
      </c>
      <c r="K13" s="36">
        <v>6.7167875003439015</v>
      </c>
      <c r="L13" s="36">
        <v>19.72818393580522</v>
      </c>
      <c r="M13" s="36">
        <v>9.2611238091146788</v>
      </c>
      <c r="N13" s="36">
        <v>8.6772335036707773</v>
      </c>
      <c r="O13" s="23"/>
      <c r="P13" s="36">
        <v>12.176411879128967</v>
      </c>
      <c r="Q13" s="36">
        <v>13.730694440497917</v>
      </c>
      <c r="S13" s="83">
        <v>0.5</v>
      </c>
      <c r="T13" s="83">
        <v>0.86</v>
      </c>
      <c r="U13" s="83"/>
      <c r="V13" s="58"/>
      <c r="W13" s="58"/>
    </row>
    <row r="14" spans="1:23" x14ac:dyDescent="0.25">
      <c r="A14" s="32" t="s">
        <v>89</v>
      </c>
      <c r="B14" s="32" t="s">
        <v>8</v>
      </c>
      <c r="C14" s="32" t="s">
        <v>103</v>
      </c>
      <c r="D14" s="65" t="s">
        <v>172</v>
      </c>
      <c r="E14" s="34">
        <v>97</v>
      </c>
      <c r="F14" s="33">
        <v>343.85591443999999</v>
      </c>
      <c r="G14" s="35">
        <v>95626</v>
      </c>
      <c r="H14" s="22"/>
      <c r="I14" s="36">
        <v>17.233345467783057</v>
      </c>
      <c r="J14" s="36">
        <v>8.6218757512810171</v>
      </c>
      <c r="K14" s="36">
        <v>7.5942374138785018</v>
      </c>
      <c r="L14" s="36">
        <v>17.203621581670369</v>
      </c>
      <c r="M14" s="36">
        <v>8.2984423619793635</v>
      </c>
      <c r="N14" s="36">
        <v>7.7388246099246993</v>
      </c>
      <c r="O14" s="23"/>
      <c r="P14" s="36">
        <v>12.942046682411828</v>
      </c>
      <c r="Q14" s="36">
        <v>13.548018823716406</v>
      </c>
      <c r="S14" s="83">
        <v>0.5</v>
      </c>
      <c r="T14" s="83" t="s">
        <v>91</v>
      </c>
      <c r="U14" s="83">
        <v>0.83699999999999997</v>
      </c>
      <c r="V14" s="58"/>
      <c r="W14" s="58"/>
    </row>
    <row r="15" spans="1:23" x14ac:dyDescent="0.25">
      <c r="A15" s="32" t="s">
        <v>116</v>
      </c>
      <c r="B15" s="32" t="s">
        <v>10</v>
      </c>
      <c r="C15" s="32" t="s">
        <v>118</v>
      </c>
      <c r="D15" s="65" t="s">
        <v>172</v>
      </c>
      <c r="E15" s="34">
        <v>90</v>
      </c>
      <c r="F15" s="33">
        <v>100.50774270999999</v>
      </c>
      <c r="G15" s="35">
        <v>33985</v>
      </c>
      <c r="H15" s="22"/>
      <c r="I15" s="36">
        <v>17.104865518283454</v>
      </c>
      <c r="J15" s="36">
        <v>7.1884498535270236</v>
      </c>
      <c r="K15" s="36">
        <v>7.0563476179295259</v>
      </c>
      <c r="L15" s="36">
        <v>15.486433242049969</v>
      </c>
      <c r="M15" s="36">
        <v>8.2337245599006348</v>
      </c>
      <c r="N15" s="36">
        <v>7.1641102034503801</v>
      </c>
      <c r="O15" s="23"/>
      <c r="P15" s="36">
        <v>11.796515289766731</v>
      </c>
      <c r="Q15" s="36">
        <v>13.612412129093137</v>
      </c>
      <c r="S15" s="83">
        <v>0.5</v>
      </c>
      <c r="T15" s="83">
        <v>0.96</v>
      </c>
      <c r="U15" s="83" t="s">
        <v>91</v>
      </c>
      <c r="V15" s="58"/>
      <c r="W15" s="58"/>
    </row>
    <row r="16" spans="1:23" x14ac:dyDescent="0.25">
      <c r="A16" s="32" t="s">
        <v>131</v>
      </c>
      <c r="B16" s="32" t="s">
        <v>133</v>
      </c>
      <c r="C16" s="32" t="s">
        <v>145</v>
      </c>
      <c r="D16" s="65" t="s">
        <v>173</v>
      </c>
      <c r="E16" s="34">
        <v>100</v>
      </c>
      <c r="F16" s="33">
        <v>7.8118481134</v>
      </c>
      <c r="G16" s="35">
        <v>3308</v>
      </c>
      <c r="H16" s="22"/>
      <c r="I16" s="36">
        <v>17.932275846551924</v>
      </c>
      <c r="J16" s="36" t="s">
        <v>148</v>
      </c>
      <c r="K16" s="36" t="s">
        <v>148</v>
      </c>
      <c r="L16" s="36">
        <v>17.898832684824907</v>
      </c>
      <c r="M16" s="36" t="s">
        <v>148</v>
      </c>
      <c r="N16" s="36" t="s">
        <v>148</v>
      </c>
      <c r="O16" s="23"/>
      <c r="P16" s="36" t="s">
        <v>148</v>
      </c>
      <c r="Q16" s="36" t="s">
        <v>148</v>
      </c>
      <c r="S16" s="89" t="s">
        <v>163</v>
      </c>
      <c r="T16" s="89" t="s">
        <v>164</v>
      </c>
      <c r="U16" s="83" t="s">
        <v>91</v>
      </c>
      <c r="V16" s="58"/>
      <c r="W16" s="58"/>
    </row>
    <row r="17" spans="1:26" s="47" customFormat="1" ht="18.600000000000001" customHeight="1" x14ac:dyDescent="0.25">
      <c r="A17" s="101" t="s">
        <v>51</v>
      </c>
      <c r="B17" s="101"/>
      <c r="C17" s="101"/>
      <c r="D17" s="92"/>
      <c r="E17" s="44"/>
      <c r="F17" s="45"/>
      <c r="G17" s="46" t="s">
        <v>98</v>
      </c>
      <c r="H17" s="44"/>
      <c r="I17" s="67">
        <v>15.935682219506305</v>
      </c>
      <c r="J17" s="67">
        <v>7.6880533236375497</v>
      </c>
      <c r="K17" s="67">
        <v>7.191854205399788</v>
      </c>
      <c r="L17" s="67">
        <v>17.287239709623176</v>
      </c>
      <c r="M17" s="67">
        <v>8.3667220890783671</v>
      </c>
      <c r="N17" s="67">
        <v>7.8410388672608713</v>
      </c>
      <c r="O17" s="44"/>
      <c r="P17" s="44"/>
      <c r="Q17" s="44"/>
      <c r="S17" s="84"/>
      <c r="T17" s="84"/>
      <c r="U17" s="84"/>
      <c r="V17" s="58"/>
      <c r="W17" s="58"/>
    </row>
    <row r="18" spans="1:26" x14ac:dyDescent="0.25">
      <c r="A18" s="32" t="s">
        <v>36</v>
      </c>
      <c r="B18" s="32" t="s">
        <v>14</v>
      </c>
      <c r="C18" s="32" t="s">
        <v>52</v>
      </c>
      <c r="D18" s="65" t="s">
        <v>172</v>
      </c>
      <c r="E18" s="34">
        <v>90</v>
      </c>
      <c r="F18" s="33">
        <v>103.89874386</v>
      </c>
      <c r="G18" s="35">
        <v>26215</v>
      </c>
      <c r="H18" s="22"/>
      <c r="I18" s="36">
        <v>14.759510767614614</v>
      </c>
      <c r="J18" s="36">
        <v>4.5861206296655688</v>
      </c>
      <c r="K18" s="36">
        <v>5.582568127540255</v>
      </c>
      <c r="L18" s="36">
        <v>15.903923911669304</v>
      </c>
      <c r="M18" s="36">
        <v>6.7179293445371213</v>
      </c>
      <c r="N18" s="36">
        <v>6.8383165297380755</v>
      </c>
      <c r="O18" s="23"/>
      <c r="P18" s="36">
        <v>10.873587827873466</v>
      </c>
      <c r="Q18" s="36">
        <v>12.070621755791825</v>
      </c>
      <c r="S18" s="83">
        <v>0.48763244017500401</v>
      </c>
      <c r="T18" s="83">
        <v>1.0223641722160646</v>
      </c>
      <c r="U18" s="83" t="s">
        <v>91</v>
      </c>
      <c r="V18" s="58"/>
      <c r="W18" s="58"/>
    </row>
    <row r="19" spans="1:26" x14ac:dyDescent="0.25">
      <c r="A19" s="32" t="s">
        <v>177</v>
      </c>
      <c r="B19" s="32" t="s">
        <v>12</v>
      </c>
      <c r="C19" s="32" t="s">
        <v>126</v>
      </c>
      <c r="D19" s="65" t="s">
        <v>172</v>
      </c>
      <c r="E19" s="34">
        <v>97</v>
      </c>
      <c r="F19" s="33">
        <v>232.34664083039999</v>
      </c>
      <c r="G19" s="35">
        <v>44919</v>
      </c>
      <c r="H19" s="22"/>
      <c r="I19" s="36">
        <v>13.437849944008962</v>
      </c>
      <c r="J19" s="36">
        <v>8.203429821438446</v>
      </c>
      <c r="K19" s="36">
        <v>7.3313934555456539</v>
      </c>
      <c r="L19" s="36">
        <v>15.613931340571119</v>
      </c>
      <c r="M19" s="36">
        <v>7.9499147424427763</v>
      </c>
      <c r="N19" s="36">
        <v>7.7046810675450716</v>
      </c>
      <c r="O19" s="23"/>
      <c r="P19" s="36">
        <v>10.764532048584597</v>
      </c>
      <c r="Q19" s="36">
        <v>13.141219129139744</v>
      </c>
      <c r="S19" s="83">
        <v>0.5</v>
      </c>
      <c r="T19" s="83" t="s">
        <v>91</v>
      </c>
      <c r="U19" s="83">
        <v>1.19</v>
      </c>
      <c r="V19" s="58"/>
      <c r="W19" s="58"/>
    </row>
    <row r="20" spans="1:26" x14ac:dyDescent="0.25">
      <c r="A20" s="32" t="s">
        <v>88</v>
      </c>
      <c r="B20" s="32" t="s">
        <v>11</v>
      </c>
      <c r="C20" s="32" t="s">
        <v>53</v>
      </c>
      <c r="D20" s="65" t="s">
        <v>172</v>
      </c>
      <c r="E20" s="34">
        <v>98</v>
      </c>
      <c r="F20" s="33">
        <v>363.13438201999998</v>
      </c>
      <c r="G20" s="35">
        <v>73946</v>
      </c>
      <c r="H20" s="22"/>
      <c r="I20" s="36">
        <v>15.35931355023239</v>
      </c>
      <c r="J20" s="36">
        <v>6.9603084053469155</v>
      </c>
      <c r="K20" s="36">
        <v>6.7660947300420382</v>
      </c>
      <c r="L20" s="36">
        <v>19.72818393580522</v>
      </c>
      <c r="M20" s="36">
        <v>9.2611238091146788</v>
      </c>
      <c r="N20" s="36">
        <v>8.6772335036707773</v>
      </c>
      <c r="O20" s="23"/>
      <c r="P20" s="36">
        <v>12.148139104276815</v>
      </c>
      <c r="Q20" s="36">
        <v>13.730694440497917</v>
      </c>
      <c r="S20" s="83">
        <v>0.5</v>
      </c>
      <c r="T20" s="83">
        <v>0.87</v>
      </c>
      <c r="U20" s="83" t="s">
        <v>91</v>
      </c>
      <c r="V20" s="58"/>
      <c r="W20" s="58"/>
    </row>
    <row r="21" spans="1:26" x14ac:dyDescent="0.25">
      <c r="A21" s="32" t="s">
        <v>89</v>
      </c>
      <c r="B21" s="32" t="s">
        <v>13</v>
      </c>
      <c r="C21" s="32" t="s">
        <v>104</v>
      </c>
      <c r="D21" s="65" t="s">
        <v>172</v>
      </c>
      <c r="E21" s="34">
        <v>97</v>
      </c>
      <c r="F21" s="33">
        <v>491.13049738999996</v>
      </c>
      <c r="G21" s="35">
        <v>113433</v>
      </c>
      <c r="H21" s="22"/>
      <c r="I21" s="36">
        <v>17.386905622199755</v>
      </c>
      <c r="J21" s="36">
        <v>8.8767339267746159</v>
      </c>
      <c r="K21" s="36">
        <v>7.8508719062289956</v>
      </c>
      <c r="L21" s="36">
        <v>17.203621581670369</v>
      </c>
      <c r="M21" s="36">
        <v>8.2984423619793635</v>
      </c>
      <c r="N21" s="36">
        <v>7.7388246099246993</v>
      </c>
      <c r="O21" s="23"/>
      <c r="P21" s="36">
        <v>12.883312300197233</v>
      </c>
      <c r="Q21" s="36">
        <v>13.548018823716406</v>
      </c>
      <c r="S21" s="83">
        <v>0.5</v>
      </c>
      <c r="T21" s="83" t="s">
        <v>91</v>
      </c>
      <c r="U21" s="83">
        <v>0.83930000000000005</v>
      </c>
      <c r="V21" s="58"/>
      <c r="W21" s="58"/>
    </row>
    <row r="22" spans="1:26" x14ac:dyDescent="0.25">
      <c r="A22" s="32" t="s">
        <v>116</v>
      </c>
      <c r="B22" s="32" t="s">
        <v>15</v>
      </c>
      <c r="C22" s="32" t="s">
        <v>119</v>
      </c>
      <c r="D22" s="65" t="s">
        <v>172</v>
      </c>
      <c r="E22" s="34">
        <v>90</v>
      </c>
      <c r="F22" s="33">
        <v>173.70606647</v>
      </c>
      <c r="G22" s="35">
        <v>48008</v>
      </c>
      <c r="H22" s="22"/>
      <c r="I22" s="36">
        <v>16.984977730806982</v>
      </c>
      <c r="J22" s="36">
        <v>7.0145755076505667</v>
      </c>
      <c r="K22" s="36">
        <v>6.9945412274780905</v>
      </c>
      <c r="L22" s="36">
        <v>15.486433242049969</v>
      </c>
      <c r="M22" s="36">
        <v>8.2337245599006348</v>
      </c>
      <c r="N22" s="36">
        <v>7.1641102034503801</v>
      </c>
      <c r="O22" s="23"/>
      <c r="P22" s="36">
        <v>11.738240084195322</v>
      </c>
      <c r="Q22" s="36">
        <v>13.612412129093137</v>
      </c>
      <c r="S22" s="83">
        <v>0.5</v>
      </c>
      <c r="T22" s="83">
        <v>1</v>
      </c>
      <c r="U22" s="83" t="s">
        <v>91</v>
      </c>
      <c r="V22" s="58"/>
      <c r="W22" s="58"/>
    </row>
    <row r="23" spans="1:26" x14ac:dyDescent="0.25">
      <c r="A23" s="32" t="s">
        <v>131</v>
      </c>
      <c r="B23" s="32" t="s">
        <v>134</v>
      </c>
      <c r="C23" s="32" t="s">
        <v>144</v>
      </c>
      <c r="D23" s="65" t="s">
        <v>173</v>
      </c>
      <c r="E23" s="34">
        <v>100</v>
      </c>
      <c r="F23" s="33">
        <v>8.3972826791999999</v>
      </c>
      <c r="G23" s="35">
        <v>2532</v>
      </c>
      <c r="H23" s="22"/>
      <c r="I23" s="36">
        <v>17.942984907769709</v>
      </c>
      <c r="J23" s="36" t="s">
        <v>148</v>
      </c>
      <c r="K23" s="36" t="s">
        <v>148</v>
      </c>
      <c r="L23" s="36">
        <v>17.898832684824907</v>
      </c>
      <c r="M23" s="36" t="s">
        <v>148</v>
      </c>
      <c r="N23" s="36" t="s">
        <v>148</v>
      </c>
      <c r="O23" s="23"/>
      <c r="P23" s="36" t="s">
        <v>148</v>
      </c>
      <c r="Q23" s="36" t="s">
        <v>148</v>
      </c>
      <c r="S23" s="89" t="s">
        <v>163</v>
      </c>
      <c r="T23" s="89" t="s">
        <v>164</v>
      </c>
      <c r="U23" s="83" t="s">
        <v>91</v>
      </c>
      <c r="V23" s="58"/>
      <c r="W23" s="58"/>
    </row>
    <row r="24" spans="1:26" s="47" customFormat="1" ht="18.600000000000001" customHeight="1" x14ac:dyDescent="0.25">
      <c r="A24" s="101" t="s">
        <v>54</v>
      </c>
      <c r="B24" s="101"/>
      <c r="C24" s="101"/>
      <c r="D24" s="92"/>
      <c r="E24" s="44"/>
      <c r="F24" s="45"/>
      <c r="G24" s="46" t="s">
        <v>98</v>
      </c>
      <c r="H24" s="44"/>
      <c r="I24" s="67">
        <v>15.89039523863778</v>
      </c>
      <c r="J24" s="67">
        <v>7.6540229612195692</v>
      </c>
      <c r="K24" s="67">
        <v>7.1576254910861437</v>
      </c>
      <c r="L24" s="67">
        <v>17.366194741383008</v>
      </c>
      <c r="M24" s="67">
        <v>8.3949654004946286</v>
      </c>
      <c r="N24" s="67">
        <v>7.8577598353238853</v>
      </c>
      <c r="O24" s="44"/>
      <c r="P24" s="44"/>
      <c r="Q24" s="44"/>
      <c r="S24" s="84"/>
      <c r="T24" s="84"/>
      <c r="U24" s="84"/>
      <c r="V24" s="58"/>
      <c r="W24" s="58"/>
      <c r="X24" s="72"/>
      <c r="Y24" s="72"/>
    </row>
    <row r="25" spans="1:26" x14ac:dyDescent="0.25">
      <c r="A25" s="32" t="s">
        <v>36</v>
      </c>
      <c r="B25" s="32" t="s">
        <v>19</v>
      </c>
      <c r="C25" s="32" t="s">
        <v>55</v>
      </c>
      <c r="D25" s="65" t="s">
        <v>172</v>
      </c>
      <c r="E25" s="34">
        <v>90</v>
      </c>
      <c r="F25" s="33">
        <v>119.01099531999999</v>
      </c>
      <c r="G25" s="35">
        <v>19545</v>
      </c>
      <c r="H25" s="22"/>
      <c r="I25" s="36">
        <v>14.797064549947581</v>
      </c>
      <c r="J25" s="36">
        <v>4.7596168491578217</v>
      </c>
      <c r="K25" s="36">
        <v>5.7241976739677458</v>
      </c>
      <c r="L25" s="36">
        <v>15.903923911669304</v>
      </c>
      <c r="M25" s="36">
        <v>6.7179293445371213</v>
      </c>
      <c r="N25" s="36">
        <v>6.8383165297380755</v>
      </c>
      <c r="O25" s="23"/>
      <c r="P25" s="36">
        <v>10.899792750929894</v>
      </c>
      <c r="Q25" s="36">
        <v>12.070621755791825</v>
      </c>
      <c r="S25" s="83">
        <v>0.48771808878969714</v>
      </c>
      <c r="T25" s="83">
        <v>1.0293069425896231</v>
      </c>
      <c r="U25" s="83" t="s">
        <v>91</v>
      </c>
      <c r="V25" s="58"/>
      <c r="W25" s="58"/>
      <c r="X25" s="48"/>
      <c r="Y25" s="48"/>
      <c r="Z25" s="47"/>
    </row>
    <row r="26" spans="1:26" x14ac:dyDescent="0.25">
      <c r="A26" s="32" t="s">
        <v>177</v>
      </c>
      <c r="B26" s="32" t="s">
        <v>17</v>
      </c>
      <c r="C26" s="32" t="s">
        <v>127</v>
      </c>
      <c r="D26" s="65" t="s">
        <v>172</v>
      </c>
      <c r="E26" s="65">
        <v>97</v>
      </c>
      <c r="F26" s="33">
        <v>235.3049246912</v>
      </c>
      <c r="G26" s="35">
        <v>28088</v>
      </c>
      <c r="H26" s="22"/>
      <c r="I26" s="36">
        <v>13.321269487750564</v>
      </c>
      <c r="J26" s="36">
        <v>8.2045885211777136</v>
      </c>
      <c r="K26" s="36">
        <v>7.315565310406158</v>
      </c>
      <c r="L26" s="36">
        <v>15.613931340571119</v>
      </c>
      <c r="M26" s="36">
        <v>7.9499147424427763</v>
      </c>
      <c r="N26" s="36">
        <v>7.7046810675450716</v>
      </c>
      <c r="O26" s="23"/>
      <c r="P26" s="36">
        <v>10.732120450322844</v>
      </c>
      <c r="Q26" s="36">
        <v>13.141219129139744</v>
      </c>
      <c r="S26" s="83">
        <v>0.5</v>
      </c>
      <c r="T26" s="83" t="s">
        <v>91</v>
      </c>
      <c r="U26" s="83">
        <v>1.19</v>
      </c>
      <c r="V26" s="58"/>
      <c r="W26" s="58"/>
      <c r="X26" s="48"/>
      <c r="Y26" s="48"/>
      <c r="Z26" s="47"/>
    </row>
    <row r="27" spans="1:26" x14ac:dyDescent="0.25">
      <c r="A27" s="32" t="s">
        <v>88</v>
      </c>
      <c r="B27" s="32" t="s">
        <v>16</v>
      </c>
      <c r="C27" s="32" t="s">
        <v>56</v>
      </c>
      <c r="D27" s="65" t="s">
        <v>172</v>
      </c>
      <c r="E27" s="65">
        <v>98</v>
      </c>
      <c r="F27" s="33">
        <v>457.06410735000003</v>
      </c>
      <c r="G27" s="35">
        <v>62796</v>
      </c>
      <c r="H27" s="22"/>
      <c r="I27" s="36">
        <v>15.252694946101087</v>
      </c>
      <c r="J27" s="36">
        <v>6.9346516710663275</v>
      </c>
      <c r="K27" s="36">
        <v>6.7503194445140302</v>
      </c>
      <c r="L27" s="36">
        <v>19.728419767570294</v>
      </c>
      <c r="M27" s="36">
        <v>9.2610753877909513</v>
      </c>
      <c r="N27" s="36">
        <v>8.6772139088801215</v>
      </c>
      <c r="O27" s="23"/>
      <c r="P27" s="36">
        <v>12.139095179254559</v>
      </c>
      <c r="Q27" s="36">
        <v>13.730778342766955</v>
      </c>
      <c r="S27" s="83">
        <v>0.5</v>
      </c>
      <c r="T27" s="83">
        <v>0.87</v>
      </c>
      <c r="U27" s="83" t="s">
        <v>91</v>
      </c>
      <c r="V27" s="58"/>
      <c r="W27" s="58"/>
    </row>
    <row r="28" spans="1:26" x14ac:dyDescent="0.25">
      <c r="A28" s="32" t="s">
        <v>89</v>
      </c>
      <c r="B28" s="32" t="s">
        <v>18</v>
      </c>
      <c r="C28" s="32" t="s">
        <v>105</v>
      </c>
      <c r="D28" s="65" t="s">
        <v>172</v>
      </c>
      <c r="E28" s="65">
        <v>97</v>
      </c>
      <c r="F28" s="33">
        <v>596.30426254999998</v>
      </c>
      <c r="G28" s="35">
        <v>98500</v>
      </c>
      <c r="H28" s="22"/>
      <c r="I28" s="36">
        <v>17.17778099233329</v>
      </c>
      <c r="J28" s="36">
        <v>8.8729270861585885</v>
      </c>
      <c r="K28" s="36">
        <v>7.8356072908793539</v>
      </c>
      <c r="L28" s="36">
        <v>17.203621581670369</v>
      </c>
      <c r="M28" s="36">
        <v>8.2984423619793635</v>
      </c>
      <c r="N28" s="36">
        <v>7.7388246099246993</v>
      </c>
      <c r="O28" s="23"/>
      <c r="P28" s="36">
        <v>12.812612559046554</v>
      </c>
      <c r="Q28" s="36">
        <v>13.548018823716406</v>
      </c>
      <c r="S28" s="83">
        <v>0.5</v>
      </c>
      <c r="T28" s="83" t="s">
        <v>91</v>
      </c>
      <c r="U28" s="83">
        <v>0.84360000000000002</v>
      </c>
      <c r="V28" s="58"/>
      <c r="W28" s="58"/>
    </row>
    <row r="29" spans="1:26" x14ac:dyDescent="0.25">
      <c r="A29" s="32" t="s">
        <v>116</v>
      </c>
      <c r="B29" s="32" t="s">
        <v>20</v>
      </c>
      <c r="C29" s="32" t="s">
        <v>120</v>
      </c>
      <c r="D29" s="65" t="s">
        <v>172</v>
      </c>
      <c r="E29" s="65">
        <v>90</v>
      </c>
      <c r="F29" s="33">
        <v>210.87924747</v>
      </c>
      <c r="G29" s="35">
        <v>39969</v>
      </c>
      <c r="H29" s="22"/>
      <c r="I29" s="36">
        <v>17.029234409587033</v>
      </c>
      <c r="J29" s="36">
        <v>6.7856418079407677</v>
      </c>
      <c r="K29" s="36">
        <v>6.7560269003024809</v>
      </c>
      <c r="L29" s="36">
        <v>15.486433242049969</v>
      </c>
      <c r="M29" s="36">
        <v>8.2337245599006348</v>
      </c>
      <c r="N29" s="36">
        <v>7.1641102034503801</v>
      </c>
      <c r="O29" s="23"/>
      <c r="P29" s="36">
        <v>11.76622998535434</v>
      </c>
      <c r="Q29" s="36">
        <v>13.612412129093137</v>
      </c>
      <c r="S29" s="83">
        <v>0.5</v>
      </c>
      <c r="T29" s="83">
        <v>1.02</v>
      </c>
      <c r="U29" s="83" t="s">
        <v>91</v>
      </c>
      <c r="V29" s="58"/>
      <c r="W29" s="58"/>
    </row>
    <row r="30" spans="1:26" x14ac:dyDescent="0.25">
      <c r="A30" s="32" t="s">
        <v>131</v>
      </c>
      <c r="B30" s="32" t="s">
        <v>135</v>
      </c>
      <c r="C30" s="32" t="s">
        <v>143</v>
      </c>
      <c r="D30" s="65" t="s">
        <v>173</v>
      </c>
      <c r="E30" s="65">
        <v>100</v>
      </c>
      <c r="F30" s="33">
        <v>8.6307177169999996</v>
      </c>
      <c r="G30" s="35">
        <v>760</v>
      </c>
      <c r="H30" s="22"/>
      <c r="I30" s="36">
        <v>18.008998875140602</v>
      </c>
      <c r="J30" s="36" t="s">
        <v>148</v>
      </c>
      <c r="K30" s="36" t="s">
        <v>148</v>
      </c>
      <c r="L30" s="36">
        <v>17.898832684824907</v>
      </c>
      <c r="M30" s="36" t="s">
        <v>148</v>
      </c>
      <c r="N30" s="36" t="s">
        <v>148</v>
      </c>
      <c r="O30" s="23"/>
      <c r="P30" s="36" t="s">
        <v>148</v>
      </c>
      <c r="Q30" s="36" t="s">
        <v>148</v>
      </c>
      <c r="S30" s="89" t="s">
        <v>163</v>
      </c>
      <c r="T30" s="89" t="s">
        <v>164</v>
      </c>
      <c r="U30" s="83" t="s">
        <v>91</v>
      </c>
      <c r="V30" s="58"/>
      <c r="W30" s="58"/>
    </row>
    <row r="31" spans="1:26" s="47" customFormat="1" ht="18.600000000000001" customHeight="1" x14ac:dyDescent="0.25">
      <c r="A31" s="101" t="s">
        <v>57</v>
      </c>
      <c r="B31" s="101"/>
      <c r="C31" s="101"/>
      <c r="D31" s="92"/>
      <c r="E31" s="92"/>
      <c r="F31" s="45"/>
      <c r="G31" s="46" t="s">
        <v>98</v>
      </c>
      <c r="H31" s="44"/>
      <c r="I31" s="67">
        <v>14.111444925149565</v>
      </c>
      <c r="J31" s="67">
        <v>6.3213300320009518</v>
      </c>
      <c r="K31" s="67">
        <v>6.0574203364997201</v>
      </c>
      <c r="L31" s="67">
        <v>15.245492077658742</v>
      </c>
      <c r="M31" s="67">
        <v>6.4839460317809605</v>
      </c>
      <c r="N31" s="67">
        <v>6.3926148572806492</v>
      </c>
      <c r="O31" s="44"/>
      <c r="P31" s="44"/>
      <c r="Q31" s="44"/>
      <c r="S31" s="84"/>
      <c r="T31" s="84"/>
      <c r="U31" s="84"/>
      <c r="V31" s="58"/>
      <c r="W31" s="58"/>
    </row>
    <row r="32" spans="1:26" x14ac:dyDescent="0.25">
      <c r="A32" s="32" t="s">
        <v>36</v>
      </c>
      <c r="B32" s="32" t="s">
        <v>24</v>
      </c>
      <c r="C32" s="32" t="s">
        <v>58</v>
      </c>
      <c r="D32" s="65" t="s">
        <v>172</v>
      </c>
      <c r="E32" s="65">
        <v>75</v>
      </c>
      <c r="F32" s="33">
        <v>116.7010763</v>
      </c>
      <c r="G32" s="35">
        <v>18186</v>
      </c>
      <c r="H32" s="22"/>
      <c r="I32" s="36">
        <v>13.235955056179783</v>
      </c>
      <c r="J32" s="36">
        <v>4.1525322127150766</v>
      </c>
      <c r="K32" s="36">
        <v>5.2244898389745664</v>
      </c>
      <c r="L32" s="36">
        <v>14.389380146435782</v>
      </c>
      <c r="M32" s="36">
        <v>5.7619171265222091</v>
      </c>
      <c r="N32" s="36">
        <v>6.1196916970143844</v>
      </c>
      <c r="O32" s="23"/>
      <c r="P32" s="36">
        <v>10.369568065173732</v>
      </c>
      <c r="Q32" s="36">
        <v>11.561882351891137</v>
      </c>
      <c r="S32" s="83">
        <v>0.48772631575584313</v>
      </c>
      <c r="T32" s="83">
        <v>1.0044339309724837</v>
      </c>
      <c r="U32" s="83" t="s">
        <v>91</v>
      </c>
      <c r="V32" s="58"/>
      <c r="W32" s="58"/>
    </row>
    <row r="33" spans="1:23" x14ac:dyDescent="0.25">
      <c r="A33" s="32" t="s">
        <v>177</v>
      </c>
      <c r="B33" s="32" t="s">
        <v>22</v>
      </c>
      <c r="C33" s="32" t="s">
        <v>128</v>
      </c>
      <c r="D33" s="65" t="s">
        <v>172</v>
      </c>
      <c r="E33" s="93">
        <v>67.58</v>
      </c>
      <c r="F33" s="33">
        <v>194.00735355809999</v>
      </c>
      <c r="G33" s="35">
        <v>23420</v>
      </c>
      <c r="H33" s="22"/>
      <c r="I33" s="36">
        <v>11.903713488918232</v>
      </c>
      <c r="J33" s="36">
        <v>6.2509935210578904</v>
      </c>
      <c r="K33" s="36">
        <v>5.7748662931295769</v>
      </c>
      <c r="L33" s="36">
        <v>14.053515460889553</v>
      </c>
      <c r="M33" s="36">
        <v>5.012134112387634</v>
      </c>
      <c r="N33" s="36">
        <v>5.3957025211718301</v>
      </c>
      <c r="O33" s="23"/>
      <c r="P33" s="36">
        <v>9.1530270934068678</v>
      </c>
      <c r="Q33" s="36">
        <v>11.693541305691696</v>
      </c>
      <c r="S33" s="83">
        <v>0.5</v>
      </c>
      <c r="T33" s="83" t="s">
        <v>91</v>
      </c>
      <c r="U33" s="83">
        <v>1.05</v>
      </c>
      <c r="V33" s="58"/>
      <c r="W33" s="58"/>
    </row>
    <row r="34" spans="1:23" x14ac:dyDescent="0.25">
      <c r="A34" s="32" t="s">
        <v>88</v>
      </c>
      <c r="B34" s="32" t="s">
        <v>21</v>
      </c>
      <c r="C34" s="32" t="s">
        <v>59</v>
      </c>
      <c r="D34" s="65" t="s">
        <v>172</v>
      </c>
      <c r="E34" s="65">
        <v>73.099999999999994</v>
      </c>
      <c r="F34" s="33">
        <v>408.98524370999996</v>
      </c>
      <c r="G34" s="35">
        <v>53423</v>
      </c>
      <c r="H34" s="22"/>
      <c r="I34" s="36">
        <v>13.706180642316458</v>
      </c>
      <c r="J34" s="36">
        <v>5.7390614975144194</v>
      </c>
      <c r="K34" s="36">
        <v>5.7704688283191974</v>
      </c>
      <c r="L34" s="36">
        <v>16.908259069360156</v>
      </c>
      <c r="M34" s="36">
        <v>7.2876711173277098</v>
      </c>
      <c r="N34" s="36">
        <v>7.179024877628426</v>
      </c>
      <c r="O34" s="23"/>
      <c r="P34" s="36">
        <v>10.741978295100143</v>
      </c>
      <c r="Q34" s="36">
        <v>12.070678705741884</v>
      </c>
      <c r="S34" s="83">
        <v>0.5</v>
      </c>
      <c r="T34" s="83">
        <v>0.77</v>
      </c>
      <c r="U34" s="83" t="s">
        <v>91</v>
      </c>
      <c r="V34" s="58"/>
      <c r="W34" s="58"/>
    </row>
    <row r="35" spans="1:23" x14ac:dyDescent="0.25">
      <c r="A35" s="32" t="s">
        <v>89</v>
      </c>
      <c r="B35" s="32" t="s">
        <v>23</v>
      </c>
      <c r="C35" s="32" t="s">
        <v>106</v>
      </c>
      <c r="D35" s="65" t="s">
        <v>172</v>
      </c>
      <c r="E35" s="65">
        <v>75</v>
      </c>
      <c r="F35" s="33">
        <v>603.22986958000001</v>
      </c>
      <c r="G35" s="35">
        <v>95922</v>
      </c>
      <c r="H35" s="22"/>
      <c r="I35" s="36">
        <v>15.029368575624069</v>
      </c>
      <c r="J35" s="36">
        <v>7.5862806130489346</v>
      </c>
      <c r="K35" s="36">
        <v>6.8445267939729826</v>
      </c>
      <c r="L35" s="36">
        <v>15.253280310203611</v>
      </c>
      <c r="M35" s="36">
        <v>6.5580573387429286</v>
      </c>
      <c r="N35" s="36">
        <v>6.437654628640832</v>
      </c>
      <c r="O35" s="23"/>
      <c r="P35" s="36">
        <v>11.39968641711839</v>
      </c>
      <c r="Q35" s="36">
        <v>12.523140052254259</v>
      </c>
      <c r="S35" s="83">
        <v>0.5</v>
      </c>
      <c r="T35" s="83" t="s">
        <v>91</v>
      </c>
      <c r="U35" s="83">
        <v>0.80589999999999995</v>
      </c>
      <c r="V35" s="58"/>
      <c r="W35" s="58"/>
    </row>
    <row r="36" spans="1:23" x14ac:dyDescent="0.25">
      <c r="A36" s="32" t="s">
        <v>116</v>
      </c>
      <c r="B36" s="32" t="s">
        <v>25</v>
      </c>
      <c r="C36" s="32" t="s">
        <v>121</v>
      </c>
      <c r="D36" s="65" t="s">
        <v>172</v>
      </c>
      <c r="E36" s="65">
        <v>75</v>
      </c>
      <c r="F36" s="33">
        <v>226.87033237</v>
      </c>
      <c r="G36" s="35">
        <v>39668</v>
      </c>
      <c r="H36" s="22"/>
      <c r="I36" s="36">
        <v>14.677119534470219</v>
      </c>
      <c r="J36" s="36">
        <v>5.1833676870888468</v>
      </c>
      <c r="K36" s="36">
        <v>5.1519438764471071</v>
      </c>
      <c r="L36" s="36">
        <v>13.686963726185809</v>
      </c>
      <c r="M36" s="36">
        <v>6.4680163674510238</v>
      </c>
      <c r="N36" s="36">
        <v>5.8480717372847213</v>
      </c>
      <c r="O36" s="23"/>
      <c r="P36" s="36">
        <v>10.49750691246499</v>
      </c>
      <c r="Q36" s="36">
        <v>11.868047593732065</v>
      </c>
      <c r="S36" s="83">
        <v>0.5</v>
      </c>
      <c r="T36" s="83">
        <v>0.92</v>
      </c>
      <c r="U36" s="83" t="s">
        <v>91</v>
      </c>
      <c r="V36" s="58"/>
      <c r="W36" s="58"/>
    </row>
    <row r="37" spans="1:23" x14ac:dyDescent="0.25">
      <c r="A37" s="32" t="s">
        <v>131</v>
      </c>
      <c r="B37" s="32" t="s">
        <v>136</v>
      </c>
      <c r="C37" s="32" t="s">
        <v>142</v>
      </c>
      <c r="D37" s="65" t="s">
        <v>173</v>
      </c>
      <c r="E37" s="65">
        <v>100</v>
      </c>
      <c r="F37" s="33">
        <v>4.1196748750999994</v>
      </c>
      <c r="G37" s="35">
        <v>442</v>
      </c>
      <c r="H37" s="22"/>
      <c r="I37" s="36">
        <v>17.553489414136902</v>
      </c>
      <c r="J37" s="36" t="s">
        <v>148</v>
      </c>
      <c r="K37" s="36" t="s">
        <v>148</v>
      </c>
      <c r="L37" s="36">
        <v>17.898832684824907</v>
      </c>
      <c r="M37" s="36" t="s">
        <v>148</v>
      </c>
      <c r="N37" s="36" t="s">
        <v>148</v>
      </c>
      <c r="O37" s="23"/>
      <c r="P37" s="36" t="s">
        <v>148</v>
      </c>
      <c r="Q37" s="36" t="s">
        <v>148</v>
      </c>
      <c r="S37" s="89" t="s">
        <v>163</v>
      </c>
      <c r="T37" s="89" t="s">
        <v>164</v>
      </c>
      <c r="U37" s="83" t="s">
        <v>91</v>
      </c>
      <c r="V37" s="58"/>
      <c r="W37" s="58"/>
    </row>
    <row r="38" spans="1:23" s="47" customFormat="1" ht="18.600000000000001" customHeight="1" x14ac:dyDescent="0.25">
      <c r="A38" s="101" t="s">
        <v>60</v>
      </c>
      <c r="B38" s="101"/>
      <c r="C38" s="101"/>
      <c r="D38" s="92"/>
      <c r="E38" s="92"/>
      <c r="F38" s="45"/>
      <c r="G38" s="46" t="s">
        <v>98</v>
      </c>
      <c r="H38" s="44"/>
      <c r="I38" s="67">
        <v>10.589095352755754</v>
      </c>
      <c r="J38" s="67">
        <v>2.5302490371607669</v>
      </c>
      <c r="K38" s="67">
        <v>3.0309967013925778</v>
      </c>
      <c r="L38" s="67">
        <v>11.555187455061573</v>
      </c>
      <c r="M38" s="67">
        <v>2.0517322763675039</v>
      </c>
      <c r="N38" s="67">
        <v>2.8120079707469832</v>
      </c>
      <c r="O38" s="44"/>
      <c r="P38" s="44"/>
      <c r="Q38" s="44"/>
      <c r="S38" s="84"/>
      <c r="T38" s="84"/>
      <c r="U38" s="84"/>
      <c r="V38" s="58"/>
      <c r="W38" s="58"/>
    </row>
    <row r="39" spans="1:23" x14ac:dyDescent="0.25">
      <c r="A39" s="32" t="s">
        <v>36</v>
      </c>
      <c r="B39" s="32" t="s">
        <v>27</v>
      </c>
      <c r="C39" s="32" t="s">
        <v>61</v>
      </c>
      <c r="D39" s="65" t="s">
        <v>172</v>
      </c>
      <c r="E39" s="65">
        <v>40</v>
      </c>
      <c r="F39" s="33">
        <v>94.292977010000001</v>
      </c>
      <c r="G39" s="35">
        <v>16552</v>
      </c>
      <c r="H39" s="22"/>
      <c r="I39" s="36">
        <v>10.128740728109808</v>
      </c>
      <c r="J39" s="36">
        <v>1.1214359343409974</v>
      </c>
      <c r="K39" s="36">
        <v>2.5244621825597058</v>
      </c>
      <c r="L39" s="36">
        <v>11.098457190846322</v>
      </c>
      <c r="M39" s="36">
        <v>2.2407174315309586</v>
      </c>
      <c r="N39" s="36">
        <v>2.9059505300276234</v>
      </c>
      <c r="O39" s="23"/>
      <c r="P39" s="36">
        <v>8.2347769262406576</v>
      </c>
      <c r="Q39" s="36">
        <v>8.7706822598918635</v>
      </c>
      <c r="S39" s="83">
        <v>0.48771111310378429</v>
      </c>
      <c r="T39" s="83">
        <v>0.9203459903616984</v>
      </c>
      <c r="U39" s="83" t="s">
        <v>91</v>
      </c>
      <c r="V39" s="58"/>
      <c r="W39" s="58"/>
    </row>
    <row r="40" spans="1:23" x14ac:dyDescent="0.25">
      <c r="A40" s="32" t="s">
        <v>177</v>
      </c>
      <c r="B40" s="32" t="s">
        <v>29</v>
      </c>
      <c r="C40" s="32" t="s">
        <v>129</v>
      </c>
      <c r="D40" s="65" t="s">
        <v>172</v>
      </c>
      <c r="E40" s="93">
        <v>31.75</v>
      </c>
      <c r="F40" s="33">
        <v>122.6155649868</v>
      </c>
      <c r="G40" s="35">
        <v>17538</v>
      </c>
      <c r="H40" s="22"/>
      <c r="I40" s="36">
        <v>10.461038405611166</v>
      </c>
      <c r="J40" s="36">
        <v>2.5739927942123764</v>
      </c>
      <c r="K40" s="36">
        <v>2.8633811960457445</v>
      </c>
      <c r="L40" s="36">
        <v>11.087635998272427</v>
      </c>
      <c r="M40" s="36">
        <v>9.6127507827459269E-2</v>
      </c>
      <c r="N40" s="36">
        <v>1.4242934010216368</v>
      </c>
      <c r="O40" s="23"/>
      <c r="P40" s="36">
        <v>6.8524238621338132</v>
      </c>
      <c r="Q40" s="36">
        <v>9.351386482884541</v>
      </c>
      <c r="S40" s="83">
        <v>0.5</v>
      </c>
      <c r="T40" s="83" t="s">
        <v>91</v>
      </c>
      <c r="U40" s="83">
        <v>0.77</v>
      </c>
      <c r="V40" s="58"/>
      <c r="W40" s="58"/>
    </row>
    <row r="41" spans="1:23" x14ac:dyDescent="0.25">
      <c r="A41" s="32" t="s">
        <v>88</v>
      </c>
      <c r="B41" s="32" t="s">
        <v>28</v>
      </c>
      <c r="C41" s="32" t="s">
        <v>62</v>
      </c>
      <c r="D41" s="65" t="s">
        <v>172</v>
      </c>
      <c r="E41" s="65">
        <v>39.800000000000004</v>
      </c>
      <c r="F41" s="33">
        <v>312.66239045999998</v>
      </c>
      <c r="G41" s="35">
        <v>46810</v>
      </c>
      <c r="H41" s="22"/>
      <c r="I41" s="36">
        <v>10.829276624818519</v>
      </c>
      <c r="J41" s="36">
        <v>2.2782062673984971</v>
      </c>
      <c r="K41" s="36">
        <v>2.8019584209121096</v>
      </c>
      <c r="L41" s="36">
        <v>12.505935053325423</v>
      </c>
      <c r="M41" s="36">
        <v>3.2209219562126412</v>
      </c>
      <c r="N41" s="36">
        <v>3.8536286532047548</v>
      </c>
      <c r="O41" s="23"/>
      <c r="P41" s="36">
        <v>7.8139349428098415</v>
      </c>
      <c r="Q41" s="36">
        <v>8.7588500703687782</v>
      </c>
      <c r="S41" s="83">
        <v>0.5</v>
      </c>
      <c r="T41" s="83">
        <v>0.74</v>
      </c>
      <c r="U41" s="83" t="s">
        <v>91</v>
      </c>
      <c r="V41" s="58"/>
      <c r="W41" s="58"/>
    </row>
    <row r="42" spans="1:23" x14ac:dyDescent="0.25">
      <c r="A42" s="32" t="s">
        <v>89</v>
      </c>
      <c r="B42" s="32" t="s">
        <v>26</v>
      </c>
      <c r="C42" s="32" t="s">
        <v>107</v>
      </c>
      <c r="D42" s="65" t="s">
        <v>172</v>
      </c>
      <c r="E42" s="65">
        <v>40</v>
      </c>
      <c r="F42" s="33">
        <v>464.85853888999998</v>
      </c>
      <c r="G42" s="35">
        <v>84379</v>
      </c>
      <c r="H42" s="22"/>
      <c r="I42" s="36">
        <v>11.078570830892808</v>
      </c>
      <c r="J42" s="36">
        <v>3.5065976006565247</v>
      </c>
      <c r="K42" s="36">
        <v>3.7937276245489926</v>
      </c>
      <c r="L42" s="36">
        <v>12.068454632289537</v>
      </c>
      <c r="M42" s="36">
        <v>1.4874108391360608</v>
      </c>
      <c r="N42" s="36">
        <v>2.4916452327937266</v>
      </c>
      <c r="O42" s="23"/>
      <c r="P42" s="36">
        <v>8.0892238899219961</v>
      </c>
      <c r="Q42" s="36">
        <v>9.634772282694902</v>
      </c>
      <c r="S42" s="83">
        <v>0.5</v>
      </c>
      <c r="T42" s="83" t="s">
        <v>91</v>
      </c>
      <c r="U42" s="83">
        <v>0.61429999999999996</v>
      </c>
      <c r="V42" s="58"/>
      <c r="W42" s="58"/>
    </row>
    <row r="43" spans="1:23" x14ac:dyDescent="0.25">
      <c r="A43" s="32" t="s">
        <v>116</v>
      </c>
      <c r="B43" s="32" t="s">
        <v>30</v>
      </c>
      <c r="C43" s="32" t="s">
        <v>122</v>
      </c>
      <c r="D43" s="65" t="s">
        <v>172</v>
      </c>
      <c r="E43" s="65">
        <v>40</v>
      </c>
      <c r="F43" s="33">
        <v>201.44943655</v>
      </c>
      <c r="G43" s="35">
        <v>37468</v>
      </c>
      <c r="H43" s="22"/>
      <c r="I43" s="36">
        <v>9.3735584463511259</v>
      </c>
      <c r="J43" s="36">
        <v>1.3012450747174942</v>
      </c>
      <c r="K43" s="36">
        <v>1.9655412090817892</v>
      </c>
      <c r="L43" s="36">
        <v>9.3935328384820984</v>
      </c>
      <c r="M43" s="36">
        <v>2.6411387860206581</v>
      </c>
      <c r="N43" s="36">
        <v>2.7352890873885816</v>
      </c>
      <c r="O43" s="23"/>
      <c r="P43" s="36">
        <v>6.7231846204679089</v>
      </c>
      <c r="Q43" s="36">
        <v>7.0335266266271246</v>
      </c>
      <c r="S43" s="83">
        <v>0.5</v>
      </c>
      <c r="T43" s="83">
        <v>0.76</v>
      </c>
      <c r="U43" s="83" t="s">
        <v>91</v>
      </c>
      <c r="V43" s="58"/>
      <c r="W43" s="58"/>
    </row>
    <row r="44" spans="1:23" x14ac:dyDescent="0.25">
      <c r="A44" s="32" t="s">
        <v>131</v>
      </c>
      <c r="B44" s="32" t="s">
        <v>137</v>
      </c>
      <c r="C44" s="32" t="s">
        <v>141</v>
      </c>
      <c r="D44" s="65" t="s">
        <v>173</v>
      </c>
      <c r="E44" s="65">
        <v>50</v>
      </c>
      <c r="F44" s="33">
        <v>1.6452390796</v>
      </c>
      <c r="G44" s="35">
        <v>192</v>
      </c>
      <c r="H44" s="22"/>
      <c r="I44" s="36">
        <v>11.407639979068552</v>
      </c>
      <c r="J44" s="36" t="s">
        <v>148</v>
      </c>
      <c r="K44" s="36" t="s">
        <v>148</v>
      </c>
      <c r="L44" s="36">
        <v>11.705020920502097</v>
      </c>
      <c r="M44" s="36" t="s">
        <v>148</v>
      </c>
      <c r="N44" s="36" t="s">
        <v>148</v>
      </c>
      <c r="O44" s="23"/>
      <c r="P44" s="36" t="s">
        <v>148</v>
      </c>
      <c r="Q44" s="36" t="s">
        <v>148</v>
      </c>
      <c r="S44" s="89" t="s">
        <v>165</v>
      </c>
      <c r="T44" s="89" t="s">
        <v>166</v>
      </c>
      <c r="U44" s="83" t="s">
        <v>91</v>
      </c>
      <c r="V44" s="58"/>
      <c r="W44" s="58"/>
    </row>
    <row r="45" spans="1:23" s="47" customFormat="1" ht="18.600000000000001" customHeight="1" x14ac:dyDescent="0.25">
      <c r="A45" s="102" t="s">
        <v>63</v>
      </c>
      <c r="B45" s="102"/>
      <c r="C45" s="102"/>
      <c r="D45" s="92"/>
      <c r="E45" s="92"/>
      <c r="F45" s="45"/>
      <c r="G45" s="46" t="s">
        <v>98</v>
      </c>
      <c r="H45" s="44"/>
      <c r="I45" s="67">
        <v>7.5841998933963382</v>
      </c>
      <c r="J45" s="67">
        <v>-0.69759277147120291</v>
      </c>
      <c r="K45" s="67">
        <v>0.21179708135773795</v>
      </c>
      <c r="L45" s="67">
        <v>8.7465379976004574</v>
      </c>
      <c r="M45" s="67">
        <v>-1.4660557007106032</v>
      </c>
      <c r="N45" s="67">
        <v>-0.27756816006698254</v>
      </c>
      <c r="O45" s="44"/>
      <c r="P45" s="44"/>
      <c r="Q45" s="44"/>
      <c r="S45" s="84"/>
      <c r="T45" s="84"/>
      <c r="U45" s="84"/>
      <c r="V45" s="58"/>
      <c r="W45" s="58"/>
    </row>
    <row r="46" spans="1:23" x14ac:dyDescent="0.25">
      <c r="A46" s="32" t="s">
        <v>36</v>
      </c>
      <c r="B46" s="32" t="s">
        <v>32</v>
      </c>
      <c r="C46" s="32" t="s">
        <v>64</v>
      </c>
      <c r="D46" s="65" t="s">
        <v>172</v>
      </c>
      <c r="E46" s="65">
        <v>10</v>
      </c>
      <c r="F46" s="33">
        <v>18.2109597</v>
      </c>
      <c r="G46" s="35">
        <v>3481</v>
      </c>
      <c r="H46" s="22"/>
      <c r="I46" s="36">
        <v>7.2257806244995892</v>
      </c>
      <c r="J46" s="36">
        <v>-1.6402821433512904</v>
      </c>
      <c r="K46" s="36">
        <v>-0.51595603726015682</v>
      </c>
      <c r="L46" s="36">
        <v>8.2497662301680421</v>
      </c>
      <c r="M46" s="36">
        <v>-1.196228311605918</v>
      </c>
      <c r="N46" s="36">
        <v>-0.16104847160085534</v>
      </c>
      <c r="O46" s="23"/>
      <c r="P46" s="36">
        <v>6.0570414458253587</v>
      </c>
      <c r="Q46" s="36">
        <v>6.4861291567779435</v>
      </c>
      <c r="S46" s="83">
        <v>0.48818604330488191</v>
      </c>
      <c r="T46" s="83">
        <v>0.80371399332259774</v>
      </c>
      <c r="U46" s="83" t="s">
        <v>91</v>
      </c>
      <c r="V46" s="58"/>
      <c r="W46" s="58"/>
    </row>
    <row r="47" spans="1:23" x14ac:dyDescent="0.25">
      <c r="A47" s="32" t="s">
        <v>177</v>
      </c>
      <c r="B47" s="32" t="s">
        <v>35</v>
      </c>
      <c r="C47" s="32" t="s">
        <v>130</v>
      </c>
      <c r="D47" s="65" t="s">
        <v>172</v>
      </c>
      <c r="E47" s="93">
        <v>10</v>
      </c>
      <c r="F47" s="33">
        <v>17.730033161400002</v>
      </c>
      <c r="G47" s="35">
        <v>2807</v>
      </c>
      <c r="H47" s="22"/>
      <c r="I47" s="36">
        <v>8.9544772386193081</v>
      </c>
      <c r="J47" s="36">
        <v>-0.45496534622549989</v>
      </c>
      <c r="K47" s="36">
        <v>0.29369570982791249</v>
      </c>
      <c r="L47" s="36">
        <v>7.9763322417385929</v>
      </c>
      <c r="M47" s="36">
        <v>-2.9215469752951306</v>
      </c>
      <c r="N47" s="36">
        <v>-1.4786533447713857</v>
      </c>
      <c r="O47" s="23"/>
      <c r="P47" s="36">
        <v>4.7448110816384537</v>
      </c>
      <c r="Q47" s="36">
        <v>6.8360166690032695</v>
      </c>
      <c r="S47" s="83">
        <v>0.5</v>
      </c>
      <c r="T47" s="83" t="s">
        <v>91</v>
      </c>
      <c r="U47" s="83">
        <v>0.54</v>
      </c>
      <c r="V47" s="58"/>
      <c r="W47" s="58"/>
    </row>
    <row r="48" spans="1:23" x14ac:dyDescent="0.25">
      <c r="A48" s="32" t="s">
        <v>88</v>
      </c>
      <c r="B48" s="32" t="s">
        <v>33</v>
      </c>
      <c r="C48" s="32" t="s">
        <v>65</v>
      </c>
      <c r="D48" s="65" t="s">
        <v>172</v>
      </c>
      <c r="E48" s="65">
        <v>18.5</v>
      </c>
      <c r="F48" s="33">
        <v>54.36879364</v>
      </c>
      <c r="G48" s="35">
        <v>8828</v>
      </c>
      <c r="H48" s="22"/>
      <c r="I48" s="36">
        <v>8.6177729127276272</v>
      </c>
      <c r="J48" s="36">
        <v>-0.82598756514876692</v>
      </c>
      <c r="K48" s="36">
        <v>2.5210567521449789E-2</v>
      </c>
      <c r="L48" s="36">
        <v>9.6600626693132519</v>
      </c>
      <c r="M48" s="36">
        <v>-0.17531326557739257</v>
      </c>
      <c r="N48" s="36">
        <v>0.74402022706392401</v>
      </c>
      <c r="O48" s="23"/>
      <c r="P48" s="36">
        <v>5.4452688886214613</v>
      </c>
      <c r="Q48" s="36">
        <v>6.2451351116962055</v>
      </c>
      <c r="S48" s="83">
        <v>0.5</v>
      </c>
      <c r="T48" s="83">
        <v>0.69</v>
      </c>
      <c r="U48" s="83" t="s">
        <v>91</v>
      </c>
      <c r="V48" s="58"/>
      <c r="W48" s="58"/>
    </row>
    <row r="49" spans="1:23" x14ac:dyDescent="0.25">
      <c r="A49" s="32" t="s">
        <v>89</v>
      </c>
      <c r="B49" s="32" t="s">
        <v>31</v>
      </c>
      <c r="C49" s="32" t="s">
        <v>66</v>
      </c>
      <c r="D49" s="65" t="s">
        <v>172</v>
      </c>
      <c r="E49" s="65">
        <v>15</v>
      </c>
      <c r="F49" s="33">
        <v>78.935728609999998</v>
      </c>
      <c r="G49" s="35">
        <v>13007</v>
      </c>
      <c r="H49" s="22"/>
      <c r="I49" s="36">
        <v>7.4183392365210654</v>
      </c>
      <c r="J49" s="36">
        <v>-0.63601913547957079</v>
      </c>
      <c r="K49" s="36">
        <v>0.40945118882176335</v>
      </c>
      <c r="L49" s="36">
        <v>9.7381313810271699</v>
      </c>
      <c r="M49" s="36">
        <v>-3.1465843449361652</v>
      </c>
      <c r="N49" s="36">
        <v>-1.3510568211746787</v>
      </c>
      <c r="O49" s="23"/>
      <c r="P49" s="36">
        <v>5.1523394735164461</v>
      </c>
      <c r="Q49" s="36">
        <v>7.5354861456205624</v>
      </c>
      <c r="S49" s="83">
        <v>0.5</v>
      </c>
      <c r="T49" s="83" t="s">
        <v>91</v>
      </c>
      <c r="U49" s="83">
        <v>0.52490000000000003</v>
      </c>
      <c r="V49" s="58"/>
      <c r="W49" s="58"/>
    </row>
    <row r="50" spans="1:23" x14ac:dyDescent="0.25">
      <c r="A50" s="32" t="s">
        <v>116</v>
      </c>
      <c r="B50" s="32" t="s">
        <v>34</v>
      </c>
      <c r="C50" s="32" t="s">
        <v>123</v>
      </c>
      <c r="D50" s="65" t="s">
        <v>172</v>
      </c>
      <c r="E50" s="65">
        <v>15</v>
      </c>
      <c r="F50" s="33">
        <v>42.27616896</v>
      </c>
      <c r="G50" s="35">
        <v>7841</v>
      </c>
      <c r="H50" s="22"/>
      <c r="I50" s="36">
        <v>6.1493123772102143</v>
      </c>
      <c r="J50" s="36">
        <v>-0.34311892826716095</v>
      </c>
      <c r="K50" s="36">
        <v>0.36184686480411621</v>
      </c>
      <c r="L50" s="36">
        <v>6.2572652246281946</v>
      </c>
      <c r="M50" s="36">
        <v>0.50597106496494959</v>
      </c>
      <c r="N50" s="36">
        <v>0.86651436698257367</v>
      </c>
      <c r="O50" s="23"/>
      <c r="P50" s="36">
        <v>4.0593125513414794</v>
      </c>
      <c r="Q50" s="36">
        <v>3.8886552487141546</v>
      </c>
      <c r="S50" s="83">
        <v>0.5</v>
      </c>
      <c r="T50" s="83">
        <v>0.63</v>
      </c>
      <c r="U50" s="83" t="s">
        <v>91</v>
      </c>
    </row>
    <row r="51" spans="1:23" x14ac:dyDescent="0.25">
      <c r="A51" s="32" t="s">
        <v>131</v>
      </c>
      <c r="B51" s="32" t="s">
        <v>138</v>
      </c>
      <c r="C51" s="32" t="s">
        <v>140</v>
      </c>
      <c r="D51" s="65" t="s">
        <v>173</v>
      </c>
      <c r="E51" s="65">
        <v>0</v>
      </c>
      <c r="F51" s="33">
        <v>6.3249332300000002E-2</v>
      </c>
      <c r="G51" s="35">
        <v>10</v>
      </c>
      <c r="H51" s="22"/>
      <c r="I51" s="36">
        <v>4.293362965956149</v>
      </c>
      <c r="J51" s="36" t="s">
        <v>148</v>
      </c>
      <c r="K51" s="36" t="s">
        <v>148</v>
      </c>
      <c r="L51" s="36">
        <v>5.4424511187260771</v>
      </c>
      <c r="M51" s="36" t="s">
        <v>148</v>
      </c>
      <c r="N51" s="36" t="s">
        <v>148</v>
      </c>
      <c r="O51" s="23"/>
      <c r="P51" s="36" t="s">
        <v>148</v>
      </c>
      <c r="Q51" s="36" t="s">
        <v>148</v>
      </c>
      <c r="S51" s="89" t="s">
        <v>167</v>
      </c>
      <c r="T51" s="89" t="s">
        <v>168</v>
      </c>
      <c r="U51" s="83" t="s">
        <v>91</v>
      </c>
    </row>
    <row r="52" spans="1:23" s="47" customFormat="1" ht="18.600000000000001" customHeight="1" x14ac:dyDescent="0.25">
      <c r="A52" s="101" t="s">
        <v>67</v>
      </c>
      <c r="B52" s="101"/>
      <c r="C52" s="101"/>
      <c r="D52" s="92"/>
      <c r="E52" s="92"/>
      <c r="F52" s="45"/>
      <c r="G52" s="46" t="s">
        <v>98</v>
      </c>
      <c r="H52" s="44"/>
      <c r="I52" s="67">
        <v>7.4431092469393674</v>
      </c>
      <c r="J52" s="67">
        <v>-0.68553641457163095</v>
      </c>
      <c r="K52" s="67">
        <v>0.19396306778681141</v>
      </c>
      <c r="L52" s="67">
        <v>8.1458002847043449</v>
      </c>
      <c r="M52" s="67">
        <v>-1.5939123628966656</v>
      </c>
      <c r="N52" s="67">
        <v>-0.38966193061604348</v>
      </c>
      <c r="O52" s="44"/>
      <c r="P52" s="44"/>
      <c r="Q52" s="44"/>
      <c r="S52" s="84"/>
      <c r="T52" s="84"/>
      <c r="U52" s="84"/>
    </row>
    <row r="53" spans="1:23" x14ac:dyDescent="0.25">
      <c r="A53" s="32" t="s">
        <v>36</v>
      </c>
      <c r="B53" s="32" t="s">
        <v>40</v>
      </c>
      <c r="C53" s="32" t="s">
        <v>110</v>
      </c>
      <c r="D53" s="65" t="s">
        <v>172</v>
      </c>
      <c r="E53" s="93">
        <v>10</v>
      </c>
      <c r="F53" s="33">
        <v>8.3438626799999991</v>
      </c>
      <c r="G53" s="35">
        <v>2352</v>
      </c>
      <c r="H53" s="22"/>
      <c r="I53" s="36">
        <v>5.7624023536573032</v>
      </c>
      <c r="J53" s="36">
        <v>-1.1985051132855196</v>
      </c>
      <c r="K53" s="36">
        <v>-0.5883650690865827</v>
      </c>
      <c r="L53" s="36">
        <v>6.8123325438586901</v>
      </c>
      <c r="M53" s="36">
        <v>-0.42919102200126291</v>
      </c>
      <c r="N53" s="36">
        <v>3.8610325205667984E-2</v>
      </c>
      <c r="O53" s="23"/>
      <c r="P53" s="36">
        <v>4.3780947094682885</v>
      </c>
      <c r="Q53" s="36">
        <v>4.4613949622298081</v>
      </c>
      <c r="S53" s="83">
        <v>0.18907141117050497</v>
      </c>
      <c r="T53" s="83">
        <v>0.41790557486229907</v>
      </c>
      <c r="U53" s="83" t="s">
        <v>91</v>
      </c>
    </row>
    <row r="54" spans="1:23" x14ac:dyDescent="0.25">
      <c r="A54" s="32" t="s">
        <v>177</v>
      </c>
      <c r="B54" s="32" t="s">
        <v>38</v>
      </c>
      <c r="C54" s="32" t="s">
        <v>68</v>
      </c>
      <c r="D54" s="65" t="s">
        <v>172</v>
      </c>
      <c r="E54" s="93">
        <v>17</v>
      </c>
      <c r="F54" s="33">
        <v>10.1510933248</v>
      </c>
      <c r="G54" s="35">
        <v>1963</v>
      </c>
      <c r="H54" s="22"/>
      <c r="I54" s="36">
        <v>6.699252443933279</v>
      </c>
      <c r="J54" s="36">
        <v>-2.3941344622890881E-2</v>
      </c>
      <c r="K54" s="36">
        <v>0.88842523821721642</v>
      </c>
      <c r="L54" s="36">
        <v>5.5359397978449465</v>
      </c>
      <c r="M54" s="36">
        <v>-0.73321502950410844</v>
      </c>
      <c r="N54" s="36">
        <v>0.30770576342158407</v>
      </c>
      <c r="O54" s="23"/>
      <c r="P54" s="36">
        <v>4.2573723770128673</v>
      </c>
      <c r="Q54" s="36">
        <v>4.6388232852096696</v>
      </c>
      <c r="S54" s="83">
        <v>0.2</v>
      </c>
      <c r="T54" s="83" t="s">
        <v>91</v>
      </c>
      <c r="U54" s="83">
        <v>0.28999999999999998</v>
      </c>
    </row>
    <row r="55" spans="1:23" x14ac:dyDescent="0.25">
      <c r="A55" s="32" t="s">
        <v>88</v>
      </c>
      <c r="B55" s="32" t="s">
        <v>37</v>
      </c>
      <c r="C55" s="32" t="s">
        <v>69</v>
      </c>
      <c r="D55" s="65" t="s">
        <v>172</v>
      </c>
      <c r="E55" s="93">
        <v>15</v>
      </c>
      <c r="F55" s="33">
        <v>39.845487749999997</v>
      </c>
      <c r="G55" s="35">
        <v>5721</v>
      </c>
      <c r="H55" s="22"/>
      <c r="I55" s="36">
        <v>7.9408212560386549</v>
      </c>
      <c r="J55" s="36">
        <v>-0.67153161651762883</v>
      </c>
      <c r="K55" s="36">
        <v>0.21089748060254543</v>
      </c>
      <c r="L55" s="36">
        <v>8.5246362706524756</v>
      </c>
      <c r="M55" s="36">
        <v>-0.88050507841715975</v>
      </c>
      <c r="N55" s="36">
        <v>0.11157160832617752</v>
      </c>
      <c r="O55" s="23"/>
      <c r="P55" s="36">
        <v>4.7029400440582156</v>
      </c>
      <c r="Q55" s="36">
        <v>5.7138883668585185</v>
      </c>
      <c r="S55" s="83">
        <v>0.2</v>
      </c>
      <c r="T55" s="83">
        <v>0.33</v>
      </c>
      <c r="U55" s="83" t="s">
        <v>91</v>
      </c>
    </row>
    <row r="56" spans="1:23" x14ac:dyDescent="0.25">
      <c r="A56" s="32" t="s">
        <v>89</v>
      </c>
      <c r="B56" s="32" t="s">
        <v>39</v>
      </c>
      <c r="C56" s="32" t="s">
        <v>70</v>
      </c>
      <c r="D56" s="65" t="s">
        <v>172</v>
      </c>
      <c r="E56" s="93">
        <v>15</v>
      </c>
      <c r="F56" s="33">
        <v>49.559813220000002</v>
      </c>
      <c r="G56" s="35">
        <v>6825</v>
      </c>
      <c r="H56" s="22"/>
      <c r="I56" s="36">
        <v>8.5625376430435551</v>
      </c>
      <c r="J56" s="36">
        <v>-0.1260492620153153</v>
      </c>
      <c r="K56" s="36">
        <v>0.59592080125727698</v>
      </c>
      <c r="L56" s="36">
        <v>9.7382069911485569</v>
      </c>
      <c r="M56" s="36">
        <v>-3.1465686608452836</v>
      </c>
      <c r="N56" s="36">
        <v>-1.4738742843635522</v>
      </c>
      <c r="O56" s="23"/>
      <c r="P56" s="36">
        <v>5.0269137416582552</v>
      </c>
      <c r="Q56" s="36">
        <v>7.4134518470924586</v>
      </c>
      <c r="S56" s="83">
        <v>0.2</v>
      </c>
      <c r="T56" s="83" t="s">
        <v>91</v>
      </c>
      <c r="U56" s="83">
        <v>0.2271</v>
      </c>
    </row>
    <row r="57" spans="1:23" x14ac:dyDescent="0.25">
      <c r="A57" s="32" t="s">
        <v>116</v>
      </c>
      <c r="B57" s="32" t="s">
        <v>41</v>
      </c>
      <c r="C57" s="32" t="s">
        <v>149</v>
      </c>
      <c r="D57" s="65" t="s">
        <v>172</v>
      </c>
      <c r="E57" s="93">
        <v>10</v>
      </c>
      <c r="F57" s="33">
        <v>22.36433809</v>
      </c>
      <c r="G57" s="35">
        <v>5856</v>
      </c>
      <c r="H57" s="22"/>
      <c r="I57" s="36">
        <v>5.0842203162136945</v>
      </c>
      <c r="J57" s="36">
        <v>-2.0592358991000759</v>
      </c>
      <c r="K57" s="36">
        <v>-0.75029120901588531</v>
      </c>
      <c r="L57" s="36">
        <v>5.6241484357914207</v>
      </c>
      <c r="M57" s="36">
        <v>-0.24945043868819239</v>
      </c>
      <c r="N57" s="36">
        <v>0.64363390750035165</v>
      </c>
      <c r="O57" s="23"/>
      <c r="P57" s="36">
        <v>3.7616719126581288</v>
      </c>
      <c r="Q57" s="36">
        <v>3.281112778421674</v>
      </c>
      <c r="S57" s="83">
        <v>0.2</v>
      </c>
      <c r="T57" s="83">
        <v>0.33</v>
      </c>
      <c r="U57" s="83" t="s">
        <v>91</v>
      </c>
    </row>
    <row r="58" spans="1:23" x14ac:dyDescent="0.25">
      <c r="A58" s="32" t="s">
        <v>131</v>
      </c>
      <c r="B58" s="32" t="s">
        <v>139</v>
      </c>
      <c r="C58" s="32" t="s">
        <v>147</v>
      </c>
      <c r="D58" s="65" t="s">
        <v>173</v>
      </c>
      <c r="E58" s="34">
        <v>0</v>
      </c>
      <c r="F58" s="33">
        <v>0.29916674409999999</v>
      </c>
      <c r="G58" s="35">
        <v>22</v>
      </c>
      <c r="H58" s="22"/>
      <c r="I58" s="36">
        <v>4.1649939783219736</v>
      </c>
      <c r="J58" s="36" t="s">
        <v>148</v>
      </c>
      <c r="K58" s="36" t="s">
        <v>148</v>
      </c>
      <c r="L58" s="36">
        <v>5.0258384841422643</v>
      </c>
      <c r="M58" s="36" t="s">
        <v>148</v>
      </c>
      <c r="N58" s="36" t="s">
        <v>148</v>
      </c>
      <c r="O58" s="23"/>
      <c r="P58" s="36" t="s">
        <v>148</v>
      </c>
      <c r="Q58" s="36" t="s">
        <v>148</v>
      </c>
      <c r="S58" s="89" t="s">
        <v>169</v>
      </c>
      <c r="T58" s="89" t="s">
        <v>170</v>
      </c>
      <c r="U58" s="83" t="s">
        <v>91</v>
      </c>
    </row>
    <row r="59" spans="1:23" x14ac:dyDescent="0.25">
      <c r="D59" s="8"/>
      <c r="E59" s="20"/>
      <c r="F59" s="21"/>
      <c r="G59" s="9"/>
      <c r="H59" s="7"/>
      <c r="I59" s="10"/>
      <c r="J59" s="10"/>
      <c r="K59" s="10"/>
      <c r="L59" s="11"/>
      <c r="M59" s="11"/>
      <c r="N59" s="11"/>
      <c r="O59" s="12"/>
      <c r="P59" s="13"/>
      <c r="Q59" s="14"/>
      <c r="R59" s="1"/>
      <c r="S59" s="14"/>
      <c r="T59" s="14"/>
      <c r="U59" s="14"/>
    </row>
    <row r="60" spans="1:23" s="43" customFormat="1" x14ac:dyDescent="0.25">
      <c r="A60" s="37"/>
      <c r="B60" s="37"/>
      <c r="C60" s="37"/>
      <c r="D60" s="37"/>
      <c r="E60" s="38"/>
      <c r="F60" s="39"/>
      <c r="G60" s="40" t="s">
        <v>109</v>
      </c>
      <c r="H60" s="41"/>
      <c r="I60" s="41">
        <v>14.255111861717742</v>
      </c>
      <c r="J60" s="41">
        <v>6.0762940592946943</v>
      </c>
      <c r="K60" s="41">
        <v>5.8543203196405518</v>
      </c>
      <c r="L60" s="41">
        <v>15.458368894101937</v>
      </c>
      <c r="M60" s="41">
        <v>6.3798474631920552</v>
      </c>
      <c r="N60" s="41">
        <v>6.440068127218149</v>
      </c>
      <c r="O60" s="41"/>
      <c r="P60" s="41"/>
      <c r="Q60" s="41"/>
      <c r="R60" s="42"/>
      <c r="S60" s="41"/>
      <c r="T60" s="41"/>
      <c r="U60" s="41"/>
    </row>
    <row r="61" spans="1:23" x14ac:dyDescent="0.25">
      <c r="A61" s="15"/>
      <c r="B61" s="15"/>
      <c r="C61" s="15"/>
      <c r="D61" s="15"/>
      <c r="E61" s="15"/>
      <c r="F61" s="15"/>
      <c r="G61" s="15"/>
      <c r="H61" s="15"/>
      <c r="I61" s="15"/>
      <c r="J61" s="15"/>
      <c r="K61" s="15"/>
      <c r="L61" s="15"/>
      <c r="M61" s="15"/>
      <c r="N61" s="15"/>
      <c r="O61" s="15"/>
      <c r="P61" s="15"/>
      <c r="Q61" s="15"/>
      <c r="R61" s="1"/>
    </row>
    <row r="62" spans="1:23" s="50" customFormat="1" ht="12.75" x14ac:dyDescent="0.2">
      <c r="A62" s="49" t="s">
        <v>82</v>
      </c>
      <c r="B62" s="49"/>
      <c r="C62" s="49"/>
      <c r="D62" s="49"/>
      <c r="E62" s="49"/>
      <c r="F62" s="49"/>
      <c r="G62" s="49"/>
      <c r="H62" s="49"/>
      <c r="I62" s="49"/>
      <c r="J62" s="49"/>
      <c r="K62" s="49"/>
      <c r="L62" s="49"/>
      <c r="M62" s="49"/>
      <c r="N62" s="49"/>
      <c r="O62" s="49"/>
      <c r="P62" s="49"/>
    </row>
    <row r="63" spans="1:23" s="50" customFormat="1" ht="12.75" x14ac:dyDescent="0.2">
      <c r="A63" s="49" t="s">
        <v>93</v>
      </c>
      <c r="B63" s="49"/>
      <c r="C63" s="49"/>
      <c r="D63" s="49"/>
      <c r="E63" s="49"/>
      <c r="F63" s="71"/>
      <c r="G63" s="71"/>
      <c r="H63" s="49"/>
      <c r="I63" s="49"/>
      <c r="J63" s="49"/>
      <c r="K63" s="49"/>
      <c r="L63" s="49"/>
      <c r="M63" s="49"/>
      <c r="N63" s="49"/>
      <c r="O63" s="49"/>
      <c r="P63" s="49"/>
    </row>
    <row r="64" spans="1:23" s="50" customFormat="1" ht="12.75" x14ac:dyDescent="0.2">
      <c r="A64" s="49" t="s">
        <v>95</v>
      </c>
      <c r="B64" s="49"/>
      <c r="C64" s="49"/>
      <c r="D64" s="49"/>
      <c r="E64" s="49"/>
      <c r="F64" s="49"/>
      <c r="G64" s="49"/>
      <c r="H64" s="49"/>
      <c r="I64" s="49"/>
      <c r="J64" s="49"/>
      <c r="K64" s="49"/>
      <c r="L64" s="49"/>
      <c r="M64" s="49"/>
      <c r="N64" s="49"/>
      <c r="O64" s="49"/>
      <c r="P64" s="49"/>
    </row>
    <row r="65" spans="1:18" s="50" customFormat="1" ht="12.75" x14ac:dyDescent="0.2">
      <c r="A65" s="49" t="s">
        <v>96</v>
      </c>
      <c r="B65" s="49"/>
      <c r="C65" s="49"/>
      <c r="D65" s="49"/>
      <c r="E65" s="49"/>
      <c r="F65" s="49"/>
      <c r="G65" s="49"/>
      <c r="H65" s="49"/>
      <c r="I65" s="49"/>
      <c r="J65" s="49"/>
      <c r="K65" s="49"/>
      <c r="L65" s="49"/>
      <c r="M65" s="49"/>
      <c r="N65" s="49"/>
      <c r="O65" s="49"/>
      <c r="P65" s="49"/>
    </row>
    <row r="66" spans="1:18" s="50" customFormat="1" ht="12.75" x14ac:dyDescent="0.2">
      <c r="A66" s="49" t="s">
        <v>174</v>
      </c>
      <c r="B66" s="51"/>
      <c r="C66" s="51"/>
      <c r="D66" s="51"/>
      <c r="E66" s="51"/>
      <c r="F66" s="51"/>
      <c r="G66" s="51"/>
      <c r="H66" s="51"/>
      <c r="I66" s="51"/>
      <c r="J66" s="51"/>
      <c r="K66" s="51"/>
      <c r="L66" s="51"/>
      <c r="M66" s="51"/>
      <c r="N66" s="51"/>
      <c r="O66" s="51"/>
      <c r="P66" s="51"/>
    </row>
    <row r="67" spans="1:18" s="50" customFormat="1" ht="12.75" x14ac:dyDescent="0.2">
      <c r="A67" s="52" t="s">
        <v>115</v>
      </c>
      <c r="B67" s="51"/>
      <c r="C67" s="51"/>
      <c r="D67" s="51"/>
      <c r="E67" s="51"/>
      <c r="F67" s="51"/>
      <c r="G67" s="51"/>
      <c r="H67" s="51"/>
      <c r="I67" s="51"/>
      <c r="J67" s="51"/>
      <c r="K67" s="51"/>
      <c r="L67" s="51"/>
      <c r="M67" s="51"/>
      <c r="N67" s="51"/>
      <c r="O67" s="51"/>
      <c r="P67" s="51"/>
    </row>
    <row r="68" spans="1:18" s="50" customFormat="1" ht="12.75" x14ac:dyDescent="0.2">
      <c r="A68" s="51" t="s">
        <v>101</v>
      </c>
      <c r="B68" s="51"/>
      <c r="C68" s="51"/>
      <c r="D68" s="51"/>
      <c r="E68" s="51"/>
      <c r="F68" s="51"/>
      <c r="G68" s="51"/>
      <c r="H68" s="51"/>
      <c r="I68" s="51"/>
      <c r="J68" s="51"/>
      <c r="K68" s="51"/>
      <c r="L68" s="51"/>
      <c r="M68" s="51"/>
      <c r="N68" s="51"/>
      <c r="O68" s="51"/>
      <c r="P68" s="51"/>
    </row>
    <row r="69" spans="1:18" s="50" customFormat="1" ht="12.75" x14ac:dyDescent="0.2">
      <c r="A69" s="51" t="s">
        <v>108</v>
      </c>
      <c r="B69" s="51"/>
      <c r="C69" s="51"/>
      <c r="D69" s="51"/>
      <c r="E69" s="51"/>
      <c r="F69" s="51"/>
      <c r="G69" s="51"/>
      <c r="H69" s="51"/>
      <c r="I69" s="51"/>
      <c r="J69" s="51"/>
      <c r="K69" s="51"/>
      <c r="L69" s="51"/>
      <c r="M69" s="51"/>
      <c r="N69" s="51"/>
      <c r="O69" s="51"/>
      <c r="P69" s="51"/>
    </row>
    <row r="70" spans="1:18" x14ac:dyDescent="0.25">
      <c r="A70" s="49" t="s">
        <v>153</v>
      </c>
      <c r="D70" s="7"/>
      <c r="E70" s="7"/>
      <c r="F70" s="7"/>
      <c r="G70" s="7"/>
      <c r="H70" s="7"/>
      <c r="I70" s="7"/>
      <c r="J70" s="7"/>
      <c r="K70" s="7"/>
      <c r="L70" s="7"/>
      <c r="M70" s="7"/>
      <c r="N70" s="7"/>
      <c r="O70" s="7"/>
      <c r="P70" s="7"/>
    </row>
    <row r="71" spans="1:18" x14ac:dyDescent="0.25">
      <c r="A71" s="49" t="s">
        <v>154</v>
      </c>
    </row>
    <row r="72" spans="1:18" x14ac:dyDescent="0.25">
      <c r="A72" s="49" t="s">
        <v>157</v>
      </c>
    </row>
    <row r="73" spans="1:18" x14ac:dyDescent="0.25">
      <c r="A73" s="49" t="s">
        <v>156</v>
      </c>
      <c r="E73" s="64"/>
      <c r="F73" s="64"/>
      <c r="G73" s="64"/>
    </row>
    <row r="74" spans="1:18" x14ac:dyDescent="0.25">
      <c r="A74" s="91" t="s">
        <v>171</v>
      </c>
      <c r="E74" s="64"/>
      <c r="F74" s="64"/>
      <c r="G74" s="64"/>
      <c r="I74" s="59"/>
      <c r="J74" s="59"/>
      <c r="K74" s="59"/>
      <c r="L74" s="59"/>
      <c r="M74" s="59"/>
      <c r="N74" s="59"/>
      <c r="O74" s="59"/>
      <c r="P74" s="59"/>
      <c r="Q74" s="59"/>
      <c r="R74" s="59"/>
    </row>
    <row r="75" spans="1:18" s="54" customFormat="1" ht="12.75" x14ac:dyDescent="0.2">
      <c r="A75" s="94" t="s">
        <v>179</v>
      </c>
      <c r="E75" s="95"/>
      <c r="F75" s="96"/>
      <c r="G75" s="97"/>
      <c r="I75" s="98"/>
      <c r="J75" s="98"/>
      <c r="K75" s="98"/>
      <c r="L75" s="99"/>
      <c r="M75" s="99"/>
      <c r="N75" s="99"/>
      <c r="O75" s="100"/>
      <c r="P75" s="100"/>
      <c r="Q75" s="100"/>
      <c r="R75" s="100"/>
    </row>
    <row r="76" spans="1:18" x14ac:dyDescent="0.25">
      <c r="A76" s="85"/>
      <c r="E76" s="48"/>
      <c r="F76" s="48"/>
      <c r="G76" s="48"/>
      <c r="J76" s="48"/>
      <c r="K76" s="48"/>
      <c r="L76" s="80"/>
      <c r="M76" s="80"/>
      <c r="N76" s="80"/>
    </row>
    <row r="77" spans="1:18" x14ac:dyDescent="0.25">
      <c r="A77" s="85"/>
      <c r="E77" s="5"/>
      <c r="F77" s="64"/>
      <c r="G77" s="60"/>
      <c r="I77" s="77"/>
      <c r="J77" s="77"/>
      <c r="K77" s="77"/>
      <c r="L77" s="82"/>
      <c r="M77" s="80"/>
      <c r="N77" s="80"/>
      <c r="P77" s="76"/>
      <c r="Q77" s="76"/>
    </row>
    <row r="78" spans="1:18" x14ac:dyDescent="0.25">
      <c r="A78" s="85"/>
      <c r="E78" s="48"/>
      <c r="F78" s="48"/>
      <c r="G78" s="48"/>
      <c r="I78" s="77"/>
      <c r="J78" s="77"/>
      <c r="K78" s="77"/>
      <c r="L78" s="77"/>
      <c r="M78" s="77"/>
      <c r="N78" s="77"/>
      <c r="P78" s="77"/>
      <c r="Q78" s="77"/>
    </row>
    <row r="79" spans="1:18" x14ac:dyDescent="0.25">
      <c r="A79" s="85"/>
      <c r="E79" s="5"/>
      <c r="F79" s="64"/>
      <c r="G79" s="60"/>
      <c r="I79" s="78"/>
      <c r="J79" s="79"/>
      <c r="K79" s="79"/>
      <c r="L79" s="75"/>
      <c r="M79" s="77"/>
      <c r="N79" s="77"/>
      <c r="P79" s="77"/>
      <c r="Q79" s="77"/>
    </row>
    <row r="80" spans="1:18" x14ac:dyDescent="0.25">
      <c r="A80" s="85"/>
      <c r="E80" s="81"/>
      <c r="F80" s="81"/>
      <c r="G80" s="81"/>
      <c r="I80" s="48"/>
      <c r="J80" s="58"/>
      <c r="K80" s="58"/>
      <c r="L80" s="61"/>
    </row>
    <row r="81" spans="1:11" x14ac:dyDescent="0.25">
      <c r="A81" s="85"/>
      <c r="D81" s="74"/>
      <c r="E81" s="81"/>
      <c r="F81" s="81"/>
      <c r="G81" s="81"/>
    </row>
    <row r="82" spans="1:11" x14ac:dyDescent="0.25">
      <c r="A82" s="85"/>
      <c r="D82" s="74"/>
      <c r="E82" s="6"/>
      <c r="G82" s="58"/>
      <c r="H82" s="58"/>
      <c r="I82" s="58"/>
    </row>
    <row r="83" spans="1:11" x14ac:dyDescent="0.25">
      <c r="G83" s="61"/>
      <c r="H83" s="73"/>
      <c r="I83" s="61"/>
      <c r="J83" s="73"/>
      <c r="K83" s="73"/>
    </row>
    <row r="85" spans="1:11" x14ac:dyDescent="0.25">
      <c r="F85" s="70"/>
    </row>
  </sheetData>
  <mergeCells count="14">
    <mergeCell ref="S1:U1"/>
    <mergeCell ref="D1:D2"/>
    <mergeCell ref="F1:F2"/>
    <mergeCell ref="G1:G2"/>
    <mergeCell ref="P1:Q1"/>
    <mergeCell ref="I1:M1"/>
    <mergeCell ref="A38:C38"/>
    <mergeCell ref="A45:C45"/>
    <mergeCell ref="A52:C52"/>
    <mergeCell ref="A3:C3"/>
    <mergeCell ref="A10:C10"/>
    <mergeCell ref="A17:C17"/>
    <mergeCell ref="A24:C24"/>
    <mergeCell ref="A31:C31"/>
  </mergeCells>
  <phoneticPr fontId="34" type="noConversion"/>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1"/>
  <sheetViews>
    <sheetView showGridLines="0" zoomScale="60" zoomScaleNormal="60" workbookViewId="0"/>
  </sheetViews>
  <sheetFormatPr defaultColWidth="8.85546875" defaultRowHeight="15.75" x14ac:dyDescent="0.25"/>
  <cols>
    <col min="1" max="1" width="44.5703125" style="16" customWidth="1"/>
    <col min="2" max="2" width="14.85546875" style="16" bestFit="1" customWidth="1"/>
    <col min="3" max="3" width="67.5703125" style="16" customWidth="1"/>
    <col min="4" max="4" width="15.5703125" style="16" customWidth="1"/>
    <col min="5" max="5" width="16.140625" style="16" bestFit="1" customWidth="1"/>
    <col min="6" max="6" width="17" style="16" customWidth="1"/>
    <col min="7" max="7" width="17.85546875" style="16" customWidth="1"/>
    <col min="8" max="8" width="1.42578125" style="16" customWidth="1"/>
    <col min="9" max="9" width="16.5703125" style="16" customWidth="1"/>
    <col min="10" max="12" width="17.42578125" style="16" customWidth="1"/>
    <col min="13" max="14" width="16.5703125" style="16" customWidth="1"/>
    <col min="15" max="15" width="1.42578125" style="16" customWidth="1"/>
    <col min="16" max="16" width="15.85546875" style="16" customWidth="1"/>
    <col min="17" max="17" width="18.140625" style="16" customWidth="1"/>
    <col min="18" max="18" width="1.42578125" style="16" customWidth="1"/>
    <col min="19" max="19" width="15.42578125" style="16" customWidth="1"/>
    <col min="20" max="20" width="14.42578125" style="16" customWidth="1"/>
    <col min="21" max="21" width="17.42578125"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92.45" customHeight="1" x14ac:dyDescent="0.25">
      <c r="A2" s="24" t="s">
        <v>42</v>
      </c>
      <c r="B2" s="24" t="s">
        <v>43</v>
      </c>
      <c r="C2" s="24" t="s">
        <v>44</v>
      </c>
      <c r="D2" s="106">
        <v>0</v>
      </c>
      <c r="E2" s="24" t="s">
        <v>99</v>
      </c>
      <c r="F2" s="106">
        <v>0</v>
      </c>
      <c r="G2" s="106">
        <v>0</v>
      </c>
      <c r="H2" s="28"/>
      <c r="I2" s="62"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45</v>
      </c>
      <c r="B3" s="101"/>
      <c r="C3" s="101"/>
      <c r="D3" s="44"/>
      <c r="E3" s="44"/>
      <c r="F3" s="45"/>
      <c r="G3" s="69" t="s">
        <v>98</v>
      </c>
      <c r="H3" s="45"/>
      <c r="I3" s="66">
        <v>16.312709942833752</v>
      </c>
      <c r="J3" s="66">
        <v>7.5518913673733437</v>
      </c>
      <c r="K3" s="66">
        <v>6.9302227497739617</v>
      </c>
      <c r="L3" s="66">
        <v>17.088003737580312</v>
      </c>
      <c r="M3" s="66">
        <v>8.3117097108016971</v>
      </c>
      <c r="N3" s="66">
        <v>7.763576732960062</v>
      </c>
      <c r="O3" s="45"/>
      <c r="P3" s="45"/>
      <c r="Q3" s="45"/>
      <c r="R3" s="45"/>
      <c r="S3" s="45"/>
      <c r="T3" s="45"/>
      <c r="U3" s="45"/>
    </row>
    <row r="4" spans="1:23" customFormat="1" ht="15" x14ac:dyDescent="0.25">
      <c r="A4" s="32" t="s">
        <v>36</v>
      </c>
      <c r="B4" s="32" t="s">
        <v>4</v>
      </c>
      <c r="C4" s="32" t="s">
        <v>46</v>
      </c>
      <c r="D4" s="65" t="s">
        <v>172</v>
      </c>
      <c r="E4" s="34">
        <v>90</v>
      </c>
      <c r="F4" s="33">
        <v>14.82678086</v>
      </c>
      <c r="G4" s="35">
        <v>14941</v>
      </c>
      <c r="H4" s="22"/>
      <c r="I4" s="36">
        <v>15.00260591169682</v>
      </c>
      <c r="J4" s="36">
        <v>4.485276774670055</v>
      </c>
      <c r="K4" s="36">
        <v>5.8245882994651277</v>
      </c>
      <c r="L4" s="36">
        <v>15.903923911669304</v>
      </c>
      <c r="M4" s="36">
        <v>6.7179293445371213</v>
      </c>
      <c r="N4" s="36">
        <v>6.8383165297380755</v>
      </c>
      <c r="O4" s="23"/>
      <c r="P4" s="36">
        <v>11.05152369950669</v>
      </c>
      <c r="Q4" s="36">
        <v>12.070627257056525</v>
      </c>
      <c r="R4" s="23"/>
      <c r="S4" s="36">
        <v>0.48692138391986478</v>
      </c>
      <c r="T4" s="36">
        <v>0.95</v>
      </c>
      <c r="U4" s="36" t="s">
        <v>91</v>
      </c>
      <c r="V4" s="58"/>
      <c r="W4" s="58"/>
    </row>
    <row r="5" spans="1:23" customFormat="1" ht="15" x14ac:dyDescent="0.25">
      <c r="A5" s="32" t="s">
        <v>178</v>
      </c>
      <c r="B5" s="32" t="s">
        <v>2</v>
      </c>
      <c r="C5" s="32" t="s">
        <v>124</v>
      </c>
      <c r="D5" s="65" t="s">
        <v>172</v>
      </c>
      <c r="E5" s="34">
        <v>97</v>
      </c>
      <c r="F5" s="33">
        <v>34.5551224847</v>
      </c>
      <c r="G5" s="35">
        <v>20552</v>
      </c>
      <c r="H5" s="22"/>
      <c r="I5" s="36">
        <v>13.777307963354479</v>
      </c>
      <c r="J5" s="36">
        <v>7.9058459660352298</v>
      </c>
      <c r="K5" s="36">
        <v>7.1590073915315022</v>
      </c>
      <c r="L5" s="36">
        <v>15.613931340571119</v>
      </c>
      <c r="M5" s="36">
        <v>7.9499147424427763</v>
      </c>
      <c r="N5" s="36">
        <v>7.7046810675450716</v>
      </c>
      <c r="O5" s="23"/>
      <c r="P5" s="36">
        <v>11.08421248816504</v>
      </c>
      <c r="Q5" s="36">
        <v>13.141219129139744</v>
      </c>
      <c r="R5" s="23"/>
      <c r="S5" s="36">
        <v>0.5</v>
      </c>
      <c r="T5" s="36" t="s">
        <v>91</v>
      </c>
      <c r="U5" s="36">
        <v>1.07</v>
      </c>
      <c r="V5" s="58"/>
      <c r="W5" s="58"/>
    </row>
    <row r="6" spans="1:23" customFormat="1" ht="15" x14ac:dyDescent="0.25">
      <c r="A6" s="32" t="s">
        <v>88</v>
      </c>
      <c r="B6" s="32" t="s">
        <v>1</v>
      </c>
      <c r="C6" s="68" t="s">
        <v>47</v>
      </c>
      <c r="D6" s="65" t="s">
        <v>172</v>
      </c>
      <c r="E6" s="34">
        <v>98</v>
      </c>
      <c r="F6" s="33">
        <v>42.233967079999999</v>
      </c>
      <c r="G6" s="35">
        <v>21764</v>
      </c>
      <c r="H6" s="22"/>
      <c r="I6" s="36">
        <v>16.004011748692616</v>
      </c>
      <c r="J6" s="36">
        <v>7.0386443443053892</v>
      </c>
      <c r="K6" s="36">
        <v>6.6745709918252683</v>
      </c>
      <c r="L6" s="36">
        <v>19.72818393580522</v>
      </c>
      <c r="M6" s="36">
        <v>9.2611238091146788</v>
      </c>
      <c r="N6" s="36">
        <v>8.6772335036707773</v>
      </c>
      <c r="O6" s="23"/>
      <c r="P6" s="36">
        <v>12.188292441842201</v>
      </c>
      <c r="Q6" s="36">
        <v>13.730694440497917</v>
      </c>
      <c r="R6" s="23"/>
      <c r="S6" s="36">
        <v>0.5</v>
      </c>
      <c r="T6" s="36">
        <v>0.86</v>
      </c>
      <c r="U6" s="36" t="s">
        <v>91</v>
      </c>
      <c r="V6" s="58"/>
      <c r="W6" s="58"/>
    </row>
    <row r="7" spans="1:23" customFormat="1" ht="15" x14ac:dyDescent="0.25">
      <c r="A7" s="32" t="s">
        <v>89</v>
      </c>
      <c r="B7" s="32" t="s">
        <v>3</v>
      </c>
      <c r="C7" s="32" t="s">
        <v>102</v>
      </c>
      <c r="D7" s="65" t="s">
        <v>172</v>
      </c>
      <c r="E7" s="34">
        <v>97</v>
      </c>
      <c r="F7" s="33">
        <v>98.98972298999999</v>
      </c>
      <c r="G7" s="35">
        <v>49262</v>
      </c>
      <c r="H7" s="22"/>
      <c r="I7" s="36">
        <v>17.535299770828729</v>
      </c>
      <c r="J7" s="36">
        <v>8.3535379264059184</v>
      </c>
      <c r="K7" s="36">
        <v>7.1799901071412986</v>
      </c>
      <c r="L7" s="36">
        <v>17.203621581670369</v>
      </c>
      <c r="M7" s="36">
        <v>8.2984423619793635</v>
      </c>
      <c r="N7" s="36">
        <v>7.7388246099246993</v>
      </c>
      <c r="O7" s="23"/>
      <c r="P7" s="36">
        <v>13.235074869839741</v>
      </c>
      <c r="Q7" s="36">
        <v>13.548018823716406</v>
      </c>
      <c r="R7" s="23"/>
      <c r="S7" s="36">
        <v>0.5</v>
      </c>
      <c r="T7" s="36" t="s">
        <v>91</v>
      </c>
      <c r="U7" s="36">
        <v>0.81589999999999996</v>
      </c>
      <c r="V7" s="58"/>
      <c r="W7" s="58"/>
    </row>
    <row r="8" spans="1:23" customFormat="1" ht="15" x14ac:dyDescent="0.25">
      <c r="A8" s="32" t="s">
        <v>116</v>
      </c>
      <c r="B8" s="32" t="s">
        <v>5</v>
      </c>
      <c r="C8" s="32" t="s">
        <v>117</v>
      </c>
      <c r="D8" s="65" t="s">
        <v>172</v>
      </c>
      <c r="E8" s="34">
        <v>90</v>
      </c>
      <c r="F8" s="33">
        <v>34.00251051</v>
      </c>
      <c r="G8" s="35">
        <v>20530</v>
      </c>
      <c r="H8" s="22"/>
      <c r="I8" s="36">
        <v>15.988654176308149</v>
      </c>
      <c r="J8" s="36">
        <v>6.8330845929774453</v>
      </c>
      <c r="K8" s="36">
        <v>6.7702376451581614</v>
      </c>
      <c r="L8" s="36">
        <v>15.486433242049969</v>
      </c>
      <c r="M8" s="36">
        <v>8.2337245599006348</v>
      </c>
      <c r="N8" s="36">
        <v>7.1641102034503801</v>
      </c>
      <c r="O8" s="23"/>
      <c r="P8" s="36">
        <v>11.912929539227394</v>
      </c>
      <c r="Q8" s="36">
        <v>13.612412129093137</v>
      </c>
      <c r="R8" s="23"/>
      <c r="S8" s="36">
        <v>0.5</v>
      </c>
      <c r="T8" s="36">
        <v>1.1000000000000001</v>
      </c>
      <c r="U8" s="36" t="s">
        <v>91</v>
      </c>
      <c r="V8" s="58"/>
      <c r="W8" s="58"/>
    </row>
    <row r="9" spans="1:23" customFormat="1" ht="15" x14ac:dyDescent="0.25">
      <c r="A9" s="32" t="s">
        <v>155</v>
      </c>
      <c r="B9" s="32" t="s">
        <v>132</v>
      </c>
      <c r="C9" s="32" t="s">
        <v>146</v>
      </c>
      <c r="D9" s="65" t="s">
        <v>173</v>
      </c>
      <c r="E9" s="34">
        <v>100</v>
      </c>
      <c r="F9" s="33">
        <v>6.2020907866000003</v>
      </c>
      <c r="G9" s="35">
        <v>4513</v>
      </c>
      <c r="H9" s="22"/>
      <c r="I9" s="36">
        <v>17.936062815479524</v>
      </c>
      <c r="J9" s="36" t="s">
        <v>148</v>
      </c>
      <c r="K9" s="36" t="s">
        <v>148</v>
      </c>
      <c r="L9" s="36">
        <v>17.898832684824907</v>
      </c>
      <c r="M9" s="36" t="s">
        <v>148</v>
      </c>
      <c r="N9" s="36" t="s">
        <v>148</v>
      </c>
      <c r="O9" s="23"/>
      <c r="P9" s="36" t="s">
        <v>148</v>
      </c>
      <c r="Q9" s="36" t="s">
        <v>148</v>
      </c>
      <c r="R9" s="23"/>
      <c r="S9" s="36" t="s">
        <v>163</v>
      </c>
      <c r="T9" s="36" t="s">
        <v>164</v>
      </c>
      <c r="U9" s="36" t="s">
        <v>91</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94"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4</v>
      </c>
      <c r="B37" s="33">
        <v>11.05152369950669</v>
      </c>
      <c r="C37" s="33">
        <v>4.485276774670055</v>
      </c>
    </row>
    <row r="38" spans="1:3" x14ac:dyDescent="0.25">
      <c r="A38" s="32" t="s">
        <v>2</v>
      </c>
      <c r="B38" s="33">
        <v>11.08421248816504</v>
      </c>
      <c r="C38" s="33">
        <v>7.9058459660352298</v>
      </c>
    </row>
    <row r="39" spans="1:3" x14ac:dyDescent="0.25">
      <c r="A39" s="32" t="s">
        <v>1</v>
      </c>
      <c r="B39" s="33">
        <v>12.188292441842201</v>
      </c>
      <c r="C39" s="33">
        <v>7.0386443443053892</v>
      </c>
    </row>
    <row r="40" spans="1:3" x14ac:dyDescent="0.25">
      <c r="A40" s="32" t="s">
        <v>3</v>
      </c>
      <c r="B40" s="33">
        <v>13.235074869839741</v>
      </c>
      <c r="C40" s="33">
        <v>8.3535379264059184</v>
      </c>
    </row>
    <row r="41" spans="1:3" x14ac:dyDescent="0.25">
      <c r="A41" s="32" t="s">
        <v>5</v>
      </c>
      <c r="B41" s="33">
        <v>11.912929539227394</v>
      </c>
      <c r="C41" s="33">
        <v>6.8330845929774453</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4</v>
      </c>
      <c r="B67" s="33">
        <v>14.941000000000001</v>
      </c>
      <c r="C67" s="33">
        <v>4.485276774670055</v>
      </c>
      <c r="D67" s="33">
        <v>14.82678086</v>
      </c>
    </row>
    <row r="68" spans="1:4" x14ac:dyDescent="0.25">
      <c r="A68" s="32" t="s">
        <v>2</v>
      </c>
      <c r="B68" s="33">
        <v>20.552</v>
      </c>
      <c r="C68" s="33">
        <v>7.9058459660352298</v>
      </c>
      <c r="D68" s="33">
        <v>34.5551224847</v>
      </c>
    </row>
    <row r="69" spans="1:4" x14ac:dyDescent="0.25">
      <c r="A69" s="32" t="s">
        <v>1</v>
      </c>
      <c r="B69" s="33">
        <v>21.763999999999999</v>
      </c>
      <c r="C69" s="33">
        <v>7.0386443443053892</v>
      </c>
      <c r="D69" s="33">
        <v>42.233967079999999</v>
      </c>
    </row>
    <row r="70" spans="1:4" x14ac:dyDescent="0.25">
      <c r="A70" s="32" t="s">
        <v>3</v>
      </c>
      <c r="B70" s="33">
        <v>49.262</v>
      </c>
      <c r="C70" s="33">
        <v>8.3535379264059184</v>
      </c>
      <c r="D70" s="33">
        <v>98.98972298999999</v>
      </c>
    </row>
    <row r="71" spans="1:4" x14ac:dyDescent="0.25">
      <c r="A71" s="32" t="s">
        <v>5</v>
      </c>
      <c r="B71" s="33">
        <v>20.53</v>
      </c>
      <c r="C71" s="33">
        <v>6.8330845929774453</v>
      </c>
      <c r="D71" s="33">
        <v>34.00251051</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1"/>
  <sheetViews>
    <sheetView showGridLines="0" zoomScale="70" zoomScaleNormal="70" workbookViewId="0"/>
  </sheetViews>
  <sheetFormatPr defaultColWidth="8.85546875" defaultRowHeight="15.75" x14ac:dyDescent="0.25"/>
  <cols>
    <col min="1" max="1" width="45.5703125" style="16" customWidth="1"/>
    <col min="2" max="2" width="14.85546875" style="16" bestFit="1" customWidth="1"/>
    <col min="3" max="3" width="78.140625" style="16" customWidth="1"/>
    <col min="4" max="4" width="13.140625" style="16" customWidth="1"/>
    <col min="5" max="5" width="16.140625" style="16" bestFit="1" customWidth="1"/>
    <col min="6" max="6" width="19.42578125" style="16" customWidth="1"/>
    <col min="7" max="7" width="13.5703125" style="16" customWidth="1"/>
    <col min="8" max="8" width="1.5703125" style="16" customWidth="1"/>
    <col min="9" max="9" width="16.85546875" style="16" customWidth="1"/>
    <col min="10" max="11" width="15.5703125" style="16" customWidth="1"/>
    <col min="12" max="12" width="13.5703125" style="16" customWidth="1"/>
    <col min="13" max="14" width="15.5703125" style="16" customWidth="1"/>
    <col min="15" max="15" width="1.5703125" style="16" customWidth="1"/>
    <col min="16" max="16" width="19.42578125" style="16" customWidth="1"/>
    <col min="17" max="17" width="15.5703125" style="16" customWidth="1"/>
    <col min="18" max="18" width="1.5703125" style="16" customWidth="1"/>
    <col min="19" max="19" width="9.140625" style="16" customWidth="1"/>
    <col min="20" max="20" width="12.5703125" style="16" customWidth="1"/>
    <col min="21" max="21" width="13"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99.95" customHeight="1"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48</v>
      </c>
      <c r="B3" s="101">
        <v>0</v>
      </c>
      <c r="C3" s="101">
        <v>0</v>
      </c>
      <c r="D3" s="44"/>
      <c r="E3" s="44"/>
      <c r="F3" s="45"/>
      <c r="G3" s="69" t="s">
        <v>98</v>
      </c>
      <c r="H3" s="45"/>
      <c r="I3" s="66">
        <v>16.091196029928668</v>
      </c>
      <c r="J3" s="66">
        <v>7.7349995432487271</v>
      </c>
      <c r="K3" s="66">
        <v>7.1573660255950511</v>
      </c>
      <c r="L3" s="66">
        <v>17.153079730217353</v>
      </c>
      <c r="M3" s="66">
        <v>8.3251008475993213</v>
      </c>
      <c r="N3" s="66">
        <v>7.7937999050952085</v>
      </c>
      <c r="O3" s="45"/>
      <c r="P3" s="45"/>
      <c r="Q3" s="45"/>
      <c r="R3" s="45"/>
      <c r="S3" s="45"/>
      <c r="T3" s="45"/>
      <c r="U3" s="45"/>
    </row>
    <row r="4" spans="1:23" customFormat="1" ht="15" x14ac:dyDescent="0.25">
      <c r="A4" s="32" t="s">
        <v>36</v>
      </c>
      <c r="B4" s="32" t="s">
        <v>9</v>
      </c>
      <c r="C4" s="32" t="s">
        <v>49</v>
      </c>
      <c r="D4" s="65" t="s">
        <v>172</v>
      </c>
      <c r="E4" s="34">
        <v>90</v>
      </c>
      <c r="F4" s="33">
        <v>52.694060499999999</v>
      </c>
      <c r="G4" s="35">
        <v>19079</v>
      </c>
      <c r="H4" s="22"/>
      <c r="I4" s="36">
        <v>14.754220827730457</v>
      </c>
      <c r="J4" s="36">
        <v>4.465843522420232</v>
      </c>
      <c r="K4" s="36">
        <v>5.6422614443619512</v>
      </c>
      <c r="L4" s="36">
        <v>15.903923911669304</v>
      </c>
      <c r="M4" s="36">
        <v>6.7179293445371213</v>
      </c>
      <c r="N4" s="36">
        <v>6.8383165297380755</v>
      </c>
      <c r="O4" s="22"/>
      <c r="P4" s="36">
        <v>10.963732676801063</v>
      </c>
      <c r="Q4" s="36">
        <v>12.070621755791825</v>
      </c>
      <c r="R4" s="23"/>
      <c r="S4" s="36">
        <v>0.48750781709370228</v>
      </c>
      <c r="T4" s="36">
        <v>1.0089419078961275</v>
      </c>
      <c r="U4" s="36" t="s">
        <v>91</v>
      </c>
      <c r="V4" s="58"/>
      <c r="W4" s="58"/>
    </row>
    <row r="5" spans="1:23" customFormat="1" ht="15" x14ac:dyDescent="0.25">
      <c r="A5" s="32" t="s">
        <v>178</v>
      </c>
      <c r="B5" s="32" t="s">
        <v>7</v>
      </c>
      <c r="C5" s="32" t="s">
        <v>125</v>
      </c>
      <c r="D5" s="65" t="s">
        <v>172</v>
      </c>
      <c r="E5" s="34">
        <v>97</v>
      </c>
      <c r="F5" s="33">
        <v>133.17819608529999</v>
      </c>
      <c r="G5" s="35">
        <v>37410</v>
      </c>
      <c r="H5" s="22"/>
      <c r="I5" s="36">
        <v>13.382301504022397</v>
      </c>
      <c r="J5" s="36">
        <v>8.0852852868769087</v>
      </c>
      <c r="K5" s="36">
        <v>7.2458782272472266</v>
      </c>
      <c r="L5" s="36">
        <v>15.613931340571119</v>
      </c>
      <c r="M5" s="36">
        <v>7.9499147424427763</v>
      </c>
      <c r="N5" s="36">
        <v>7.7046810675450716</v>
      </c>
      <c r="O5" s="22"/>
      <c r="P5" s="36">
        <v>10.837301099553866</v>
      </c>
      <c r="Q5" s="36">
        <v>13.141219129139744</v>
      </c>
      <c r="R5" s="23"/>
      <c r="S5" s="36">
        <v>0.5</v>
      </c>
      <c r="T5" s="36" t="s">
        <v>91</v>
      </c>
      <c r="U5" s="36">
        <v>1.19</v>
      </c>
      <c r="V5" s="58"/>
      <c r="W5" s="58"/>
    </row>
    <row r="6" spans="1:23" customFormat="1" ht="15" x14ac:dyDescent="0.25">
      <c r="A6" s="32" t="s">
        <v>88</v>
      </c>
      <c r="B6" s="32" t="s">
        <v>6</v>
      </c>
      <c r="C6" s="32" t="s">
        <v>50</v>
      </c>
      <c r="D6" s="65" t="s">
        <v>172</v>
      </c>
      <c r="E6" s="34">
        <v>98</v>
      </c>
      <c r="F6" s="33">
        <v>163.46362188999998</v>
      </c>
      <c r="G6" s="35">
        <v>46078</v>
      </c>
      <c r="H6" s="22"/>
      <c r="I6" s="36">
        <v>15.615357014711151</v>
      </c>
      <c r="J6" s="36">
        <v>6.9739098843869751</v>
      </c>
      <c r="K6" s="36">
        <v>6.7167875003439015</v>
      </c>
      <c r="L6" s="36">
        <v>19.72818393580522</v>
      </c>
      <c r="M6" s="36">
        <v>9.2611238091146788</v>
      </c>
      <c r="N6" s="36">
        <v>8.6772335036707773</v>
      </c>
      <c r="O6" s="22"/>
      <c r="P6" s="36">
        <v>12.176411879128967</v>
      </c>
      <c r="Q6" s="36">
        <v>13.730694440497917</v>
      </c>
      <c r="R6" s="23"/>
      <c r="S6" s="36">
        <v>0.5</v>
      </c>
      <c r="T6" s="36">
        <v>0.86</v>
      </c>
      <c r="U6" s="36">
        <v>0</v>
      </c>
      <c r="V6" s="58"/>
      <c r="W6" s="58"/>
    </row>
    <row r="7" spans="1:23" customFormat="1" ht="15" x14ac:dyDescent="0.25">
      <c r="A7" s="32" t="s">
        <v>89</v>
      </c>
      <c r="B7" s="32" t="s">
        <v>8</v>
      </c>
      <c r="C7" s="32" t="s">
        <v>103</v>
      </c>
      <c r="D7" s="65" t="s">
        <v>172</v>
      </c>
      <c r="E7" s="34">
        <v>97</v>
      </c>
      <c r="F7" s="33">
        <v>343.85591443999999</v>
      </c>
      <c r="G7" s="35">
        <v>95626</v>
      </c>
      <c r="H7" s="22"/>
      <c r="I7" s="36">
        <v>17.233345467783057</v>
      </c>
      <c r="J7" s="36">
        <v>8.6218757512810171</v>
      </c>
      <c r="K7" s="36">
        <v>7.5942374138785018</v>
      </c>
      <c r="L7" s="36">
        <v>17.203621581670369</v>
      </c>
      <c r="M7" s="36">
        <v>8.2984423619793635</v>
      </c>
      <c r="N7" s="36">
        <v>7.7388246099246993</v>
      </c>
      <c r="O7" s="22"/>
      <c r="P7" s="36">
        <v>12.942046682411828</v>
      </c>
      <c r="Q7" s="36">
        <v>13.548018823716406</v>
      </c>
      <c r="R7" s="23"/>
      <c r="S7" s="36">
        <v>0.5</v>
      </c>
      <c r="T7" s="36" t="s">
        <v>91</v>
      </c>
      <c r="U7" s="36">
        <v>0.83699999999999997</v>
      </c>
      <c r="V7" s="58"/>
      <c r="W7" s="58"/>
    </row>
    <row r="8" spans="1:23" customFormat="1" ht="15" x14ac:dyDescent="0.25">
      <c r="A8" s="32" t="s">
        <v>116</v>
      </c>
      <c r="B8" s="32" t="s">
        <v>10</v>
      </c>
      <c r="C8" s="32" t="s">
        <v>118</v>
      </c>
      <c r="D8" s="65" t="s">
        <v>172</v>
      </c>
      <c r="E8" s="34">
        <v>90</v>
      </c>
      <c r="F8" s="33">
        <v>100.50774270999999</v>
      </c>
      <c r="G8" s="35">
        <v>33985</v>
      </c>
      <c r="H8" s="22"/>
      <c r="I8" s="36">
        <v>17.104865518283454</v>
      </c>
      <c r="J8" s="36">
        <v>7.1884498535270236</v>
      </c>
      <c r="K8" s="36">
        <v>7.0563476179295259</v>
      </c>
      <c r="L8" s="36">
        <v>15.486433242049969</v>
      </c>
      <c r="M8" s="36">
        <v>8.2337245599006348</v>
      </c>
      <c r="N8" s="36">
        <v>7.1641102034503801</v>
      </c>
      <c r="O8" s="22"/>
      <c r="P8" s="36">
        <v>11.796515289766731</v>
      </c>
      <c r="Q8" s="36">
        <v>13.612412129093137</v>
      </c>
      <c r="R8" s="23"/>
      <c r="S8" s="36">
        <v>0.5</v>
      </c>
      <c r="T8" s="36">
        <v>0.96</v>
      </c>
      <c r="U8" s="36" t="s">
        <v>91</v>
      </c>
      <c r="V8" s="58"/>
      <c r="W8" s="58"/>
    </row>
    <row r="9" spans="1:23" customFormat="1" ht="25.5" x14ac:dyDescent="0.25">
      <c r="A9" s="32" t="s">
        <v>131</v>
      </c>
      <c r="B9" s="32" t="s">
        <v>133</v>
      </c>
      <c r="C9" s="32" t="s">
        <v>145</v>
      </c>
      <c r="D9" s="65" t="s">
        <v>173</v>
      </c>
      <c r="E9" s="34">
        <v>100</v>
      </c>
      <c r="F9" s="33">
        <v>7.8118481134</v>
      </c>
      <c r="G9" s="35">
        <v>3308</v>
      </c>
      <c r="H9" s="22"/>
      <c r="I9" s="36">
        <v>17.932275846551924</v>
      </c>
      <c r="J9" s="36" t="s">
        <v>148</v>
      </c>
      <c r="K9" s="36" t="s">
        <v>148</v>
      </c>
      <c r="L9" s="36">
        <v>17.898832684824907</v>
      </c>
      <c r="M9" s="36" t="s">
        <v>148</v>
      </c>
      <c r="N9" s="36" t="s">
        <v>148</v>
      </c>
      <c r="O9" s="22"/>
      <c r="P9" s="36" t="s">
        <v>148</v>
      </c>
      <c r="Q9" s="36" t="s">
        <v>148</v>
      </c>
      <c r="R9" s="23"/>
      <c r="S9" s="36" t="s">
        <v>163</v>
      </c>
      <c r="T9" s="36" t="s">
        <v>164</v>
      </c>
      <c r="U9" s="36" t="s">
        <v>91</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55"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9</v>
      </c>
      <c r="B37" s="33">
        <v>10.963732676801063</v>
      </c>
      <c r="C37" s="33">
        <v>4.465843522420232</v>
      </c>
    </row>
    <row r="38" spans="1:3" x14ac:dyDescent="0.25">
      <c r="A38" s="32" t="s">
        <v>7</v>
      </c>
      <c r="B38" s="33">
        <v>10.837301099553866</v>
      </c>
      <c r="C38" s="33">
        <v>8.0852852868769087</v>
      </c>
    </row>
    <row r="39" spans="1:3" x14ac:dyDescent="0.25">
      <c r="A39" s="32" t="s">
        <v>6</v>
      </c>
      <c r="B39" s="33">
        <v>12.176411879128967</v>
      </c>
      <c r="C39" s="33">
        <v>6.9739098843869751</v>
      </c>
    </row>
    <row r="40" spans="1:3" x14ac:dyDescent="0.25">
      <c r="A40" s="32" t="s">
        <v>8</v>
      </c>
      <c r="B40" s="33">
        <v>12.942046682411828</v>
      </c>
      <c r="C40" s="33">
        <v>8.6218757512810171</v>
      </c>
    </row>
    <row r="41" spans="1:3" x14ac:dyDescent="0.25">
      <c r="A41" s="32" t="s">
        <v>10</v>
      </c>
      <c r="B41" s="33">
        <v>11.796515289766731</v>
      </c>
      <c r="C41" s="33">
        <v>7.1884498535270236</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9</v>
      </c>
      <c r="B67" s="33">
        <v>19.079000000000001</v>
      </c>
      <c r="C67" s="33">
        <v>4.465843522420232</v>
      </c>
      <c r="D67" s="33">
        <v>52.694060499999999</v>
      </c>
    </row>
    <row r="68" spans="1:4" x14ac:dyDescent="0.25">
      <c r="A68" s="32" t="s">
        <v>7</v>
      </c>
      <c r="B68" s="33">
        <v>37.409999999999997</v>
      </c>
      <c r="C68" s="33">
        <v>8.0852852868769087</v>
      </c>
      <c r="D68" s="33">
        <v>133.17819608529999</v>
      </c>
    </row>
    <row r="69" spans="1:4" x14ac:dyDescent="0.25">
      <c r="A69" s="32" t="s">
        <v>6</v>
      </c>
      <c r="B69" s="33">
        <v>46.078000000000003</v>
      </c>
      <c r="C69" s="33">
        <v>6.9739098843869751</v>
      </c>
      <c r="D69" s="33">
        <v>163.46362188999998</v>
      </c>
    </row>
    <row r="70" spans="1:4" x14ac:dyDescent="0.25">
      <c r="A70" s="32" t="s">
        <v>8</v>
      </c>
      <c r="B70" s="33">
        <v>95.626000000000005</v>
      </c>
      <c r="C70" s="33">
        <v>8.6218757512810171</v>
      </c>
      <c r="D70" s="33">
        <v>343.85591443999999</v>
      </c>
    </row>
    <row r="71" spans="1:4" x14ac:dyDescent="0.25">
      <c r="A71" s="32" t="s">
        <v>10</v>
      </c>
      <c r="B71" s="33">
        <v>33.984999999999999</v>
      </c>
      <c r="C71" s="33">
        <v>7.1884498535270236</v>
      </c>
      <c r="D71" s="33">
        <v>100.50774270999999</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7" operator="greaterThanOrEqual">
      <formula>0</formula>
    </cfRule>
    <cfRule type="cellIs" dxfId="36"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1"/>
  <sheetViews>
    <sheetView showGridLines="0" zoomScale="70" zoomScaleNormal="70" workbookViewId="0"/>
  </sheetViews>
  <sheetFormatPr defaultColWidth="8.85546875" defaultRowHeight="15.75" x14ac:dyDescent="0.25"/>
  <cols>
    <col min="1" max="1" width="43.42578125" style="16" customWidth="1"/>
    <col min="2" max="2" width="14.85546875" style="16" bestFit="1" customWidth="1"/>
    <col min="3" max="3" width="69.5703125" style="16" customWidth="1"/>
    <col min="4" max="4" width="13.5703125" style="16" customWidth="1"/>
    <col min="5" max="5" width="16.140625" style="16" bestFit="1" customWidth="1"/>
    <col min="6" max="6" width="19.42578125" style="16" customWidth="1"/>
    <col min="7" max="7" width="15.140625" style="16" customWidth="1"/>
    <col min="8" max="8" width="1.42578125" style="16" customWidth="1"/>
    <col min="9" max="9" width="16" style="16" customWidth="1"/>
    <col min="10" max="11" width="18.42578125" style="16" customWidth="1"/>
    <col min="12" max="12" width="17.42578125" style="16" customWidth="1"/>
    <col min="13" max="13" width="16.85546875" style="16" customWidth="1"/>
    <col min="14" max="14" width="17.42578125" style="16" customWidth="1"/>
    <col min="15" max="15" width="1.42578125" style="16" customWidth="1"/>
    <col min="16" max="16" width="19.5703125" style="16" customWidth="1"/>
    <col min="17" max="17" width="22.42578125" style="16" customWidth="1"/>
    <col min="18" max="18" width="1.42578125" style="16" customWidth="1"/>
    <col min="19" max="20" width="8.85546875" style="16"/>
    <col min="21" max="21" width="14.5703125"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76.5"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51</v>
      </c>
      <c r="B3" s="101"/>
      <c r="C3" s="101"/>
      <c r="D3" s="44"/>
      <c r="E3" s="44"/>
      <c r="F3" s="45"/>
      <c r="G3" s="69" t="s">
        <v>98</v>
      </c>
      <c r="H3" s="45"/>
      <c r="I3" s="66">
        <v>15.935682219506305</v>
      </c>
      <c r="J3" s="66">
        <v>7.6880533236375497</v>
      </c>
      <c r="K3" s="66">
        <v>7.191854205399788</v>
      </c>
      <c r="L3" s="66">
        <v>17.287239709623176</v>
      </c>
      <c r="M3" s="66">
        <v>8.3667220890783671</v>
      </c>
      <c r="N3" s="66">
        <v>7.8410388672608713</v>
      </c>
      <c r="O3" s="45"/>
      <c r="P3" s="45"/>
      <c r="Q3" s="45"/>
      <c r="R3" s="45"/>
      <c r="S3" s="45"/>
      <c r="T3" s="45"/>
      <c r="U3" s="45"/>
    </row>
    <row r="4" spans="1:23" customFormat="1" ht="15" x14ac:dyDescent="0.25">
      <c r="A4" s="32" t="s">
        <v>36</v>
      </c>
      <c r="B4" s="32" t="s">
        <v>14</v>
      </c>
      <c r="C4" s="32" t="s">
        <v>52</v>
      </c>
      <c r="D4" s="65" t="s">
        <v>172</v>
      </c>
      <c r="E4" s="34">
        <v>90</v>
      </c>
      <c r="F4" s="33">
        <v>103.89874386</v>
      </c>
      <c r="G4" s="35">
        <v>26215</v>
      </c>
      <c r="H4" s="22"/>
      <c r="I4" s="36">
        <v>14.759510767614614</v>
      </c>
      <c r="J4" s="36">
        <v>4.5861206296655688</v>
      </c>
      <c r="K4" s="36">
        <v>5.582568127540255</v>
      </c>
      <c r="L4" s="36">
        <v>15.903923911669304</v>
      </c>
      <c r="M4" s="36">
        <v>6.7179293445371213</v>
      </c>
      <c r="N4" s="36">
        <v>6.8383165297380755</v>
      </c>
      <c r="O4" s="22"/>
      <c r="P4" s="36">
        <v>10.873587827873466</v>
      </c>
      <c r="Q4" s="36">
        <v>12.070621755791825</v>
      </c>
      <c r="R4" s="23"/>
      <c r="S4" s="36">
        <v>0.48763244017500401</v>
      </c>
      <c r="T4" s="36">
        <v>1.0223641722160646</v>
      </c>
      <c r="U4" s="36" t="s">
        <v>91</v>
      </c>
      <c r="V4" s="58"/>
      <c r="W4" s="58"/>
    </row>
    <row r="5" spans="1:23" customFormat="1" ht="15" x14ac:dyDescent="0.25">
      <c r="A5" s="32" t="s">
        <v>178</v>
      </c>
      <c r="B5" s="32" t="s">
        <v>12</v>
      </c>
      <c r="C5" s="32" t="s">
        <v>126</v>
      </c>
      <c r="D5" s="65" t="s">
        <v>172</v>
      </c>
      <c r="E5" s="34">
        <v>97</v>
      </c>
      <c r="F5" s="33">
        <v>232.34664083039999</v>
      </c>
      <c r="G5" s="35">
        <v>44919</v>
      </c>
      <c r="H5" s="22"/>
      <c r="I5" s="36">
        <v>13.437849944008962</v>
      </c>
      <c r="J5" s="36">
        <v>8.203429821438446</v>
      </c>
      <c r="K5" s="36">
        <v>7.3313934555456539</v>
      </c>
      <c r="L5" s="36">
        <v>15.613931340571119</v>
      </c>
      <c r="M5" s="36">
        <v>7.9499147424427763</v>
      </c>
      <c r="N5" s="36">
        <v>7.7046810675450716</v>
      </c>
      <c r="O5" s="22"/>
      <c r="P5" s="36">
        <v>10.764532048584597</v>
      </c>
      <c r="Q5" s="36">
        <v>13.141219129139744</v>
      </c>
      <c r="R5" s="23"/>
      <c r="S5" s="36">
        <v>0.5</v>
      </c>
      <c r="T5" s="36" t="s">
        <v>91</v>
      </c>
      <c r="U5" s="36">
        <v>1.19</v>
      </c>
      <c r="V5" s="58"/>
      <c r="W5" s="58"/>
    </row>
    <row r="6" spans="1:23" customFormat="1" ht="15" x14ac:dyDescent="0.25">
      <c r="A6" s="32" t="s">
        <v>88</v>
      </c>
      <c r="B6" s="32" t="s">
        <v>11</v>
      </c>
      <c r="C6" s="32" t="s">
        <v>53</v>
      </c>
      <c r="D6" s="65" t="s">
        <v>172</v>
      </c>
      <c r="E6" s="34">
        <v>98</v>
      </c>
      <c r="F6" s="33">
        <v>363.13438201999998</v>
      </c>
      <c r="G6" s="35">
        <v>73946</v>
      </c>
      <c r="H6" s="22"/>
      <c r="I6" s="36">
        <v>15.35931355023239</v>
      </c>
      <c r="J6" s="36">
        <v>6.9603084053469155</v>
      </c>
      <c r="K6" s="36">
        <v>6.7660947300420382</v>
      </c>
      <c r="L6" s="36">
        <v>19.72818393580522</v>
      </c>
      <c r="M6" s="36">
        <v>9.2611238091146788</v>
      </c>
      <c r="N6" s="36">
        <v>8.6772335036707773</v>
      </c>
      <c r="O6" s="22"/>
      <c r="P6" s="36">
        <v>12.148139104276815</v>
      </c>
      <c r="Q6" s="36">
        <v>13.730694440497917</v>
      </c>
      <c r="R6" s="23"/>
      <c r="S6" s="36">
        <v>0.5</v>
      </c>
      <c r="T6" s="36">
        <v>0.87</v>
      </c>
      <c r="U6" s="36" t="s">
        <v>91</v>
      </c>
      <c r="V6" s="58"/>
      <c r="W6" s="58"/>
    </row>
    <row r="7" spans="1:23" customFormat="1" ht="15" x14ac:dyDescent="0.25">
      <c r="A7" s="32" t="s">
        <v>89</v>
      </c>
      <c r="B7" s="32" t="s">
        <v>13</v>
      </c>
      <c r="C7" s="32" t="s">
        <v>104</v>
      </c>
      <c r="D7" s="65" t="s">
        <v>172</v>
      </c>
      <c r="E7" s="34">
        <v>97</v>
      </c>
      <c r="F7" s="33">
        <v>491.13049738999996</v>
      </c>
      <c r="G7" s="35">
        <v>113433</v>
      </c>
      <c r="H7" s="22"/>
      <c r="I7" s="36">
        <v>17.386905622199755</v>
      </c>
      <c r="J7" s="36">
        <v>8.8767339267746159</v>
      </c>
      <c r="K7" s="36">
        <v>7.8508719062289956</v>
      </c>
      <c r="L7" s="36">
        <v>17.203621581670369</v>
      </c>
      <c r="M7" s="36">
        <v>8.2984423619793635</v>
      </c>
      <c r="N7" s="36">
        <v>7.7388246099246993</v>
      </c>
      <c r="O7" s="22"/>
      <c r="P7" s="36">
        <v>12.883312300197233</v>
      </c>
      <c r="Q7" s="36">
        <v>13.548018823716406</v>
      </c>
      <c r="R7" s="23"/>
      <c r="S7" s="36">
        <v>0.5</v>
      </c>
      <c r="T7" s="36" t="s">
        <v>91</v>
      </c>
      <c r="U7" s="36">
        <v>0.83930000000000005</v>
      </c>
      <c r="V7" s="58"/>
      <c r="W7" s="58"/>
    </row>
    <row r="8" spans="1:23" customFormat="1" ht="15" x14ac:dyDescent="0.25">
      <c r="A8" s="32" t="s">
        <v>116</v>
      </c>
      <c r="B8" s="32" t="s">
        <v>15</v>
      </c>
      <c r="C8" s="32" t="s">
        <v>119</v>
      </c>
      <c r="D8" s="65" t="s">
        <v>172</v>
      </c>
      <c r="E8" s="34">
        <v>90</v>
      </c>
      <c r="F8" s="33">
        <v>173.70606647</v>
      </c>
      <c r="G8" s="35">
        <v>48008</v>
      </c>
      <c r="H8" s="22"/>
      <c r="I8" s="36">
        <v>16.984977730806982</v>
      </c>
      <c r="J8" s="36">
        <v>7.0145755076505667</v>
      </c>
      <c r="K8" s="36">
        <v>6.9945412274780905</v>
      </c>
      <c r="L8" s="36">
        <v>15.486433242049969</v>
      </c>
      <c r="M8" s="36">
        <v>8.2337245599006348</v>
      </c>
      <c r="N8" s="36">
        <v>7.1641102034503801</v>
      </c>
      <c r="O8" s="22"/>
      <c r="P8" s="36">
        <v>11.738240084195322</v>
      </c>
      <c r="Q8" s="36">
        <v>13.612412129093137</v>
      </c>
      <c r="R8" s="23"/>
      <c r="S8" s="36">
        <v>0.5</v>
      </c>
      <c r="T8" s="36">
        <v>1</v>
      </c>
      <c r="U8" s="36" t="s">
        <v>91</v>
      </c>
      <c r="V8" s="58"/>
      <c r="W8" s="58"/>
    </row>
    <row r="9" spans="1:23" customFormat="1" ht="25.5" x14ac:dyDescent="0.25">
      <c r="A9" s="32" t="s">
        <v>131</v>
      </c>
      <c r="B9" s="32" t="s">
        <v>134</v>
      </c>
      <c r="C9" s="32" t="s">
        <v>144</v>
      </c>
      <c r="D9" s="65" t="s">
        <v>173</v>
      </c>
      <c r="E9" s="34">
        <v>100</v>
      </c>
      <c r="F9" s="33">
        <v>8.3972826791999999</v>
      </c>
      <c r="G9" s="35">
        <v>2532</v>
      </c>
      <c r="H9" s="22"/>
      <c r="I9" s="36">
        <v>17.942984907769709</v>
      </c>
      <c r="J9" s="36" t="s">
        <v>148</v>
      </c>
      <c r="K9" s="36" t="s">
        <v>148</v>
      </c>
      <c r="L9" s="36">
        <v>17.898832684824907</v>
      </c>
      <c r="M9" s="36" t="s">
        <v>148</v>
      </c>
      <c r="N9" s="36" t="s">
        <v>148</v>
      </c>
      <c r="O9" s="22"/>
      <c r="P9" s="36" t="s">
        <v>148</v>
      </c>
      <c r="Q9" s="36" t="s">
        <v>148</v>
      </c>
      <c r="R9" s="23"/>
      <c r="S9" s="36" t="s">
        <v>163</v>
      </c>
      <c r="T9" s="36" t="s">
        <v>164</v>
      </c>
      <c r="U9" s="36" t="s">
        <v>91</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55"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14</v>
      </c>
      <c r="B37" s="33">
        <v>10.873587827873466</v>
      </c>
      <c r="C37" s="33">
        <v>4.5861206296655688</v>
      </c>
    </row>
    <row r="38" spans="1:3" x14ac:dyDescent="0.25">
      <c r="A38" s="32" t="s">
        <v>12</v>
      </c>
      <c r="B38" s="33">
        <v>10.764532048584597</v>
      </c>
      <c r="C38" s="33">
        <v>8.203429821438446</v>
      </c>
    </row>
    <row r="39" spans="1:3" x14ac:dyDescent="0.25">
      <c r="A39" s="32" t="s">
        <v>11</v>
      </c>
      <c r="B39" s="33">
        <v>12.148139104276815</v>
      </c>
      <c r="C39" s="33">
        <v>6.9603084053469155</v>
      </c>
    </row>
    <row r="40" spans="1:3" x14ac:dyDescent="0.25">
      <c r="A40" s="32" t="s">
        <v>13</v>
      </c>
      <c r="B40" s="33">
        <v>12.883312300197233</v>
      </c>
      <c r="C40" s="33">
        <v>8.8767339267746159</v>
      </c>
    </row>
    <row r="41" spans="1:3" x14ac:dyDescent="0.25">
      <c r="A41" s="32" t="s">
        <v>15</v>
      </c>
      <c r="B41" s="33">
        <v>11.738240084195322</v>
      </c>
      <c r="C41" s="33">
        <v>7.0145755076505667</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14</v>
      </c>
      <c r="B67" s="33">
        <v>26.215</v>
      </c>
      <c r="C67" s="33">
        <v>4.5861206296655688</v>
      </c>
      <c r="D67" s="33">
        <v>103.89874386</v>
      </c>
    </row>
    <row r="68" spans="1:4" x14ac:dyDescent="0.25">
      <c r="A68" s="32" t="s">
        <v>12</v>
      </c>
      <c r="B68" s="33">
        <v>44.918999999999997</v>
      </c>
      <c r="C68" s="33">
        <v>8.203429821438446</v>
      </c>
      <c r="D68" s="33">
        <v>232.34664083039999</v>
      </c>
    </row>
    <row r="69" spans="1:4" x14ac:dyDescent="0.25">
      <c r="A69" s="32" t="s">
        <v>11</v>
      </c>
      <c r="B69" s="33">
        <v>73.945999999999998</v>
      </c>
      <c r="C69" s="33">
        <v>6.9603084053469155</v>
      </c>
      <c r="D69" s="33">
        <v>363.13438201999998</v>
      </c>
    </row>
    <row r="70" spans="1:4" x14ac:dyDescent="0.25">
      <c r="A70" s="32" t="s">
        <v>13</v>
      </c>
      <c r="B70" s="33">
        <v>113.43300000000001</v>
      </c>
      <c r="C70" s="33">
        <v>8.8767339267746159</v>
      </c>
      <c r="D70" s="33">
        <v>491.13049738999996</v>
      </c>
    </row>
    <row r="71" spans="1:4" x14ac:dyDescent="0.25">
      <c r="A71" s="32" t="s">
        <v>15</v>
      </c>
      <c r="B71" s="33">
        <v>48.008000000000003</v>
      </c>
      <c r="C71" s="33">
        <v>7.0145755076505667</v>
      </c>
      <c r="D71" s="33">
        <v>173.70606647</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7" operator="greaterThanOrEqual">
      <formula>0</formula>
    </cfRule>
    <cfRule type="cellIs" dxfId="30" priority="8"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1"/>
  <sheetViews>
    <sheetView showGridLines="0" zoomScale="70" zoomScaleNormal="70" workbookViewId="0"/>
  </sheetViews>
  <sheetFormatPr defaultColWidth="8.85546875" defaultRowHeight="15.75" x14ac:dyDescent="0.25"/>
  <cols>
    <col min="1" max="1" width="42.42578125" style="16" customWidth="1"/>
    <col min="2" max="2" width="14.85546875" style="16" bestFit="1" customWidth="1"/>
    <col min="3" max="3" width="67.140625" style="16" customWidth="1"/>
    <col min="4" max="4" width="13.42578125" style="16" customWidth="1"/>
    <col min="5" max="5" width="15.140625" style="16" customWidth="1"/>
    <col min="6" max="6" width="13" style="16" customWidth="1"/>
    <col min="7" max="7" width="14.42578125" style="16" customWidth="1"/>
    <col min="8" max="8" width="1.140625" style="16" customWidth="1"/>
    <col min="9" max="9" width="18.42578125" style="16" customWidth="1"/>
    <col min="10" max="11" width="17.42578125" style="16" customWidth="1"/>
    <col min="12" max="12" width="18.42578125" style="16" customWidth="1"/>
    <col min="13" max="14" width="17.42578125" style="16" customWidth="1"/>
    <col min="15" max="15" width="1.140625" style="16" customWidth="1"/>
    <col min="16" max="17" width="18.42578125" style="16" customWidth="1"/>
    <col min="18" max="18" width="1.140625" style="16" customWidth="1"/>
    <col min="19" max="20" width="8.85546875" style="16"/>
    <col min="21" max="21" width="12.42578125"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76.5"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54</v>
      </c>
      <c r="B3" s="101"/>
      <c r="C3" s="101"/>
      <c r="D3" s="44"/>
      <c r="E3" s="44"/>
      <c r="F3" s="45"/>
      <c r="G3" s="69" t="s">
        <v>98</v>
      </c>
      <c r="H3" s="45"/>
      <c r="I3" s="66">
        <v>15.89039523863778</v>
      </c>
      <c r="J3" s="66">
        <v>7.6540229612195692</v>
      </c>
      <c r="K3" s="66">
        <v>7.1576254910861437</v>
      </c>
      <c r="L3" s="66">
        <v>17.366194741383008</v>
      </c>
      <c r="M3" s="66">
        <v>8.3949654004946286</v>
      </c>
      <c r="N3" s="66">
        <v>7.8577598353238853</v>
      </c>
      <c r="O3" s="45"/>
      <c r="P3" s="45"/>
      <c r="Q3" s="45"/>
      <c r="R3" s="45"/>
      <c r="S3" s="45"/>
      <c r="T3" s="45"/>
      <c r="U3" s="45"/>
    </row>
    <row r="4" spans="1:23" customFormat="1" ht="15" x14ac:dyDescent="0.25">
      <c r="A4" s="32" t="s">
        <v>36</v>
      </c>
      <c r="B4" s="32" t="s">
        <v>19</v>
      </c>
      <c r="C4" s="32" t="s">
        <v>55</v>
      </c>
      <c r="D4" s="65" t="s">
        <v>172</v>
      </c>
      <c r="E4" s="34">
        <v>90</v>
      </c>
      <c r="F4" s="33">
        <v>119.01099531999999</v>
      </c>
      <c r="G4" s="35">
        <v>19545</v>
      </c>
      <c r="H4" s="22"/>
      <c r="I4" s="36">
        <v>14.797064549947581</v>
      </c>
      <c r="J4" s="36">
        <v>4.7596168491578217</v>
      </c>
      <c r="K4" s="36">
        <v>5.7241976739677458</v>
      </c>
      <c r="L4" s="36">
        <v>15.903923911669304</v>
      </c>
      <c r="M4" s="36">
        <v>6.7179293445371213</v>
      </c>
      <c r="N4" s="36">
        <v>6.8383165297380755</v>
      </c>
      <c r="O4" s="23"/>
      <c r="P4" s="36">
        <v>10.899792750929894</v>
      </c>
      <c r="Q4" s="36">
        <v>12.070621755791825</v>
      </c>
      <c r="R4" s="23"/>
      <c r="S4" s="36">
        <v>0.48771808878969714</v>
      </c>
      <c r="T4" s="36">
        <v>1.0293069425896231</v>
      </c>
      <c r="U4" s="36" t="s">
        <v>91</v>
      </c>
      <c r="V4" s="58"/>
      <c r="W4" s="58"/>
    </row>
    <row r="5" spans="1:23" customFormat="1" ht="15" x14ac:dyDescent="0.25">
      <c r="A5" s="32" t="s">
        <v>178</v>
      </c>
      <c r="B5" s="32" t="s">
        <v>17</v>
      </c>
      <c r="C5" s="32" t="s">
        <v>127</v>
      </c>
      <c r="D5" s="65" t="s">
        <v>172</v>
      </c>
      <c r="E5" s="34">
        <v>97</v>
      </c>
      <c r="F5" s="33">
        <v>235.3049246912</v>
      </c>
      <c r="G5" s="35">
        <v>28088</v>
      </c>
      <c r="H5" s="22"/>
      <c r="I5" s="36">
        <v>13.321269487750564</v>
      </c>
      <c r="J5" s="36">
        <v>8.2045885211777136</v>
      </c>
      <c r="K5" s="36">
        <v>7.315565310406158</v>
      </c>
      <c r="L5" s="36">
        <v>15.613931340571119</v>
      </c>
      <c r="M5" s="36">
        <v>7.9499147424427763</v>
      </c>
      <c r="N5" s="36">
        <v>7.7046810675450716</v>
      </c>
      <c r="O5" s="23"/>
      <c r="P5" s="36">
        <v>10.732120450322844</v>
      </c>
      <c r="Q5" s="36">
        <v>13.141219129139744</v>
      </c>
      <c r="R5" s="23"/>
      <c r="S5" s="36">
        <v>0.5</v>
      </c>
      <c r="T5" s="36" t="s">
        <v>91</v>
      </c>
      <c r="U5" s="36">
        <v>1.19</v>
      </c>
      <c r="V5" s="58"/>
      <c r="W5" s="58"/>
    </row>
    <row r="6" spans="1:23" customFormat="1" ht="15" x14ac:dyDescent="0.25">
      <c r="A6" s="32" t="s">
        <v>88</v>
      </c>
      <c r="B6" s="32" t="s">
        <v>16</v>
      </c>
      <c r="C6" s="32" t="s">
        <v>56</v>
      </c>
      <c r="D6" s="65" t="s">
        <v>172</v>
      </c>
      <c r="E6" s="34">
        <v>98</v>
      </c>
      <c r="F6" s="33">
        <v>457.06410735000003</v>
      </c>
      <c r="G6" s="35">
        <v>62796</v>
      </c>
      <c r="H6" s="22"/>
      <c r="I6" s="36">
        <v>15.252694946101087</v>
      </c>
      <c r="J6" s="36">
        <v>6.9346516710663275</v>
      </c>
      <c r="K6" s="36">
        <v>6.7503194445140302</v>
      </c>
      <c r="L6" s="36">
        <v>19.728419767570294</v>
      </c>
      <c r="M6" s="36">
        <v>9.2610753877909513</v>
      </c>
      <c r="N6" s="36">
        <v>8.6772139088801215</v>
      </c>
      <c r="O6" s="23"/>
      <c r="P6" s="36">
        <v>12.139095179254559</v>
      </c>
      <c r="Q6" s="36">
        <v>13.730778342766955</v>
      </c>
      <c r="R6" s="23"/>
      <c r="S6" s="36">
        <v>0.5</v>
      </c>
      <c r="T6" s="36">
        <v>0.87</v>
      </c>
      <c r="U6" s="36" t="s">
        <v>91</v>
      </c>
      <c r="V6" s="58"/>
      <c r="W6" s="58"/>
    </row>
    <row r="7" spans="1:23" customFormat="1" ht="15" x14ac:dyDescent="0.25">
      <c r="A7" s="32" t="s">
        <v>89</v>
      </c>
      <c r="B7" s="32" t="s">
        <v>18</v>
      </c>
      <c r="C7" s="32" t="s">
        <v>105</v>
      </c>
      <c r="D7" s="65" t="s">
        <v>172</v>
      </c>
      <c r="E7" s="34">
        <v>97</v>
      </c>
      <c r="F7" s="33">
        <v>596.30426254999998</v>
      </c>
      <c r="G7" s="35">
        <v>98500</v>
      </c>
      <c r="H7" s="22"/>
      <c r="I7" s="36">
        <v>17.17778099233329</v>
      </c>
      <c r="J7" s="36">
        <v>8.8729270861585885</v>
      </c>
      <c r="K7" s="36">
        <v>7.8356072908793539</v>
      </c>
      <c r="L7" s="36">
        <v>17.203621581670369</v>
      </c>
      <c r="M7" s="36">
        <v>8.2984423619793635</v>
      </c>
      <c r="N7" s="36">
        <v>7.7388246099246993</v>
      </c>
      <c r="O7" s="23"/>
      <c r="P7" s="36">
        <v>12.812612559046554</v>
      </c>
      <c r="Q7" s="36">
        <v>13.548018823716406</v>
      </c>
      <c r="R7" s="23"/>
      <c r="S7" s="36">
        <v>0.5</v>
      </c>
      <c r="T7" s="36" t="s">
        <v>91</v>
      </c>
      <c r="U7" s="36">
        <v>0.84360000000000002</v>
      </c>
      <c r="V7" s="58"/>
      <c r="W7" s="58"/>
    </row>
    <row r="8" spans="1:23" customFormat="1" ht="15" x14ac:dyDescent="0.25">
      <c r="A8" s="32" t="s">
        <v>116</v>
      </c>
      <c r="B8" s="32" t="s">
        <v>20</v>
      </c>
      <c r="C8" s="32" t="s">
        <v>120</v>
      </c>
      <c r="D8" s="65" t="s">
        <v>172</v>
      </c>
      <c r="E8" s="34">
        <v>90</v>
      </c>
      <c r="F8" s="33">
        <v>210.87924747</v>
      </c>
      <c r="G8" s="35">
        <v>39969</v>
      </c>
      <c r="H8" s="22"/>
      <c r="I8" s="36">
        <v>17.029234409587033</v>
      </c>
      <c r="J8" s="36">
        <v>6.7856418079407677</v>
      </c>
      <c r="K8" s="36">
        <v>6.7560269003024809</v>
      </c>
      <c r="L8" s="36">
        <v>15.486433242049969</v>
      </c>
      <c r="M8" s="36">
        <v>8.2337245599006348</v>
      </c>
      <c r="N8" s="36">
        <v>7.1641102034503801</v>
      </c>
      <c r="O8" s="23"/>
      <c r="P8" s="36">
        <v>11.76622998535434</v>
      </c>
      <c r="Q8" s="36">
        <v>13.612412129093137</v>
      </c>
      <c r="R8" s="23"/>
      <c r="S8" s="36">
        <v>0.5</v>
      </c>
      <c r="T8" s="36">
        <v>1.02</v>
      </c>
      <c r="U8" s="36" t="s">
        <v>91</v>
      </c>
      <c r="V8" s="58"/>
      <c r="W8" s="58"/>
    </row>
    <row r="9" spans="1:23" customFormat="1" ht="25.5" x14ac:dyDescent="0.25">
      <c r="A9" s="32" t="s">
        <v>131</v>
      </c>
      <c r="B9" s="32" t="s">
        <v>135</v>
      </c>
      <c r="C9" s="32" t="s">
        <v>143</v>
      </c>
      <c r="D9" s="65" t="s">
        <v>173</v>
      </c>
      <c r="E9" s="34">
        <v>100</v>
      </c>
      <c r="F9" s="33">
        <v>8.6307177169999996</v>
      </c>
      <c r="G9" s="35">
        <v>760</v>
      </c>
      <c r="H9" s="22"/>
      <c r="I9" s="36">
        <v>18.008998875140602</v>
      </c>
      <c r="J9" s="36" t="s">
        <v>148</v>
      </c>
      <c r="K9" s="36" t="s">
        <v>148</v>
      </c>
      <c r="L9" s="36">
        <v>17.898832684824907</v>
      </c>
      <c r="M9" s="36" t="s">
        <v>148</v>
      </c>
      <c r="N9" s="36" t="s">
        <v>148</v>
      </c>
      <c r="O9" s="23"/>
      <c r="P9" s="36" t="s">
        <v>148</v>
      </c>
      <c r="Q9" s="36" t="s">
        <v>148</v>
      </c>
      <c r="R9" s="23"/>
      <c r="S9" s="36" t="s">
        <v>163</v>
      </c>
      <c r="T9" s="36" t="s">
        <v>164</v>
      </c>
      <c r="U9" s="36" t="s">
        <v>91</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55"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19</v>
      </c>
      <c r="B37" s="33">
        <v>10.899792750929894</v>
      </c>
      <c r="C37" s="33">
        <v>4.7596168491578217</v>
      </c>
    </row>
    <row r="38" spans="1:3" x14ac:dyDescent="0.25">
      <c r="A38" s="32" t="s">
        <v>17</v>
      </c>
      <c r="B38" s="33">
        <v>10.732120450322844</v>
      </c>
      <c r="C38" s="33">
        <v>8.2045885211777136</v>
      </c>
    </row>
    <row r="39" spans="1:3" x14ac:dyDescent="0.25">
      <c r="A39" s="32" t="s">
        <v>16</v>
      </c>
      <c r="B39" s="33">
        <v>12.139095179254559</v>
      </c>
      <c r="C39" s="33">
        <v>6.9346516710663275</v>
      </c>
    </row>
    <row r="40" spans="1:3" x14ac:dyDescent="0.25">
      <c r="A40" s="32" t="s">
        <v>18</v>
      </c>
      <c r="B40" s="33">
        <v>12.812612559046554</v>
      </c>
      <c r="C40" s="33">
        <v>8.8729270861585885</v>
      </c>
    </row>
    <row r="41" spans="1:3" x14ac:dyDescent="0.25">
      <c r="A41" s="32" t="s">
        <v>20</v>
      </c>
      <c r="B41" s="33">
        <v>11.76622998535434</v>
      </c>
      <c r="C41" s="33">
        <v>6.7856418079407677</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17</v>
      </c>
      <c r="B67" s="33">
        <v>28.088000000000001</v>
      </c>
      <c r="C67" s="33">
        <v>8.2045885211777136</v>
      </c>
      <c r="D67" s="33">
        <v>235.3049246912</v>
      </c>
    </row>
    <row r="68" spans="1:4" x14ac:dyDescent="0.25">
      <c r="A68" s="32" t="s">
        <v>19</v>
      </c>
      <c r="B68" s="33">
        <v>19.545000000000002</v>
      </c>
      <c r="C68" s="33">
        <v>4.7596168491578217</v>
      </c>
      <c r="D68" s="33">
        <v>119.01099531999999</v>
      </c>
    </row>
    <row r="69" spans="1:4" x14ac:dyDescent="0.25">
      <c r="A69" s="32" t="s">
        <v>16</v>
      </c>
      <c r="B69" s="33">
        <v>62.795999999999999</v>
      </c>
      <c r="C69" s="33">
        <v>6.9346516710663275</v>
      </c>
      <c r="D69" s="33">
        <v>457.06410735000003</v>
      </c>
    </row>
    <row r="70" spans="1:4" x14ac:dyDescent="0.25">
      <c r="A70" s="32" t="s">
        <v>18</v>
      </c>
      <c r="B70" s="33">
        <v>98.5</v>
      </c>
      <c r="C70" s="33">
        <v>8.8729270861585885</v>
      </c>
      <c r="D70" s="33">
        <v>596.30426254999998</v>
      </c>
    </row>
    <row r="71" spans="1:4" x14ac:dyDescent="0.25">
      <c r="A71" s="32" t="s">
        <v>20</v>
      </c>
      <c r="B71" s="33">
        <v>39.969000000000001</v>
      </c>
      <c r="C71" s="33">
        <v>6.7856418079407677</v>
      </c>
      <c r="D71" s="33">
        <v>210.87924747</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1" operator="greaterThanOrEqual">
      <formula>0</formula>
    </cfRule>
    <cfRule type="cellIs" dxfId="24"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1"/>
  <sheetViews>
    <sheetView showGridLines="0" zoomScale="55" zoomScaleNormal="55" workbookViewId="0"/>
  </sheetViews>
  <sheetFormatPr defaultColWidth="8.85546875" defaultRowHeight="15.75" x14ac:dyDescent="0.25"/>
  <cols>
    <col min="1" max="1" width="44.85546875" style="16" customWidth="1"/>
    <col min="2" max="2" width="14.85546875" style="16" bestFit="1" customWidth="1"/>
    <col min="3" max="3" width="68.42578125" style="16" customWidth="1"/>
    <col min="4" max="4" width="13.42578125" style="16" customWidth="1"/>
    <col min="5" max="5" width="17.5703125" style="16" customWidth="1"/>
    <col min="6" max="6" width="17" style="16" customWidth="1"/>
    <col min="7" max="7" width="13.42578125" style="16" customWidth="1"/>
    <col min="8" max="8" width="1.85546875" style="16" customWidth="1"/>
    <col min="9" max="9" width="16.5703125" style="16" customWidth="1"/>
    <col min="10" max="11" width="17" style="16" customWidth="1"/>
    <col min="12" max="12" width="18.5703125" style="16" customWidth="1"/>
    <col min="13" max="13" width="17.5703125" style="16" customWidth="1"/>
    <col min="14" max="14" width="18.140625" style="16" customWidth="1"/>
    <col min="15" max="15" width="1.85546875" style="16" customWidth="1"/>
    <col min="16" max="16" width="17.85546875" style="16" customWidth="1"/>
    <col min="17" max="17" width="16.42578125" style="16" customWidth="1"/>
    <col min="18" max="18" width="1.85546875" style="16" customWidth="1"/>
    <col min="19" max="19" width="8.85546875" style="16"/>
    <col min="20" max="20" width="10.5703125" style="16" customWidth="1"/>
    <col min="21" max="21" width="12.5703125"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76.5"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57</v>
      </c>
      <c r="B3" s="101"/>
      <c r="C3" s="101"/>
      <c r="D3" s="44"/>
      <c r="E3" s="44"/>
      <c r="F3" s="45"/>
      <c r="G3" s="69" t="s">
        <v>98</v>
      </c>
      <c r="H3" s="45"/>
      <c r="I3" s="66">
        <v>14.111444925149565</v>
      </c>
      <c r="J3" s="66">
        <v>6.3213300320009518</v>
      </c>
      <c r="K3" s="66">
        <v>6.0574203364997201</v>
      </c>
      <c r="L3" s="66">
        <v>15.245492077658742</v>
      </c>
      <c r="M3" s="66">
        <v>6.4839460317809605</v>
      </c>
      <c r="N3" s="66">
        <v>6.3926148572806492</v>
      </c>
      <c r="O3" s="45"/>
      <c r="P3" s="45"/>
      <c r="Q3" s="45"/>
      <c r="R3" s="45"/>
      <c r="S3" s="45"/>
      <c r="T3" s="45"/>
      <c r="U3" s="45"/>
    </row>
    <row r="4" spans="1:23" customFormat="1" ht="15" x14ac:dyDescent="0.25">
      <c r="A4" s="32" t="s">
        <v>36</v>
      </c>
      <c r="B4" s="32" t="s">
        <v>24</v>
      </c>
      <c r="C4" s="32" t="s">
        <v>58</v>
      </c>
      <c r="D4" s="65" t="s">
        <v>172</v>
      </c>
      <c r="E4" s="34">
        <v>75</v>
      </c>
      <c r="F4" s="33">
        <v>116.7010763</v>
      </c>
      <c r="G4" s="35">
        <v>18186</v>
      </c>
      <c r="H4" s="22"/>
      <c r="I4" s="36">
        <v>13.235955056179783</v>
      </c>
      <c r="J4" s="36">
        <v>4.1525322127150766</v>
      </c>
      <c r="K4" s="36">
        <v>5.2244898389745664</v>
      </c>
      <c r="L4" s="36">
        <v>14.389380146435782</v>
      </c>
      <c r="M4" s="36">
        <v>5.7619171265222091</v>
      </c>
      <c r="N4" s="36">
        <v>6.1196916970143844</v>
      </c>
      <c r="O4" s="23"/>
      <c r="P4" s="36">
        <v>10.369568065173732</v>
      </c>
      <c r="Q4" s="36">
        <v>11.561882351891137</v>
      </c>
      <c r="R4" s="23"/>
      <c r="S4" s="36">
        <v>0.48772631575584313</v>
      </c>
      <c r="T4" s="36">
        <v>1.0044339309724837</v>
      </c>
      <c r="U4" s="36" t="s">
        <v>91</v>
      </c>
      <c r="V4" s="58"/>
      <c r="W4" s="58"/>
    </row>
    <row r="5" spans="1:23" customFormat="1" ht="15" x14ac:dyDescent="0.25">
      <c r="A5" s="32" t="s">
        <v>178</v>
      </c>
      <c r="B5" s="32" t="s">
        <v>22</v>
      </c>
      <c r="C5" s="32" t="s">
        <v>128</v>
      </c>
      <c r="D5" s="65" t="s">
        <v>172</v>
      </c>
      <c r="E5" s="34">
        <v>67.58</v>
      </c>
      <c r="F5" s="33">
        <v>194.00735355809999</v>
      </c>
      <c r="G5" s="35">
        <v>23420</v>
      </c>
      <c r="H5" s="22"/>
      <c r="I5" s="36">
        <v>11.903713488918232</v>
      </c>
      <c r="J5" s="36">
        <v>6.2509935210578904</v>
      </c>
      <c r="K5" s="36">
        <v>5.7748662931295769</v>
      </c>
      <c r="L5" s="36">
        <v>14.053515460889553</v>
      </c>
      <c r="M5" s="36">
        <v>5.012134112387634</v>
      </c>
      <c r="N5" s="36">
        <v>5.3957025211718301</v>
      </c>
      <c r="O5" s="23"/>
      <c r="P5" s="36">
        <v>9.1530270934068678</v>
      </c>
      <c r="Q5" s="36">
        <v>11.693541305691696</v>
      </c>
      <c r="R5" s="23"/>
      <c r="S5" s="36">
        <v>0.5</v>
      </c>
      <c r="T5" s="36" t="s">
        <v>91</v>
      </c>
      <c r="U5" s="36">
        <v>1.05</v>
      </c>
      <c r="V5" s="58"/>
      <c r="W5" s="58"/>
    </row>
    <row r="6" spans="1:23" customFormat="1" ht="15" x14ac:dyDescent="0.25">
      <c r="A6" s="32" t="s">
        <v>88</v>
      </c>
      <c r="B6" s="32" t="s">
        <v>21</v>
      </c>
      <c r="C6" s="32" t="s">
        <v>59</v>
      </c>
      <c r="D6" s="65" t="s">
        <v>172</v>
      </c>
      <c r="E6" s="34">
        <v>73.099999999999994</v>
      </c>
      <c r="F6" s="33">
        <v>408.98524370999996</v>
      </c>
      <c r="G6" s="35">
        <v>53423</v>
      </c>
      <c r="H6" s="22"/>
      <c r="I6" s="36">
        <v>13.706180642316458</v>
      </c>
      <c r="J6" s="36">
        <v>5.7390614975144194</v>
      </c>
      <c r="K6" s="36">
        <v>5.7704688283191974</v>
      </c>
      <c r="L6" s="36">
        <v>16.908259069360156</v>
      </c>
      <c r="M6" s="36">
        <v>7.2876711173277098</v>
      </c>
      <c r="N6" s="36">
        <v>7.179024877628426</v>
      </c>
      <c r="O6" s="23"/>
      <c r="P6" s="36">
        <v>10.741978295100143</v>
      </c>
      <c r="Q6" s="36">
        <v>12.070678705741884</v>
      </c>
      <c r="R6" s="23"/>
      <c r="S6" s="36">
        <v>0.5</v>
      </c>
      <c r="T6" s="36">
        <v>0.77</v>
      </c>
      <c r="U6" s="36" t="s">
        <v>91</v>
      </c>
      <c r="V6" s="58"/>
      <c r="W6" s="58"/>
    </row>
    <row r="7" spans="1:23" customFormat="1" ht="15" x14ac:dyDescent="0.25">
      <c r="A7" s="32" t="s">
        <v>89</v>
      </c>
      <c r="B7" s="32" t="s">
        <v>23</v>
      </c>
      <c r="C7" s="32" t="s">
        <v>106</v>
      </c>
      <c r="D7" s="65" t="s">
        <v>172</v>
      </c>
      <c r="E7" s="34">
        <v>75</v>
      </c>
      <c r="F7" s="33">
        <v>603.22986958000001</v>
      </c>
      <c r="G7" s="35">
        <v>95922</v>
      </c>
      <c r="H7" s="22"/>
      <c r="I7" s="36">
        <v>15.029368575624069</v>
      </c>
      <c r="J7" s="36">
        <v>7.5862806130489346</v>
      </c>
      <c r="K7" s="36">
        <v>6.8445267939729826</v>
      </c>
      <c r="L7" s="36">
        <v>15.253280310203611</v>
      </c>
      <c r="M7" s="36">
        <v>6.5580573387429286</v>
      </c>
      <c r="N7" s="36">
        <v>6.437654628640832</v>
      </c>
      <c r="O7" s="23"/>
      <c r="P7" s="36">
        <v>11.39968641711839</v>
      </c>
      <c r="Q7" s="36">
        <v>12.523140052254259</v>
      </c>
      <c r="R7" s="23"/>
      <c r="S7" s="36">
        <v>0.5</v>
      </c>
      <c r="T7" s="36" t="s">
        <v>91</v>
      </c>
      <c r="U7" s="36">
        <v>0.80589999999999995</v>
      </c>
      <c r="V7" s="58"/>
      <c r="W7" s="58"/>
    </row>
    <row r="8" spans="1:23" customFormat="1" ht="15" x14ac:dyDescent="0.25">
      <c r="A8" s="32" t="s">
        <v>116</v>
      </c>
      <c r="B8" s="32" t="s">
        <v>25</v>
      </c>
      <c r="C8" s="32" t="s">
        <v>121</v>
      </c>
      <c r="D8" s="65" t="s">
        <v>172</v>
      </c>
      <c r="E8" s="34">
        <v>75</v>
      </c>
      <c r="F8" s="33">
        <v>226.87033237</v>
      </c>
      <c r="G8" s="35">
        <v>39668</v>
      </c>
      <c r="H8" s="22"/>
      <c r="I8" s="36">
        <v>14.677119534470219</v>
      </c>
      <c r="J8" s="36">
        <v>5.1833676870888468</v>
      </c>
      <c r="K8" s="36">
        <v>5.1519438764471071</v>
      </c>
      <c r="L8" s="36">
        <v>13.686963726185809</v>
      </c>
      <c r="M8" s="36">
        <v>6.4680163674510238</v>
      </c>
      <c r="N8" s="36">
        <v>5.8480717372847213</v>
      </c>
      <c r="O8" s="23"/>
      <c r="P8" s="36">
        <v>10.49750691246499</v>
      </c>
      <c r="Q8" s="36">
        <v>11.868047593732065</v>
      </c>
      <c r="R8" s="23"/>
      <c r="S8" s="36">
        <v>0.5</v>
      </c>
      <c r="T8" s="36">
        <v>0.92</v>
      </c>
      <c r="U8" s="36" t="s">
        <v>91</v>
      </c>
      <c r="V8" s="58"/>
      <c r="W8" s="58"/>
    </row>
    <row r="9" spans="1:23" customFormat="1" ht="25.5" x14ac:dyDescent="0.25">
      <c r="A9" s="32" t="s">
        <v>131</v>
      </c>
      <c r="B9" s="32" t="s">
        <v>136</v>
      </c>
      <c r="C9" s="32" t="s">
        <v>142</v>
      </c>
      <c r="D9" s="65" t="s">
        <v>173</v>
      </c>
      <c r="E9" s="34">
        <v>100</v>
      </c>
      <c r="F9" s="33">
        <v>4.1196748750999994</v>
      </c>
      <c r="G9" s="35">
        <v>442</v>
      </c>
      <c r="H9" s="22"/>
      <c r="I9" s="36">
        <v>17.553489414136902</v>
      </c>
      <c r="J9" s="36" t="s">
        <v>148</v>
      </c>
      <c r="K9" s="36" t="s">
        <v>148</v>
      </c>
      <c r="L9" s="36">
        <v>17.898832684824907</v>
      </c>
      <c r="M9" s="36" t="s">
        <v>148</v>
      </c>
      <c r="N9" s="36" t="s">
        <v>148</v>
      </c>
      <c r="O9" s="23"/>
      <c r="P9" s="36" t="s">
        <v>148</v>
      </c>
      <c r="Q9" s="36" t="s">
        <v>148</v>
      </c>
      <c r="R9" s="23"/>
      <c r="S9" s="36" t="s">
        <v>163</v>
      </c>
      <c r="T9" s="36" t="s">
        <v>164</v>
      </c>
      <c r="U9" s="36" t="s">
        <v>91</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55"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24</v>
      </c>
      <c r="B37" s="33">
        <v>10.369568065173732</v>
      </c>
      <c r="C37" s="33">
        <v>4.1525322127150766</v>
      </c>
    </row>
    <row r="38" spans="1:3" x14ac:dyDescent="0.25">
      <c r="A38" s="32" t="s">
        <v>22</v>
      </c>
      <c r="B38" s="33">
        <v>9.1530270934068678</v>
      </c>
      <c r="C38" s="33">
        <v>6.2509935210578904</v>
      </c>
    </row>
    <row r="39" spans="1:3" x14ac:dyDescent="0.25">
      <c r="A39" s="32" t="s">
        <v>21</v>
      </c>
      <c r="B39" s="33">
        <v>10.741978295100143</v>
      </c>
      <c r="C39" s="33">
        <v>5.7390614975144194</v>
      </c>
    </row>
    <row r="40" spans="1:3" x14ac:dyDescent="0.25">
      <c r="A40" s="32" t="s">
        <v>23</v>
      </c>
      <c r="B40" s="33">
        <v>11.39968641711839</v>
      </c>
      <c r="C40" s="33">
        <v>7.5862806130489346</v>
      </c>
    </row>
    <row r="41" spans="1:3" x14ac:dyDescent="0.25">
      <c r="A41" s="32" t="s">
        <v>25</v>
      </c>
      <c r="B41" s="33">
        <v>10.49750691246499</v>
      </c>
      <c r="C41" s="33">
        <v>5.1833676870888468</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22</v>
      </c>
      <c r="B67" s="33">
        <v>23.42</v>
      </c>
      <c r="C67" s="33">
        <v>6.2509935210578904</v>
      </c>
      <c r="D67" s="33">
        <v>194.00735355809999</v>
      </c>
    </row>
    <row r="68" spans="1:4" x14ac:dyDescent="0.25">
      <c r="A68" s="32" t="s">
        <v>24</v>
      </c>
      <c r="B68" s="33">
        <v>18.186</v>
      </c>
      <c r="C68" s="33">
        <v>4.1525322127150766</v>
      </c>
      <c r="D68" s="33">
        <v>116.7010763</v>
      </c>
    </row>
    <row r="69" spans="1:4" x14ac:dyDescent="0.25">
      <c r="A69" s="32" t="s">
        <v>21</v>
      </c>
      <c r="B69" s="33">
        <v>53.423000000000002</v>
      </c>
      <c r="C69" s="33">
        <v>5.7390614975144194</v>
      </c>
      <c r="D69" s="33">
        <v>408.98524370999996</v>
      </c>
    </row>
    <row r="70" spans="1:4" x14ac:dyDescent="0.25">
      <c r="A70" s="32" t="s">
        <v>23</v>
      </c>
      <c r="B70" s="33">
        <v>95.921999999999997</v>
      </c>
      <c r="C70" s="33">
        <v>7.5862806130489346</v>
      </c>
      <c r="D70" s="33">
        <v>603.22986958000001</v>
      </c>
    </row>
    <row r="71" spans="1:4" x14ac:dyDescent="0.25">
      <c r="A71" s="32" t="s">
        <v>25</v>
      </c>
      <c r="B71" s="33">
        <v>39.667999999999999</v>
      </c>
      <c r="C71" s="33">
        <v>5.1833676870888468</v>
      </c>
      <c r="D71" s="33">
        <v>226.87033237</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1"/>
  <sheetViews>
    <sheetView showGridLines="0" zoomScale="55" zoomScaleNormal="55" workbookViewId="0"/>
  </sheetViews>
  <sheetFormatPr defaultColWidth="8.85546875" defaultRowHeight="15.75" x14ac:dyDescent="0.25"/>
  <cols>
    <col min="1" max="1" width="43.570312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42578125" style="16" customWidth="1"/>
    <col min="9" max="9" width="17.42578125" style="16" customWidth="1"/>
    <col min="10" max="11" width="17" style="16" customWidth="1"/>
    <col min="12" max="12" width="18.42578125" style="16" customWidth="1"/>
    <col min="13" max="14" width="17.140625" style="16" customWidth="1"/>
    <col min="15" max="15" width="1.42578125" style="16" customWidth="1"/>
    <col min="16" max="16" width="16" style="16" customWidth="1"/>
    <col min="17" max="17" width="18.85546875" style="16" customWidth="1"/>
    <col min="18" max="18" width="1.42578125" style="16" customWidth="1"/>
    <col min="19" max="19" width="8.85546875" style="16"/>
    <col min="20" max="20" width="11" style="16" customWidth="1"/>
    <col min="21" max="21" width="13.42578125"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92.45" customHeight="1"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60</v>
      </c>
      <c r="B3" s="101"/>
      <c r="C3" s="101"/>
      <c r="D3" s="44"/>
      <c r="E3" s="44"/>
      <c r="F3" s="45"/>
      <c r="G3" s="69" t="s">
        <v>98</v>
      </c>
      <c r="H3" s="45"/>
      <c r="I3" s="66">
        <v>10.589095352755754</v>
      </c>
      <c r="J3" s="66">
        <v>2.5302490371607669</v>
      </c>
      <c r="K3" s="66">
        <v>3.0309967013925778</v>
      </c>
      <c r="L3" s="66">
        <v>11.555187455061573</v>
      </c>
      <c r="M3" s="66">
        <v>2.0517322763675039</v>
      </c>
      <c r="N3" s="66">
        <v>2.8120079707469832</v>
      </c>
      <c r="O3" s="45"/>
      <c r="P3" s="45"/>
      <c r="Q3" s="45"/>
      <c r="R3" s="45"/>
      <c r="S3" s="45"/>
      <c r="T3" s="45"/>
      <c r="U3" s="45"/>
    </row>
    <row r="4" spans="1:23" customFormat="1" x14ac:dyDescent="0.25">
      <c r="A4" s="32" t="s">
        <v>36</v>
      </c>
      <c r="B4" s="32" t="s">
        <v>27</v>
      </c>
      <c r="C4" s="32" t="s">
        <v>61</v>
      </c>
      <c r="D4" s="65" t="s">
        <v>172</v>
      </c>
      <c r="E4" s="34">
        <v>40</v>
      </c>
      <c r="F4" s="33">
        <v>94.292977010000001</v>
      </c>
      <c r="G4" s="35">
        <v>16552</v>
      </c>
      <c r="H4" s="22"/>
      <c r="I4" s="36">
        <v>10.128740728109808</v>
      </c>
      <c r="J4" s="36">
        <v>1.1214359343409974</v>
      </c>
      <c r="K4" s="36">
        <v>2.5244621825597058</v>
      </c>
      <c r="L4" s="36">
        <v>11.098457190846322</v>
      </c>
      <c r="M4" s="36">
        <v>2.2407174315309586</v>
      </c>
      <c r="N4" s="36">
        <v>2.9059505300276234</v>
      </c>
      <c r="O4" s="23"/>
      <c r="P4" s="36">
        <v>8.2347769262406576</v>
      </c>
      <c r="Q4" s="36">
        <v>8.7706822598918635</v>
      </c>
      <c r="R4" s="23"/>
      <c r="S4" s="36">
        <v>0.48771111310378429</v>
      </c>
      <c r="T4" s="36">
        <v>0.9203459903616984</v>
      </c>
      <c r="U4" s="36" t="s">
        <v>91</v>
      </c>
      <c r="V4" s="16"/>
      <c r="W4" s="58"/>
    </row>
    <row r="5" spans="1:23" customFormat="1" x14ac:dyDescent="0.25">
      <c r="A5" s="32" t="s">
        <v>178</v>
      </c>
      <c r="B5" s="32" t="s">
        <v>29</v>
      </c>
      <c r="C5" s="32" t="s">
        <v>129</v>
      </c>
      <c r="D5" s="65" t="s">
        <v>172</v>
      </c>
      <c r="E5" s="34">
        <v>31.75</v>
      </c>
      <c r="F5" s="33">
        <v>122.6155649868</v>
      </c>
      <c r="G5" s="35">
        <v>17538</v>
      </c>
      <c r="H5" s="22"/>
      <c r="I5" s="36">
        <v>10.461038405611166</v>
      </c>
      <c r="J5" s="36">
        <v>2.5739927942123764</v>
      </c>
      <c r="K5" s="36">
        <v>2.8633811960457445</v>
      </c>
      <c r="L5" s="36">
        <v>11.087635998272427</v>
      </c>
      <c r="M5" s="36">
        <v>9.6127507827459269E-2</v>
      </c>
      <c r="N5" s="36">
        <v>1.4242934010216368</v>
      </c>
      <c r="O5" s="23"/>
      <c r="P5" s="36">
        <v>6.8524238621338132</v>
      </c>
      <c r="Q5" s="36">
        <v>9.351386482884541</v>
      </c>
      <c r="R5" s="23"/>
      <c r="S5" s="36">
        <v>0.5</v>
      </c>
      <c r="T5" s="36" t="s">
        <v>91</v>
      </c>
      <c r="U5" s="36">
        <v>0.77</v>
      </c>
      <c r="V5" s="16"/>
      <c r="W5" s="58"/>
    </row>
    <row r="6" spans="1:23" customFormat="1" x14ac:dyDescent="0.25">
      <c r="A6" s="32" t="s">
        <v>88</v>
      </c>
      <c r="B6" s="32" t="s">
        <v>28</v>
      </c>
      <c r="C6" s="32" t="s">
        <v>62</v>
      </c>
      <c r="D6" s="65" t="s">
        <v>172</v>
      </c>
      <c r="E6" s="34">
        <v>39.800000000000004</v>
      </c>
      <c r="F6" s="33">
        <v>312.66239045999998</v>
      </c>
      <c r="G6" s="35">
        <v>46810</v>
      </c>
      <c r="H6" s="22"/>
      <c r="I6" s="36">
        <v>10.829276624818519</v>
      </c>
      <c r="J6" s="36">
        <v>2.2782062673984971</v>
      </c>
      <c r="K6" s="36">
        <v>2.8019584209121096</v>
      </c>
      <c r="L6" s="36">
        <v>12.505935053325423</v>
      </c>
      <c r="M6" s="36">
        <v>3.2209219562126412</v>
      </c>
      <c r="N6" s="36">
        <v>3.8536286532047548</v>
      </c>
      <c r="O6" s="23"/>
      <c r="P6" s="36">
        <v>7.8139349428098415</v>
      </c>
      <c r="Q6" s="36">
        <v>8.7588500703687782</v>
      </c>
      <c r="R6" s="23"/>
      <c r="S6" s="36">
        <v>0.5</v>
      </c>
      <c r="T6" s="36">
        <v>0.74</v>
      </c>
      <c r="U6" s="36" t="s">
        <v>91</v>
      </c>
      <c r="V6" s="16"/>
      <c r="W6" s="58"/>
    </row>
    <row r="7" spans="1:23" customFormat="1" x14ac:dyDescent="0.25">
      <c r="A7" s="32" t="s">
        <v>89</v>
      </c>
      <c r="B7" s="32" t="s">
        <v>26</v>
      </c>
      <c r="C7" s="32" t="s">
        <v>107</v>
      </c>
      <c r="D7" s="65" t="s">
        <v>172</v>
      </c>
      <c r="E7" s="34">
        <v>40</v>
      </c>
      <c r="F7" s="33">
        <v>464.85853888999998</v>
      </c>
      <c r="G7" s="35">
        <v>84379</v>
      </c>
      <c r="H7" s="22"/>
      <c r="I7" s="36">
        <v>11.078570830892808</v>
      </c>
      <c r="J7" s="36">
        <v>3.5065976006565247</v>
      </c>
      <c r="K7" s="36">
        <v>3.7937276245489926</v>
      </c>
      <c r="L7" s="36">
        <v>12.068454632289537</v>
      </c>
      <c r="M7" s="36">
        <v>1.4874108391360608</v>
      </c>
      <c r="N7" s="36">
        <v>2.4916452327937266</v>
      </c>
      <c r="O7" s="23"/>
      <c r="P7" s="36">
        <v>8.0892238899219961</v>
      </c>
      <c r="Q7" s="36">
        <v>9.634772282694902</v>
      </c>
      <c r="R7" s="23"/>
      <c r="S7" s="36">
        <v>0.5</v>
      </c>
      <c r="T7" s="36" t="s">
        <v>91</v>
      </c>
      <c r="U7" s="36">
        <v>0.61429999999999996</v>
      </c>
      <c r="V7" s="16"/>
      <c r="W7" s="58"/>
    </row>
    <row r="8" spans="1:23" customFormat="1" x14ac:dyDescent="0.25">
      <c r="A8" s="32" t="s">
        <v>116</v>
      </c>
      <c r="B8" s="32" t="s">
        <v>30</v>
      </c>
      <c r="C8" s="32" t="s">
        <v>122</v>
      </c>
      <c r="D8" s="65" t="s">
        <v>172</v>
      </c>
      <c r="E8" s="34">
        <v>40</v>
      </c>
      <c r="F8" s="33">
        <v>201.44943655</v>
      </c>
      <c r="G8" s="35">
        <v>37468</v>
      </c>
      <c r="H8" s="22"/>
      <c r="I8" s="36">
        <v>9.3735584463511259</v>
      </c>
      <c r="J8" s="36">
        <v>1.3012450747174942</v>
      </c>
      <c r="K8" s="36">
        <v>1.9655412090817892</v>
      </c>
      <c r="L8" s="36">
        <v>9.3935328384820984</v>
      </c>
      <c r="M8" s="36">
        <v>2.6411387860206581</v>
      </c>
      <c r="N8" s="36">
        <v>2.7352890873885816</v>
      </c>
      <c r="O8" s="23"/>
      <c r="P8" s="36">
        <v>6.7231846204679089</v>
      </c>
      <c r="Q8" s="36">
        <v>7.0335266266271246</v>
      </c>
      <c r="R8" s="23"/>
      <c r="S8" s="36">
        <v>0.5</v>
      </c>
      <c r="T8" s="36">
        <v>0.76</v>
      </c>
      <c r="U8" s="36" t="s">
        <v>91</v>
      </c>
      <c r="V8" s="16"/>
      <c r="W8" s="58"/>
    </row>
    <row r="9" spans="1:23" customFormat="1" ht="25.5" x14ac:dyDescent="0.25">
      <c r="A9" s="32" t="s">
        <v>131</v>
      </c>
      <c r="B9" s="32" t="s">
        <v>137</v>
      </c>
      <c r="C9" s="32" t="s">
        <v>141</v>
      </c>
      <c r="D9" s="65" t="s">
        <v>173</v>
      </c>
      <c r="E9" s="34">
        <v>50</v>
      </c>
      <c r="F9" s="33">
        <v>1.6452390796</v>
      </c>
      <c r="G9" s="35">
        <v>192</v>
      </c>
      <c r="H9" s="22"/>
      <c r="I9" s="36">
        <v>11.407639979068552</v>
      </c>
      <c r="J9" s="36" t="s">
        <v>148</v>
      </c>
      <c r="K9" s="36" t="s">
        <v>148</v>
      </c>
      <c r="L9" s="36">
        <v>11.705020920502097</v>
      </c>
      <c r="M9" s="36" t="s">
        <v>148</v>
      </c>
      <c r="N9" s="36" t="s">
        <v>148</v>
      </c>
      <c r="O9" s="23"/>
      <c r="P9" s="36" t="s">
        <v>148</v>
      </c>
      <c r="Q9" s="36" t="s">
        <v>148</v>
      </c>
      <c r="R9" s="23"/>
      <c r="S9" s="36" t="s">
        <v>165</v>
      </c>
      <c r="T9" s="36" t="s">
        <v>166</v>
      </c>
      <c r="U9" s="36" t="s">
        <v>91</v>
      </c>
      <c r="V9" s="16"/>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55"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27</v>
      </c>
      <c r="B37" s="33">
        <v>8.2347769262406576</v>
      </c>
      <c r="C37" s="33">
        <v>1.1214359343409974</v>
      </c>
    </row>
    <row r="38" spans="1:3" x14ac:dyDescent="0.25">
      <c r="A38" s="32" t="s">
        <v>29</v>
      </c>
      <c r="B38" s="33">
        <v>6.8524238621338132</v>
      </c>
      <c r="C38" s="33">
        <v>2.5739927942123764</v>
      </c>
    </row>
    <row r="39" spans="1:3" x14ac:dyDescent="0.25">
      <c r="A39" s="32" t="s">
        <v>28</v>
      </c>
      <c r="B39" s="33">
        <v>7.8139349428098415</v>
      </c>
      <c r="C39" s="33">
        <v>2.2782062673984971</v>
      </c>
    </row>
    <row r="40" spans="1:3" x14ac:dyDescent="0.25">
      <c r="A40" s="32" t="s">
        <v>26</v>
      </c>
      <c r="B40" s="33">
        <v>8.0892238899219961</v>
      </c>
      <c r="C40" s="33">
        <v>3.5065976006565247</v>
      </c>
    </row>
    <row r="41" spans="1:3" x14ac:dyDescent="0.25">
      <c r="A41" s="32" t="s">
        <v>30</v>
      </c>
      <c r="B41" s="33">
        <v>6.7231846204679089</v>
      </c>
      <c r="C41" s="33">
        <v>1.3012450747174942</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27</v>
      </c>
      <c r="B67" s="33">
        <v>16.552</v>
      </c>
      <c r="C67" s="33">
        <v>1.1214359343409974</v>
      </c>
      <c r="D67" s="33">
        <v>94.292977010000001</v>
      </c>
    </row>
    <row r="68" spans="1:4" x14ac:dyDescent="0.25">
      <c r="A68" s="32" t="s">
        <v>29</v>
      </c>
      <c r="B68" s="33">
        <v>17.538</v>
      </c>
      <c r="C68" s="33">
        <v>2.5739927942123764</v>
      </c>
      <c r="D68" s="33">
        <v>122.6155649868</v>
      </c>
    </row>
    <row r="69" spans="1:4" x14ac:dyDescent="0.25">
      <c r="A69" s="32" t="s">
        <v>28</v>
      </c>
      <c r="B69" s="33">
        <v>46.81</v>
      </c>
      <c r="C69" s="33">
        <v>2.2782062673984971</v>
      </c>
      <c r="D69" s="33">
        <v>312.66239045999998</v>
      </c>
    </row>
    <row r="70" spans="1:4" x14ac:dyDescent="0.25">
      <c r="A70" s="32" t="s">
        <v>26</v>
      </c>
      <c r="B70" s="33">
        <v>84.379000000000005</v>
      </c>
      <c r="C70" s="33">
        <v>3.5065976006565247</v>
      </c>
      <c r="D70" s="33">
        <v>464.85853888999998</v>
      </c>
    </row>
    <row r="71" spans="1:4" x14ac:dyDescent="0.25">
      <c r="A71" s="32" t="s">
        <v>30</v>
      </c>
      <c r="B71" s="33">
        <v>37.468000000000004</v>
      </c>
      <c r="C71" s="33">
        <v>1.3012450747174942</v>
      </c>
      <c r="D71" s="33">
        <v>201.44943655</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1" operator="greaterThanOrEqual">
      <formula>0</formula>
    </cfRule>
    <cfRule type="cellIs" dxfId="12"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1"/>
  <sheetViews>
    <sheetView showGridLines="0" zoomScale="55" zoomScaleNormal="55" workbookViewId="0"/>
  </sheetViews>
  <sheetFormatPr defaultColWidth="8.85546875" defaultRowHeight="15.75" x14ac:dyDescent="0.25"/>
  <cols>
    <col min="1" max="1" width="41.8554687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5703125" style="16" customWidth="1"/>
    <col min="9" max="9" width="18.42578125" style="16" customWidth="1"/>
    <col min="10" max="11" width="17.5703125" style="16" customWidth="1"/>
    <col min="12" max="12" width="18" style="16" customWidth="1"/>
    <col min="13" max="14" width="19.140625" style="16" customWidth="1"/>
    <col min="15" max="15" width="1.5703125" style="16" customWidth="1"/>
    <col min="16" max="16" width="23.42578125" style="16" customWidth="1"/>
    <col min="17" max="17" width="21" style="16" customWidth="1"/>
    <col min="18" max="18" width="1.5703125" style="16" customWidth="1"/>
    <col min="19" max="19" width="8.85546875" style="16"/>
    <col min="20" max="21" width="11.42578125" style="16" customWidth="1"/>
    <col min="22" max="16384" width="8.85546875" style="16"/>
  </cols>
  <sheetData>
    <row r="1" spans="1:23"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3" ht="92.45" customHeight="1"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 customHeight="1" x14ac:dyDescent="0.25">
      <c r="A3" s="101" t="s">
        <v>63</v>
      </c>
      <c r="B3" s="101"/>
      <c r="C3" s="101"/>
      <c r="D3" s="44"/>
      <c r="E3" s="44"/>
      <c r="F3" s="45"/>
      <c r="G3" s="69" t="s">
        <v>98</v>
      </c>
      <c r="H3" s="45"/>
      <c r="I3" s="66">
        <v>7.5841998933963382</v>
      </c>
      <c r="J3" s="66">
        <v>-0.69759277147120291</v>
      </c>
      <c r="K3" s="66">
        <v>0.21179708135773795</v>
      </c>
      <c r="L3" s="66">
        <v>8.7465379976004574</v>
      </c>
      <c r="M3" s="66">
        <v>-1.4660557007106032</v>
      </c>
      <c r="N3" s="66">
        <v>-0.27756816006698254</v>
      </c>
      <c r="O3" s="45"/>
      <c r="P3" s="45"/>
      <c r="Q3" s="45"/>
      <c r="R3" s="45"/>
      <c r="S3" s="45"/>
      <c r="T3" s="45"/>
      <c r="U3" s="45"/>
    </row>
    <row r="4" spans="1:23" customFormat="1" ht="15" x14ac:dyDescent="0.25">
      <c r="A4" s="32" t="s">
        <v>36</v>
      </c>
      <c r="B4" s="32" t="s">
        <v>32</v>
      </c>
      <c r="C4" s="32" t="s">
        <v>64</v>
      </c>
      <c r="D4" s="65" t="s">
        <v>172</v>
      </c>
      <c r="E4" s="34">
        <v>10</v>
      </c>
      <c r="F4" s="33">
        <v>18.2109597</v>
      </c>
      <c r="G4" s="35">
        <v>3481</v>
      </c>
      <c r="H4" s="22"/>
      <c r="I4" s="36">
        <v>7.2257806244995892</v>
      </c>
      <c r="J4" s="36">
        <v>-1.6402821433512904</v>
      </c>
      <c r="K4" s="36">
        <v>-0.51595603726015682</v>
      </c>
      <c r="L4" s="36">
        <v>8.2497662301680421</v>
      </c>
      <c r="M4" s="36">
        <v>-1.196228311605918</v>
      </c>
      <c r="N4" s="36">
        <v>-0.16104847160085534</v>
      </c>
      <c r="O4" s="23"/>
      <c r="P4" s="36">
        <v>6.0570414458253587</v>
      </c>
      <c r="Q4" s="36">
        <v>6.4861291567779435</v>
      </c>
      <c r="R4" s="23"/>
      <c r="S4" s="36">
        <v>0.48818604330488191</v>
      </c>
      <c r="T4" s="36">
        <v>0.80371399332259774</v>
      </c>
      <c r="U4" s="36" t="s">
        <v>91</v>
      </c>
      <c r="V4" s="58"/>
      <c r="W4" s="58"/>
    </row>
    <row r="5" spans="1:23" customFormat="1" ht="15" x14ac:dyDescent="0.25">
      <c r="A5" s="32" t="s">
        <v>178</v>
      </c>
      <c r="B5" s="32" t="s">
        <v>35</v>
      </c>
      <c r="C5" s="32" t="s">
        <v>130</v>
      </c>
      <c r="D5" s="65" t="s">
        <v>172</v>
      </c>
      <c r="E5" s="34">
        <v>10</v>
      </c>
      <c r="F5" s="33">
        <v>17.730033161400002</v>
      </c>
      <c r="G5" s="35">
        <v>2807</v>
      </c>
      <c r="H5" s="22"/>
      <c r="I5" s="36">
        <v>8.9544772386193081</v>
      </c>
      <c r="J5" s="36">
        <v>-0.45496534622549989</v>
      </c>
      <c r="K5" s="36">
        <v>0.29369570982791249</v>
      </c>
      <c r="L5" s="36">
        <v>7.9763322417385929</v>
      </c>
      <c r="M5" s="36">
        <v>-2.9215469752951306</v>
      </c>
      <c r="N5" s="36">
        <v>-1.4786533447713857</v>
      </c>
      <c r="O5" s="23"/>
      <c r="P5" s="36">
        <v>4.7448110816384537</v>
      </c>
      <c r="Q5" s="36">
        <v>6.8360166690032695</v>
      </c>
      <c r="R5" s="23"/>
      <c r="S5" s="36">
        <v>0.5</v>
      </c>
      <c r="T5" s="36" t="s">
        <v>91</v>
      </c>
      <c r="U5" s="36">
        <v>0.54</v>
      </c>
      <c r="V5" s="58"/>
      <c r="W5" s="58"/>
    </row>
    <row r="6" spans="1:23" customFormat="1" ht="15" x14ac:dyDescent="0.25">
      <c r="A6" s="32" t="s">
        <v>88</v>
      </c>
      <c r="B6" s="32" t="s">
        <v>33</v>
      </c>
      <c r="C6" s="68" t="s">
        <v>65</v>
      </c>
      <c r="D6" s="65" t="s">
        <v>172</v>
      </c>
      <c r="E6" s="34">
        <v>18.5</v>
      </c>
      <c r="F6" s="33">
        <v>54.36879364</v>
      </c>
      <c r="G6" s="35">
        <v>8828</v>
      </c>
      <c r="H6" s="22"/>
      <c r="I6" s="36">
        <v>8.6177729127276272</v>
      </c>
      <c r="J6" s="36">
        <v>-0.82598756514876692</v>
      </c>
      <c r="K6" s="36">
        <v>2.5210567521449789E-2</v>
      </c>
      <c r="L6" s="36">
        <v>9.6600626693132519</v>
      </c>
      <c r="M6" s="36">
        <v>-0.17531326557739257</v>
      </c>
      <c r="N6" s="36">
        <v>0.74402022706392401</v>
      </c>
      <c r="O6" s="23"/>
      <c r="P6" s="36">
        <v>5.4452688886214613</v>
      </c>
      <c r="Q6" s="36">
        <v>6.2451351116962055</v>
      </c>
      <c r="R6" s="23"/>
      <c r="S6" s="36">
        <v>0.5</v>
      </c>
      <c r="T6" s="36">
        <v>0.69</v>
      </c>
      <c r="U6" s="36" t="s">
        <v>91</v>
      </c>
      <c r="V6" s="58"/>
      <c r="W6" s="58"/>
    </row>
    <row r="7" spans="1:23" customFormat="1" ht="15" x14ac:dyDescent="0.25">
      <c r="A7" s="32" t="s">
        <v>89</v>
      </c>
      <c r="B7" s="32" t="s">
        <v>31</v>
      </c>
      <c r="C7" s="32" t="s">
        <v>66</v>
      </c>
      <c r="D7" s="65" t="s">
        <v>172</v>
      </c>
      <c r="E7" s="34">
        <v>15</v>
      </c>
      <c r="F7" s="33">
        <v>78.935728609999998</v>
      </c>
      <c r="G7" s="35">
        <v>13007</v>
      </c>
      <c r="H7" s="22"/>
      <c r="I7" s="36">
        <v>7.4183392365210654</v>
      </c>
      <c r="J7" s="36">
        <v>-0.63601913547957079</v>
      </c>
      <c r="K7" s="36">
        <v>0.40945118882176335</v>
      </c>
      <c r="L7" s="36">
        <v>9.7381313810271699</v>
      </c>
      <c r="M7" s="36">
        <v>-3.1465843449361652</v>
      </c>
      <c r="N7" s="36">
        <v>-1.3510568211746787</v>
      </c>
      <c r="O7" s="23"/>
      <c r="P7" s="36">
        <v>5.1523394735164461</v>
      </c>
      <c r="Q7" s="36">
        <v>7.5354861456205624</v>
      </c>
      <c r="R7" s="23"/>
      <c r="S7" s="36">
        <v>0.5</v>
      </c>
      <c r="T7" s="36" t="s">
        <v>91</v>
      </c>
      <c r="U7" s="36">
        <v>0.52490000000000003</v>
      </c>
      <c r="V7" s="58"/>
      <c r="W7" s="58"/>
    </row>
    <row r="8" spans="1:23" customFormat="1" ht="15" x14ac:dyDescent="0.25">
      <c r="A8" s="32" t="s">
        <v>116</v>
      </c>
      <c r="B8" s="32" t="s">
        <v>34</v>
      </c>
      <c r="C8" s="32" t="s">
        <v>123</v>
      </c>
      <c r="D8" s="65" t="s">
        <v>172</v>
      </c>
      <c r="E8" s="34">
        <v>15</v>
      </c>
      <c r="F8" s="33">
        <v>42.27616896</v>
      </c>
      <c r="G8" s="35">
        <v>7841</v>
      </c>
      <c r="H8" s="22"/>
      <c r="I8" s="36">
        <v>6.1493123772102143</v>
      </c>
      <c r="J8" s="36">
        <v>-0.34311892826716095</v>
      </c>
      <c r="K8" s="36">
        <v>0.36184686480411621</v>
      </c>
      <c r="L8" s="36">
        <v>6.2572652246281946</v>
      </c>
      <c r="M8" s="36">
        <v>0.50597106496494959</v>
      </c>
      <c r="N8" s="36">
        <v>0.86651436698257367</v>
      </c>
      <c r="O8" s="23"/>
      <c r="P8" s="36">
        <v>4.0593125513414794</v>
      </c>
      <c r="Q8" s="36">
        <v>3.8886552487141546</v>
      </c>
      <c r="R8" s="23"/>
      <c r="S8" s="36">
        <v>0.5</v>
      </c>
      <c r="T8" s="36">
        <v>0.63</v>
      </c>
      <c r="U8" s="36" t="s">
        <v>91</v>
      </c>
      <c r="V8" s="58"/>
      <c r="W8" s="58"/>
    </row>
    <row r="9" spans="1:23" customFormat="1" ht="25.5" x14ac:dyDescent="0.25">
      <c r="A9" s="32" t="s">
        <v>131</v>
      </c>
      <c r="B9" s="32" t="s">
        <v>138</v>
      </c>
      <c r="C9" s="32" t="s">
        <v>140</v>
      </c>
      <c r="D9" s="65" t="s">
        <v>173</v>
      </c>
      <c r="E9" s="34">
        <v>0</v>
      </c>
      <c r="F9" s="33">
        <v>6.3249332300000002E-2</v>
      </c>
      <c r="G9" s="35">
        <v>10</v>
      </c>
      <c r="H9" s="22"/>
      <c r="I9" s="36">
        <v>4.293362965956149</v>
      </c>
      <c r="J9" s="36" t="s">
        <v>148</v>
      </c>
      <c r="K9" s="36" t="s">
        <v>148</v>
      </c>
      <c r="L9" s="36">
        <v>5.4424511187260771</v>
      </c>
      <c r="M9" s="36" t="s">
        <v>148</v>
      </c>
      <c r="N9" s="36" t="s">
        <v>148</v>
      </c>
      <c r="O9" s="23"/>
      <c r="P9" s="36" t="s">
        <v>148</v>
      </c>
      <c r="Q9" s="36" t="s">
        <v>148</v>
      </c>
      <c r="R9" s="23"/>
      <c r="S9" s="36" t="s">
        <v>167</v>
      </c>
      <c r="T9" s="36" t="s">
        <v>168</v>
      </c>
      <c r="U9" s="36" t="s">
        <v>91</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93</v>
      </c>
      <c r="B12" s="53"/>
      <c r="C12" s="53"/>
    </row>
    <row r="13" spans="1:23" s="55" customFormat="1" ht="12.75" x14ac:dyDescent="0.2">
      <c r="A13" s="53" t="s">
        <v>95</v>
      </c>
      <c r="B13" s="53"/>
      <c r="C13" s="53"/>
    </row>
    <row r="14" spans="1:23" s="55" customFormat="1" ht="12.75" x14ac:dyDescent="0.2">
      <c r="A14" s="53" t="s">
        <v>96</v>
      </c>
      <c r="B14" s="53"/>
      <c r="C14" s="53"/>
    </row>
    <row r="15" spans="1:23" s="55" customFormat="1" ht="12.75" x14ac:dyDescent="0.2">
      <c r="A15" s="53" t="s">
        <v>174</v>
      </c>
      <c r="B15" s="54"/>
      <c r="C15" s="54"/>
    </row>
    <row r="16" spans="1:23" s="55" customFormat="1" ht="12.75" x14ac:dyDescent="0.2">
      <c r="A16" s="56" t="s">
        <v>115</v>
      </c>
      <c r="B16" s="54"/>
      <c r="C16" s="54"/>
    </row>
    <row r="17" spans="1:5" s="55" customFormat="1" ht="12.75" x14ac:dyDescent="0.2">
      <c r="A17" s="56" t="s">
        <v>101</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s="55" customFormat="1" ht="12.75" x14ac:dyDescent="0.2">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32</v>
      </c>
      <c r="B37" s="33">
        <v>6.0570414458253587</v>
      </c>
      <c r="C37" s="33">
        <v>-1.6402821433512904</v>
      </c>
    </row>
    <row r="38" spans="1:3" x14ac:dyDescent="0.25">
      <c r="A38" s="32" t="s">
        <v>35</v>
      </c>
      <c r="B38" s="33">
        <v>4.7448110816384537</v>
      </c>
      <c r="C38" s="33">
        <v>-0.45496534622549989</v>
      </c>
    </row>
    <row r="39" spans="1:3" x14ac:dyDescent="0.25">
      <c r="A39" s="32" t="s">
        <v>33</v>
      </c>
      <c r="B39" s="33">
        <v>5.4452688886214613</v>
      </c>
      <c r="C39" s="33">
        <v>-0.82598756514876692</v>
      </c>
    </row>
    <row r="40" spans="1:3" x14ac:dyDescent="0.25">
      <c r="A40" s="32" t="s">
        <v>31</v>
      </c>
      <c r="B40" s="33">
        <v>5.1523394735164461</v>
      </c>
      <c r="C40" s="33">
        <v>-0.63601913547957079</v>
      </c>
    </row>
    <row r="41" spans="1:3" x14ac:dyDescent="0.25">
      <c r="A41" s="32" t="s">
        <v>34</v>
      </c>
      <c r="B41" s="33">
        <v>4.0593125513414794</v>
      </c>
      <c r="C41" s="33">
        <v>-0.34311892826716095</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32</v>
      </c>
      <c r="B67" s="33">
        <v>3.4809999999999999</v>
      </c>
      <c r="C67" s="33">
        <v>-1.6402821433512904</v>
      </c>
      <c r="D67" s="33">
        <v>18.2109597</v>
      </c>
    </row>
    <row r="68" spans="1:4" x14ac:dyDescent="0.25">
      <c r="A68" s="32" t="s">
        <v>35</v>
      </c>
      <c r="B68" s="33">
        <v>2.8069999999999999</v>
      </c>
      <c r="C68" s="33">
        <v>-0.45496534622549989</v>
      </c>
      <c r="D68" s="33">
        <v>17.730033161400002</v>
      </c>
    </row>
    <row r="69" spans="1:4" x14ac:dyDescent="0.25">
      <c r="A69" s="32" t="s">
        <v>33</v>
      </c>
      <c r="B69" s="33">
        <v>8.8279999999999994</v>
      </c>
      <c r="C69" s="33">
        <v>-0.82598756514876692</v>
      </c>
      <c r="D69" s="33">
        <v>54.36879364</v>
      </c>
    </row>
    <row r="70" spans="1:4" x14ac:dyDescent="0.25">
      <c r="A70" s="32" t="s">
        <v>31</v>
      </c>
      <c r="B70" s="33">
        <v>13.007</v>
      </c>
      <c r="C70" s="33">
        <v>-0.63601913547957079</v>
      </c>
      <c r="D70" s="33">
        <v>78.935728609999998</v>
      </c>
    </row>
    <row r="71" spans="1:4" x14ac:dyDescent="0.25">
      <c r="A71" s="32" t="s">
        <v>34</v>
      </c>
      <c r="B71" s="33">
        <v>7.8410000000000002</v>
      </c>
      <c r="C71" s="33">
        <v>-0.34311892826716095</v>
      </c>
      <c r="D71" s="33">
        <v>42.27616896</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1" operator="greaterThanOrEqual">
      <formula>0</formula>
    </cfRule>
    <cfRule type="cellIs" dxfId="6"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1"/>
  <sheetViews>
    <sheetView showGridLines="0" zoomScale="70" zoomScaleNormal="70" workbookViewId="0"/>
  </sheetViews>
  <sheetFormatPr defaultColWidth="8.85546875" defaultRowHeight="15.75" x14ac:dyDescent="0.25"/>
  <cols>
    <col min="1" max="1" width="43.5703125" style="16" customWidth="1"/>
    <col min="2" max="2" width="14.85546875" style="16" bestFit="1" customWidth="1"/>
    <col min="3" max="3" width="50" style="16" customWidth="1"/>
    <col min="4" max="4" width="16" style="16" customWidth="1"/>
    <col min="5" max="5" width="16.140625" style="16" bestFit="1" customWidth="1"/>
    <col min="6" max="6" width="19.42578125" style="16" customWidth="1"/>
    <col min="7" max="7" width="12.42578125" style="16" customWidth="1"/>
    <col min="8" max="8" width="3.42578125" style="16" customWidth="1"/>
    <col min="9" max="9" width="17.5703125" style="16" customWidth="1"/>
    <col min="10" max="10" width="18.140625" style="16" customWidth="1"/>
    <col min="11" max="11" width="17.85546875" style="16" customWidth="1"/>
    <col min="12" max="12" width="15" style="16" customWidth="1"/>
    <col min="13" max="13" width="18.140625" style="16" customWidth="1"/>
    <col min="14" max="14" width="18.5703125" style="16" customWidth="1"/>
    <col min="15" max="15" width="3.42578125" style="16" customWidth="1"/>
    <col min="16" max="16" width="17.5703125" style="16" customWidth="1"/>
    <col min="17" max="17" width="17.140625" style="16" customWidth="1"/>
    <col min="18" max="18" width="3.42578125" style="16" customWidth="1"/>
    <col min="19" max="19" width="11" style="16" customWidth="1"/>
    <col min="20" max="20" width="11.140625" style="16" customWidth="1"/>
    <col min="21" max="21" width="12.42578125" style="16" customWidth="1"/>
    <col min="22" max="16384" width="8.85546875" style="16"/>
  </cols>
  <sheetData>
    <row r="1" spans="1:21" ht="22.35" customHeight="1" x14ac:dyDescent="0.25">
      <c r="A1" s="25">
        <v>45291</v>
      </c>
      <c r="B1" s="26"/>
      <c r="C1" s="86" t="s">
        <v>76</v>
      </c>
      <c r="D1" s="105" t="s">
        <v>90</v>
      </c>
      <c r="E1" s="31" t="s">
        <v>75</v>
      </c>
      <c r="F1" s="105" t="s">
        <v>100</v>
      </c>
      <c r="G1" s="105" t="s">
        <v>71</v>
      </c>
      <c r="H1" s="28"/>
      <c r="I1" s="103" t="s">
        <v>72</v>
      </c>
      <c r="J1" s="109">
        <v>0</v>
      </c>
      <c r="K1" s="109"/>
      <c r="L1" s="109">
        <v>0</v>
      </c>
      <c r="M1" s="109">
        <v>0</v>
      </c>
      <c r="N1" s="88"/>
      <c r="O1" s="29"/>
      <c r="P1" s="107" t="s">
        <v>97</v>
      </c>
      <c r="Q1" s="108">
        <v>0</v>
      </c>
      <c r="R1" s="29"/>
      <c r="S1" s="103" t="s">
        <v>162</v>
      </c>
      <c r="T1" s="109">
        <v>0</v>
      </c>
      <c r="U1" s="109">
        <v>0</v>
      </c>
    </row>
    <row r="2" spans="1:21" ht="92.45" customHeight="1" x14ac:dyDescent="0.25">
      <c r="A2" s="24" t="s">
        <v>42</v>
      </c>
      <c r="B2" s="24" t="s">
        <v>43</v>
      </c>
      <c r="C2" s="24" t="s">
        <v>44</v>
      </c>
      <c r="D2" s="106">
        <v>0</v>
      </c>
      <c r="E2" s="24" t="s">
        <v>99</v>
      </c>
      <c r="F2" s="106">
        <v>0</v>
      </c>
      <c r="G2" s="106">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1" ht="29.1" customHeight="1" x14ac:dyDescent="0.25">
      <c r="A3" s="101" t="s">
        <v>67</v>
      </c>
      <c r="B3" s="101"/>
      <c r="C3" s="101"/>
      <c r="D3" s="44"/>
      <c r="E3" s="44"/>
      <c r="F3" s="45"/>
      <c r="G3" s="69" t="s">
        <v>98</v>
      </c>
      <c r="H3" s="45"/>
      <c r="I3" s="66">
        <v>7.4431092469393674</v>
      </c>
      <c r="J3" s="66">
        <v>-0.68553641457163095</v>
      </c>
      <c r="K3" s="66">
        <v>0.19396306778681141</v>
      </c>
      <c r="L3" s="66">
        <v>8.1458002847043449</v>
      </c>
      <c r="M3" s="66">
        <v>-1.5939123628966656</v>
      </c>
      <c r="N3" s="66">
        <v>-0.38966193061604348</v>
      </c>
      <c r="O3" s="45"/>
      <c r="P3" s="45"/>
      <c r="Q3" s="45"/>
      <c r="R3" s="45"/>
      <c r="S3" s="45"/>
      <c r="T3" s="45"/>
      <c r="U3" s="45"/>
    </row>
    <row r="4" spans="1:21" customFormat="1" ht="15" x14ac:dyDescent="0.25">
      <c r="A4" s="32" t="s">
        <v>36</v>
      </c>
      <c r="B4" s="32" t="s">
        <v>40</v>
      </c>
      <c r="C4" s="32" t="s">
        <v>110</v>
      </c>
      <c r="D4" s="65" t="s">
        <v>172</v>
      </c>
      <c r="E4" s="34">
        <v>10</v>
      </c>
      <c r="F4" s="33">
        <v>8.3438626799999991</v>
      </c>
      <c r="G4" s="35">
        <v>2352</v>
      </c>
      <c r="H4" s="22"/>
      <c r="I4" s="36">
        <v>5.7624023536573032</v>
      </c>
      <c r="J4" s="36">
        <v>-1.1985051132855196</v>
      </c>
      <c r="K4" s="36">
        <v>-0.5883650690865827</v>
      </c>
      <c r="L4" s="36">
        <v>6.8123325438586901</v>
      </c>
      <c r="M4" s="36">
        <v>-0.42919102200126291</v>
      </c>
      <c r="N4" s="36">
        <v>3.8610325205667984E-2</v>
      </c>
      <c r="O4" s="23"/>
      <c r="P4" s="36">
        <v>4.3780947094682885</v>
      </c>
      <c r="Q4" s="36">
        <v>4.4613949622298081</v>
      </c>
      <c r="R4" s="23"/>
      <c r="S4" s="36">
        <v>0.18907141117050497</v>
      </c>
      <c r="T4" s="36">
        <v>0.41790557486229907</v>
      </c>
      <c r="U4" s="36" t="s">
        <v>91</v>
      </c>
    </row>
    <row r="5" spans="1:21" customFormat="1" ht="15" x14ac:dyDescent="0.25">
      <c r="A5" s="32" t="s">
        <v>178</v>
      </c>
      <c r="B5" s="32" t="s">
        <v>38</v>
      </c>
      <c r="C5" s="32" t="s">
        <v>68</v>
      </c>
      <c r="D5" s="65" t="s">
        <v>172</v>
      </c>
      <c r="E5" s="34">
        <v>17</v>
      </c>
      <c r="F5" s="33">
        <v>10.1510933248</v>
      </c>
      <c r="G5" s="35">
        <v>1963</v>
      </c>
      <c r="H5" s="22"/>
      <c r="I5" s="36">
        <v>6.699252443933279</v>
      </c>
      <c r="J5" s="36">
        <v>-2.3941344622890881E-2</v>
      </c>
      <c r="K5" s="36">
        <v>0.88842523821721642</v>
      </c>
      <c r="L5" s="36">
        <v>5.5359397978449465</v>
      </c>
      <c r="M5" s="36">
        <v>-0.73321502950410844</v>
      </c>
      <c r="N5" s="36">
        <v>0.30770576342158407</v>
      </c>
      <c r="O5" s="23"/>
      <c r="P5" s="36">
        <v>4.2573723770128673</v>
      </c>
      <c r="Q5" s="36">
        <v>4.6388232852096696</v>
      </c>
      <c r="R5" s="23"/>
      <c r="S5" s="36">
        <v>0.2</v>
      </c>
      <c r="T5" s="36" t="s">
        <v>91</v>
      </c>
      <c r="U5" s="36">
        <v>0.28999999999999998</v>
      </c>
    </row>
    <row r="6" spans="1:21" customFormat="1" ht="15" x14ac:dyDescent="0.25">
      <c r="A6" s="32" t="s">
        <v>88</v>
      </c>
      <c r="B6" s="32" t="s">
        <v>37</v>
      </c>
      <c r="C6" s="32" t="s">
        <v>69</v>
      </c>
      <c r="D6" s="65" t="s">
        <v>172</v>
      </c>
      <c r="E6" s="34">
        <v>15</v>
      </c>
      <c r="F6" s="33">
        <v>39.845487749999997</v>
      </c>
      <c r="G6" s="35">
        <v>5721</v>
      </c>
      <c r="H6" s="22"/>
      <c r="I6" s="36">
        <v>7.9408212560386549</v>
      </c>
      <c r="J6" s="36">
        <v>-0.67153161651762883</v>
      </c>
      <c r="K6" s="36">
        <v>0.21089748060254543</v>
      </c>
      <c r="L6" s="36">
        <v>8.5246362706524756</v>
      </c>
      <c r="M6" s="36">
        <v>-0.88050507841715975</v>
      </c>
      <c r="N6" s="36">
        <v>0.11157160832617752</v>
      </c>
      <c r="O6" s="23"/>
      <c r="P6" s="36">
        <v>4.7029400440582156</v>
      </c>
      <c r="Q6" s="36">
        <v>5.7138883668585185</v>
      </c>
      <c r="R6" s="23"/>
      <c r="S6" s="36">
        <v>0.2</v>
      </c>
      <c r="T6" s="36">
        <v>0.33</v>
      </c>
      <c r="U6" s="36" t="s">
        <v>91</v>
      </c>
    </row>
    <row r="7" spans="1:21" customFormat="1" ht="15" x14ac:dyDescent="0.25">
      <c r="A7" s="32" t="s">
        <v>89</v>
      </c>
      <c r="B7" s="32" t="s">
        <v>39</v>
      </c>
      <c r="C7" s="32" t="s">
        <v>70</v>
      </c>
      <c r="D7" s="65" t="s">
        <v>172</v>
      </c>
      <c r="E7" s="34">
        <v>15</v>
      </c>
      <c r="F7" s="33">
        <v>49.559813220000002</v>
      </c>
      <c r="G7" s="35">
        <v>6825</v>
      </c>
      <c r="H7" s="22"/>
      <c r="I7" s="36">
        <v>8.5625376430435551</v>
      </c>
      <c r="J7" s="36">
        <v>-0.1260492620153153</v>
      </c>
      <c r="K7" s="36">
        <v>0.59592080125727698</v>
      </c>
      <c r="L7" s="36">
        <v>9.7382069911485569</v>
      </c>
      <c r="M7" s="36">
        <v>-3.1465686608452836</v>
      </c>
      <c r="N7" s="36">
        <v>-1.4738742843635522</v>
      </c>
      <c r="O7" s="23"/>
      <c r="P7" s="36">
        <v>5.0269137416582552</v>
      </c>
      <c r="Q7" s="36">
        <v>7.4134518470924586</v>
      </c>
      <c r="R7" s="23"/>
      <c r="S7" s="36">
        <v>0.2</v>
      </c>
      <c r="T7" s="36" t="s">
        <v>91</v>
      </c>
      <c r="U7" s="36">
        <v>0.2271</v>
      </c>
    </row>
    <row r="8" spans="1:21" customFormat="1" ht="15" x14ac:dyDescent="0.25">
      <c r="A8" s="32" t="s">
        <v>116</v>
      </c>
      <c r="B8" s="32" t="s">
        <v>41</v>
      </c>
      <c r="C8" s="68" t="s">
        <v>149</v>
      </c>
      <c r="D8" s="65" t="s">
        <v>172</v>
      </c>
      <c r="E8" s="34">
        <v>10</v>
      </c>
      <c r="F8" s="33">
        <v>22.36433809</v>
      </c>
      <c r="G8" s="35">
        <v>5856</v>
      </c>
      <c r="H8" s="22"/>
      <c r="I8" s="36">
        <v>5.0842203162136945</v>
      </c>
      <c r="J8" s="36">
        <v>-2.0592358991000759</v>
      </c>
      <c r="K8" s="36">
        <v>-0.75029120901588531</v>
      </c>
      <c r="L8" s="36">
        <v>5.6241484357914207</v>
      </c>
      <c r="M8" s="36">
        <v>-0.24945043868819239</v>
      </c>
      <c r="N8" s="36">
        <v>0.64363390750035165</v>
      </c>
      <c r="O8" s="23"/>
      <c r="P8" s="36">
        <v>3.7616719126581288</v>
      </c>
      <c r="Q8" s="36">
        <v>3.281112778421674</v>
      </c>
      <c r="R8" s="23"/>
      <c r="S8" s="36">
        <v>0.2</v>
      </c>
      <c r="T8" s="36">
        <v>0.33</v>
      </c>
      <c r="U8" s="36" t="s">
        <v>91</v>
      </c>
    </row>
    <row r="9" spans="1:21" customFormat="1" ht="15" x14ac:dyDescent="0.25">
      <c r="A9" s="32" t="s">
        <v>131</v>
      </c>
      <c r="B9" s="32" t="s">
        <v>139</v>
      </c>
      <c r="C9" s="68" t="s">
        <v>147</v>
      </c>
      <c r="D9" s="65" t="s">
        <v>173</v>
      </c>
      <c r="E9" s="34">
        <v>0</v>
      </c>
      <c r="F9" s="33">
        <v>0.29916674409999999</v>
      </c>
      <c r="G9" s="35">
        <v>22</v>
      </c>
      <c r="H9" s="22"/>
      <c r="I9" s="36">
        <v>4.1649939783219736</v>
      </c>
      <c r="J9" s="36" t="s">
        <v>148</v>
      </c>
      <c r="K9" s="36" t="s">
        <v>148</v>
      </c>
      <c r="L9" s="36">
        <v>5.0258384841422643</v>
      </c>
      <c r="M9" s="36" t="s">
        <v>148</v>
      </c>
      <c r="N9" s="36" t="s">
        <v>148</v>
      </c>
      <c r="O9" s="23"/>
      <c r="P9" s="36" t="s">
        <v>148</v>
      </c>
      <c r="Q9" s="36" t="s">
        <v>148</v>
      </c>
      <c r="R9" s="23"/>
      <c r="S9" s="36" t="s">
        <v>169</v>
      </c>
      <c r="T9" s="36" t="s">
        <v>170</v>
      </c>
      <c r="U9" s="36" t="s">
        <v>91</v>
      </c>
    </row>
    <row r="10" spans="1:21" x14ac:dyDescent="0.25">
      <c r="A10" s="17"/>
      <c r="B10" s="17"/>
      <c r="C10" s="17"/>
      <c r="D10" s="17"/>
      <c r="E10" s="17"/>
      <c r="F10" s="17"/>
      <c r="G10" s="17"/>
      <c r="H10" s="17"/>
      <c r="I10" s="17"/>
      <c r="J10" s="17"/>
      <c r="K10" s="17"/>
      <c r="L10" s="17"/>
      <c r="M10" s="17"/>
      <c r="N10" s="17"/>
      <c r="O10" s="17"/>
      <c r="P10" s="17"/>
      <c r="Q10" s="17"/>
      <c r="R10" s="17"/>
    </row>
    <row r="11" spans="1:21" s="55" customFormat="1" ht="12.75" x14ac:dyDescent="0.2">
      <c r="A11" s="53" t="s">
        <v>175</v>
      </c>
      <c r="B11" s="49"/>
      <c r="C11" s="49"/>
      <c r="D11" s="54"/>
      <c r="E11" s="54"/>
      <c r="F11" s="54"/>
      <c r="G11" s="54"/>
      <c r="H11" s="54"/>
      <c r="I11" s="54"/>
      <c r="J11" s="54"/>
      <c r="K11" s="54"/>
      <c r="L11" s="54"/>
      <c r="M11" s="54"/>
      <c r="N11" s="54"/>
      <c r="O11" s="54"/>
    </row>
    <row r="12" spans="1:21" s="55" customFormat="1" ht="12.75" x14ac:dyDescent="0.2">
      <c r="A12" s="49" t="s">
        <v>93</v>
      </c>
      <c r="B12" s="53"/>
      <c r="C12" s="53"/>
    </row>
    <row r="13" spans="1:21" s="55" customFormat="1" ht="12.75" x14ac:dyDescent="0.2">
      <c r="A13" s="53" t="s">
        <v>95</v>
      </c>
      <c r="B13" s="53"/>
      <c r="C13" s="53"/>
    </row>
    <row r="14" spans="1:21" s="55" customFormat="1" ht="12.75" x14ac:dyDescent="0.2">
      <c r="A14" s="53" t="s">
        <v>96</v>
      </c>
      <c r="B14" s="53"/>
      <c r="C14" s="53"/>
    </row>
    <row r="15" spans="1:21" s="55" customFormat="1" ht="12.75" x14ac:dyDescent="0.2">
      <c r="A15" s="53" t="s">
        <v>174</v>
      </c>
      <c r="B15" s="54"/>
      <c r="C15" s="54"/>
    </row>
    <row r="16" spans="1:21" s="55" customFormat="1" ht="12.75" x14ac:dyDescent="0.2">
      <c r="A16" s="56" t="s">
        <v>115</v>
      </c>
      <c r="B16" s="54"/>
      <c r="C16" s="54"/>
    </row>
    <row r="17" spans="1:5" s="55" customFormat="1" ht="12.75" x14ac:dyDescent="0.2">
      <c r="A17" s="56" t="s">
        <v>101</v>
      </c>
    </row>
    <row r="18" spans="1:5" s="55" customFormat="1" ht="12.75" x14ac:dyDescent="0.2">
      <c r="A18" s="56" t="s">
        <v>176</v>
      </c>
    </row>
    <row r="19" spans="1:5" x14ac:dyDescent="0.25">
      <c r="A19" s="56" t="s">
        <v>153</v>
      </c>
    </row>
    <row r="20" spans="1:5" x14ac:dyDescent="0.25">
      <c r="A20" s="56" t="s">
        <v>154</v>
      </c>
    </row>
    <row r="21" spans="1:5" x14ac:dyDescent="0.25">
      <c r="A21" s="56" t="s">
        <v>157</v>
      </c>
    </row>
    <row r="22" spans="1:5" x14ac:dyDescent="0.25">
      <c r="A22" s="56" t="s">
        <v>156</v>
      </c>
    </row>
    <row r="23" spans="1:5" x14ac:dyDescent="0.25">
      <c r="A23" s="56" t="s">
        <v>171</v>
      </c>
    </row>
    <row r="24" spans="1:5" x14ac:dyDescent="0.25">
      <c r="A24" s="94" t="s">
        <v>179</v>
      </c>
    </row>
    <row r="25" spans="1:5" x14ac:dyDescent="0.25">
      <c r="A25" s="56"/>
    </row>
    <row r="26" spans="1:5" x14ac:dyDescent="0.25">
      <c r="A26" s="37" t="s">
        <v>113</v>
      </c>
      <c r="B26" s="37"/>
      <c r="C26" s="37"/>
      <c r="D26" s="37"/>
      <c r="E26" s="37"/>
    </row>
    <row r="27" spans="1:5" s="55" customFormat="1" ht="12.75" x14ac:dyDescent="0.2">
      <c r="A27" s="53" t="s">
        <v>83</v>
      </c>
      <c r="B27" s="54"/>
      <c r="C27" s="54"/>
    </row>
    <row r="28" spans="1:5" s="55" customFormat="1" ht="12.75" x14ac:dyDescent="0.2">
      <c r="A28" s="53" t="s">
        <v>84</v>
      </c>
      <c r="B28" s="54"/>
      <c r="C28" s="54"/>
    </row>
    <row r="29" spans="1:5" x14ac:dyDescent="0.25">
      <c r="A29" s="18"/>
      <c r="B29" s="18"/>
      <c r="C29" s="18"/>
    </row>
    <row r="36" spans="1:3" x14ac:dyDescent="0.25">
      <c r="A36" s="37" t="s">
        <v>0</v>
      </c>
      <c r="B36" s="37" t="s">
        <v>73</v>
      </c>
      <c r="C36" s="37" t="s">
        <v>72</v>
      </c>
    </row>
    <row r="37" spans="1:3" x14ac:dyDescent="0.25">
      <c r="A37" s="32" t="s">
        <v>40</v>
      </c>
      <c r="B37" s="33">
        <v>4.3780947094682885</v>
      </c>
      <c r="C37" s="33">
        <v>-1.1985051132855196</v>
      </c>
    </row>
    <row r="38" spans="1:3" x14ac:dyDescent="0.25">
      <c r="A38" s="32" t="s">
        <v>38</v>
      </c>
      <c r="B38" s="33">
        <v>4.2573723770128673</v>
      </c>
      <c r="C38" s="33">
        <v>-2.3941344622890881E-2</v>
      </c>
    </row>
    <row r="39" spans="1:3" x14ac:dyDescent="0.25">
      <c r="A39" s="32" t="s">
        <v>37</v>
      </c>
      <c r="B39" s="33">
        <v>4.7029400440582156</v>
      </c>
      <c r="C39" s="33">
        <v>-0.67153161651762883</v>
      </c>
    </row>
    <row r="40" spans="1:3" x14ac:dyDescent="0.25">
      <c r="A40" s="32" t="s">
        <v>39</v>
      </c>
      <c r="B40" s="33">
        <v>5.0269137416582552</v>
      </c>
      <c r="C40" s="33">
        <v>-0.1260492620153153</v>
      </c>
    </row>
    <row r="41" spans="1:3" x14ac:dyDescent="0.25">
      <c r="A41" s="32" t="s">
        <v>41</v>
      </c>
      <c r="B41" s="33">
        <v>3.7616719126581288</v>
      </c>
      <c r="C41" s="33">
        <v>-2.0592358991000759</v>
      </c>
    </row>
    <row r="58" spans="1:5" x14ac:dyDescent="0.25">
      <c r="A58" s="37" t="s">
        <v>114</v>
      </c>
      <c r="B58" s="37"/>
      <c r="C58" s="37"/>
      <c r="D58" s="37"/>
      <c r="E58" s="37"/>
    </row>
    <row r="59" spans="1:5" s="55" customFormat="1" ht="12.75" x14ac:dyDescent="0.2">
      <c r="A59" s="53" t="s">
        <v>85</v>
      </c>
      <c r="B59" s="54"/>
      <c r="C59" s="54"/>
    </row>
    <row r="60" spans="1:5" s="55" customFormat="1" ht="12.75" x14ac:dyDescent="0.2">
      <c r="A60" s="53" t="s">
        <v>86</v>
      </c>
      <c r="B60" s="54"/>
      <c r="C60" s="54"/>
    </row>
    <row r="61" spans="1:5" s="55" customFormat="1" ht="12.75" x14ac:dyDescent="0.2">
      <c r="A61" s="53" t="s">
        <v>87</v>
      </c>
      <c r="B61" s="54"/>
      <c r="C61" s="54"/>
    </row>
    <row r="66" spans="1:4" x14ac:dyDescent="0.25">
      <c r="A66" s="37" t="s">
        <v>0</v>
      </c>
      <c r="B66" s="37" t="s">
        <v>77</v>
      </c>
      <c r="C66" s="37" t="s">
        <v>78</v>
      </c>
      <c r="D66" s="37" t="s">
        <v>79</v>
      </c>
    </row>
    <row r="67" spans="1:4" x14ac:dyDescent="0.25">
      <c r="A67" s="32" t="s">
        <v>40</v>
      </c>
      <c r="B67" s="33">
        <v>2.3519999999999999</v>
      </c>
      <c r="C67" s="33">
        <v>-1.1985051132855196</v>
      </c>
      <c r="D67" s="33">
        <v>8.3438626799999991</v>
      </c>
    </row>
    <row r="68" spans="1:4" x14ac:dyDescent="0.25">
      <c r="A68" s="32" t="s">
        <v>38</v>
      </c>
      <c r="B68" s="33">
        <v>1.9630000000000001</v>
      </c>
      <c r="C68" s="33">
        <v>-2.3941344622890881E-2</v>
      </c>
      <c r="D68" s="33">
        <v>10.1510933248</v>
      </c>
    </row>
    <row r="69" spans="1:4" x14ac:dyDescent="0.25">
      <c r="A69" s="32" t="s">
        <v>37</v>
      </c>
      <c r="B69" s="33">
        <v>5.7210000000000001</v>
      </c>
      <c r="C69" s="33">
        <v>-0.67153161651762883</v>
      </c>
      <c r="D69" s="33">
        <v>39.845487749999997</v>
      </c>
    </row>
    <row r="70" spans="1:4" x14ac:dyDescent="0.25">
      <c r="A70" s="32" t="s">
        <v>39</v>
      </c>
      <c r="B70" s="33">
        <v>6.8250000000000002</v>
      </c>
      <c r="C70" s="33">
        <v>-0.1260492620153153</v>
      </c>
      <c r="D70" s="33">
        <v>49.559813220000002</v>
      </c>
    </row>
    <row r="71" spans="1:4" x14ac:dyDescent="0.25">
      <c r="A71" s="32" t="s">
        <v>41</v>
      </c>
      <c r="B71" s="33">
        <v>5.8559999999999999</v>
      </c>
      <c r="C71" s="33">
        <v>-2.0592358991000759</v>
      </c>
      <c r="D71" s="33">
        <v>22.36433809</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9"/>
  <sheetViews>
    <sheetView showGridLines="0" zoomScale="70" zoomScaleNormal="70" workbookViewId="0">
      <selection activeCell="H2" sqref="H2"/>
    </sheetView>
  </sheetViews>
  <sheetFormatPr defaultColWidth="8.85546875" defaultRowHeight="14.25" x14ac:dyDescent="0.2"/>
  <cols>
    <col min="1" max="1" width="12.5703125" style="4" customWidth="1"/>
    <col min="2" max="2" width="15.85546875" style="4" customWidth="1"/>
    <col min="3" max="3" width="15.5703125" style="4" customWidth="1"/>
    <col min="4" max="4" width="15.42578125" style="4" customWidth="1"/>
    <col min="5" max="5" width="14.140625" style="4" customWidth="1"/>
    <col min="6" max="7" width="18.42578125" style="4" customWidth="1"/>
    <col min="8" max="16384" width="8.85546875" style="2"/>
  </cols>
  <sheetData>
    <row r="1" spans="1:15" ht="13.7" customHeight="1" x14ac:dyDescent="0.2">
      <c r="A1" s="105" t="s">
        <v>74</v>
      </c>
      <c r="B1" s="103" t="s">
        <v>80</v>
      </c>
      <c r="C1" s="109"/>
      <c r="D1" s="109"/>
      <c r="E1" s="109"/>
      <c r="F1" s="109"/>
      <c r="G1" s="109"/>
      <c r="O1" s="19"/>
    </row>
    <row r="2" spans="1:15" ht="59.1" customHeight="1" x14ac:dyDescent="0.2">
      <c r="A2" s="106" t="s">
        <v>74</v>
      </c>
      <c r="B2" s="24" t="s">
        <v>88</v>
      </c>
      <c r="C2" s="24" t="s">
        <v>177</v>
      </c>
      <c r="D2" s="24" t="s">
        <v>89</v>
      </c>
      <c r="E2" s="24" t="s">
        <v>36</v>
      </c>
      <c r="F2" s="24" t="s">
        <v>116</v>
      </c>
      <c r="G2" s="24" t="s">
        <v>131</v>
      </c>
      <c r="H2" s="86" t="s">
        <v>76</v>
      </c>
    </row>
    <row r="3" spans="1:15" x14ac:dyDescent="0.2">
      <c r="A3" s="57">
        <v>20</v>
      </c>
      <c r="B3" s="34">
        <v>98</v>
      </c>
      <c r="C3" s="34">
        <v>97</v>
      </c>
      <c r="D3" s="34">
        <v>97</v>
      </c>
      <c r="E3" s="34">
        <v>90</v>
      </c>
      <c r="F3" s="34">
        <v>90</v>
      </c>
      <c r="G3" s="34">
        <v>100</v>
      </c>
    </row>
    <row r="4" spans="1:15" x14ac:dyDescent="0.2">
      <c r="A4" s="57">
        <v>21</v>
      </c>
      <c r="B4" s="34">
        <v>98</v>
      </c>
      <c r="C4" s="34">
        <v>97</v>
      </c>
      <c r="D4" s="34">
        <v>97</v>
      </c>
      <c r="E4" s="34">
        <v>90</v>
      </c>
      <c r="F4" s="34">
        <v>90</v>
      </c>
      <c r="G4" s="34">
        <v>100</v>
      </c>
    </row>
    <row r="5" spans="1:15" x14ac:dyDescent="0.2">
      <c r="A5" s="57">
        <v>22</v>
      </c>
      <c r="B5" s="34">
        <v>98</v>
      </c>
      <c r="C5" s="34">
        <v>97</v>
      </c>
      <c r="D5" s="34">
        <v>97</v>
      </c>
      <c r="E5" s="34">
        <v>90</v>
      </c>
      <c r="F5" s="34">
        <v>90</v>
      </c>
      <c r="G5" s="34">
        <v>100</v>
      </c>
    </row>
    <row r="6" spans="1:15" x14ac:dyDescent="0.2">
      <c r="A6" s="57">
        <v>23</v>
      </c>
      <c r="B6" s="34">
        <v>98</v>
      </c>
      <c r="C6" s="34">
        <v>97</v>
      </c>
      <c r="D6" s="34">
        <v>97</v>
      </c>
      <c r="E6" s="34">
        <v>90</v>
      </c>
      <c r="F6" s="34">
        <v>90</v>
      </c>
      <c r="G6" s="34">
        <v>100</v>
      </c>
    </row>
    <row r="7" spans="1:15" x14ac:dyDescent="0.2">
      <c r="A7" s="57">
        <v>24</v>
      </c>
      <c r="B7" s="34">
        <v>98</v>
      </c>
      <c r="C7" s="34">
        <v>97</v>
      </c>
      <c r="D7" s="34">
        <v>97</v>
      </c>
      <c r="E7" s="34">
        <v>90</v>
      </c>
      <c r="F7" s="34">
        <v>90</v>
      </c>
      <c r="G7" s="34">
        <v>100</v>
      </c>
    </row>
    <row r="8" spans="1:15" x14ac:dyDescent="0.2">
      <c r="A8" s="57">
        <v>25</v>
      </c>
      <c r="B8" s="34">
        <v>98</v>
      </c>
      <c r="C8" s="34">
        <v>97</v>
      </c>
      <c r="D8" s="34">
        <v>97</v>
      </c>
      <c r="E8" s="34">
        <v>90</v>
      </c>
      <c r="F8" s="34">
        <v>90</v>
      </c>
      <c r="G8" s="34">
        <v>100</v>
      </c>
    </row>
    <row r="9" spans="1:15" x14ac:dyDescent="0.2">
      <c r="A9" s="57">
        <v>26</v>
      </c>
      <c r="B9" s="34">
        <v>98</v>
      </c>
      <c r="C9" s="34">
        <v>97</v>
      </c>
      <c r="D9" s="34">
        <v>97</v>
      </c>
      <c r="E9" s="34">
        <v>90</v>
      </c>
      <c r="F9" s="34">
        <v>90</v>
      </c>
      <c r="G9" s="34">
        <v>100</v>
      </c>
    </row>
    <row r="10" spans="1:15" x14ac:dyDescent="0.2">
      <c r="A10" s="57">
        <v>27</v>
      </c>
      <c r="B10" s="34">
        <v>98</v>
      </c>
      <c r="C10" s="34">
        <v>97</v>
      </c>
      <c r="D10" s="34">
        <v>97</v>
      </c>
      <c r="E10" s="34">
        <v>90</v>
      </c>
      <c r="F10" s="34">
        <v>90</v>
      </c>
      <c r="G10" s="34">
        <v>100</v>
      </c>
    </row>
    <row r="11" spans="1:15" x14ac:dyDescent="0.2">
      <c r="A11" s="57">
        <v>28</v>
      </c>
      <c r="B11" s="34">
        <v>98</v>
      </c>
      <c r="C11" s="34">
        <v>97</v>
      </c>
      <c r="D11" s="34">
        <v>97</v>
      </c>
      <c r="E11" s="34">
        <v>90</v>
      </c>
      <c r="F11" s="34">
        <v>90</v>
      </c>
      <c r="G11" s="34">
        <v>100</v>
      </c>
    </row>
    <row r="12" spans="1:15" x14ac:dyDescent="0.2">
      <c r="A12" s="57">
        <v>29</v>
      </c>
      <c r="B12" s="34">
        <v>98</v>
      </c>
      <c r="C12" s="34">
        <v>97</v>
      </c>
      <c r="D12" s="34">
        <v>97</v>
      </c>
      <c r="E12" s="34">
        <v>90</v>
      </c>
      <c r="F12" s="34">
        <v>90</v>
      </c>
      <c r="G12" s="34">
        <v>100</v>
      </c>
    </row>
    <row r="13" spans="1:15" x14ac:dyDescent="0.2">
      <c r="A13" s="57">
        <v>30</v>
      </c>
      <c r="B13" s="34">
        <v>98</v>
      </c>
      <c r="C13" s="34">
        <v>97</v>
      </c>
      <c r="D13" s="34">
        <v>97</v>
      </c>
      <c r="E13" s="34">
        <v>90</v>
      </c>
      <c r="F13" s="34">
        <v>90</v>
      </c>
      <c r="G13" s="34">
        <v>100</v>
      </c>
    </row>
    <row r="14" spans="1:15" x14ac:dyDescent="0.2">
      <c r="A14" s="57">
        <v>31</v>
      </c>
      <c r="B14" s="34">
        <v>98</v>
      </c>
      <c r="C14" s="34">
        <v>97</v>
      </c>
      <c r="D14" s="34">
        <v>97</v>
      </c>
      <c r="E14" s="34">
        <v>90</v>
      </c>
      <c r="F14" s="34">
        <v>90</v>
      </c>
      <c r="G14" s="34">
        <v>100</v>
      </c>
    </row>
    <row r="15" spans="1:15" x14ac:dyDescent="0.2">
      <c r="A15" s="57">
        <v>32</v>
      </c>
      <c r="B15" s="34">
        <v>98</v>
      </c>
      <c r="C15" s="34">
        <v>97</v>
      </c>
      <c r="D15" s="34">
        <v>97</v>
      </c>
      <c r="E15" s="34">
        <v>90</v>
      </c>
      <c r="F15" s="34">
        <v>90</v>
      </c>
      <c r="G15" s="34">
        <v>100</v>
      </c>
    </row>
    <row r="16" spans="1:15" x14ac:dyDescent="0.2">
      <c r="A16" s="57">
        <v>33</v>
      </c>
      <c r="B16" s="34">
        <v>98</v>
      </c>
      <c r="C16" s="34">
        <v>97</v>
      </c>
      <c r="D16" s="34">
        <v>97</v>
      </c>
      <c r="E16" s="34">
        <v>90</v>
      </c>
      <c r="F16" s="34">
        <v>90</v>
      </c>
      <c r="G16" s="34">
        <v>100</v>
      </c>
    </row>
    <row r="17" spans="1:7" x14ac:dyDescent="0.2">
      <c r="A17" s="57">
        <v>34</v>
      </c>
      <c r="B17" s="34">
        <v>98</v>
      </c>
      <c r="C17" s="34">
        <v>97</v>
      </c>
      <c r="D17" s="34">
        <v>97</v>
      </c>
      <c r="E17" s="34">
        <v>90</v>
      </c>
      <c r="F17" s="34">
        <v>90</v>
      </c>
      <c r="G17" s="34">
        <v>100</v>
      </c>
    </row>
    <row r="18" spans="1:7" x14ac:dyDescent="0.2">
      <c r="A18" s="57">
        <v>35</v>
      </c>
      <c r="B18" s="34">
        <v>98</v>
      </c>
      <c r="C18" s="34">
        <v>97</v>
      </c>
      <c r="D18" s="34">
        <v>97</v>
      </c>
      <c r="E18" s="34">
        <v>90</v>
      </c>
      <c r="F18" s="34">
        <v>90</v>
      </c>
      <c r="G18" s="34">
        <v>100</v>
      </c>
    </row>
    <row r="19" spans="1:7" x14ac:dyDescent="0.2">
      <c r="A19" s="57">
        <v>36</v>
      </c>
      <c r="B19" s="34">
        <v>98</v>
      </c>
      <c r="C19" s="34">
        <v>97</v>
      </c>
      <c r="D19" s="34">
        <v>97</v>
      </c>
      <c r="E19" s="34">
        <v>90</v>
      </c>
      <c r="F19" s="34">
        <v>90</v>
      </c>
      <c r="G19" s="34">
        <v>100</v>
      </c>
    </row>
    <row r="20" spans="1:7" x14ac:dyDescent="0.2">
      <c r="A20" s="57">
        <v>37</v>
      </c>
      <c r="B20" s="34">
        <v>98</v>
      </c>
      <c r="C20" s="34">
        <v>97</v>
      </c>
      <c r="D20" s="34">
        <v>97</v>
      </c>
      <c r="E20" s="34">
        <v>90</v>
      </c>
      <c r="F20" s="34">
        <v>90</v>
      </c>
      <c r="G20" s="34">
        <v>100</v>
      </c>
    </row>
    <row r="21" spans="1:7" x14ac:dyDescent="0.2">
      <c r="A21" s="57">
        <v>38</v>
      </c>
      <c r="B21" s="34">
        <v>98</v>
      </c>
      <c r="C21" s="34">
        <v>97</v>
      </c>
      <c r="D21" s="34">
        <v>97</v>
      </c>
      <c r="E21" s="34">
        <v>90</v>
      </c>
      <c r="F21" s="34">
        <v>90</v>
      </c>
      <c r="G21" s="34">
        <v>100</v>
      </c>
    </row>
    <row r="22" spans="1:7" x14ac:dyDescent="0.2">
      <c r="A22" s="57">
        <v>39</v>
      </c>
      <c r="B22" s="34">
        <v>98</v>
      </c>
      <c r="C22" s="34">
        <v>97</v>
      </c>
      <c r="D22" s="34">
        <v>97</v>
      </c>
      <c r="E22" s="34">
        <v>90</v>
      </c>
      <c r="F22" s="34">
        <v>90</v>
      </c>
      <c r="G22" s="34">
        <v>100</v>
      </c>
    </row>
    <row r="23" spans="1:7" x14ac:dyDescent="0.2">
      <c r="A23" s="57">
        <v>40</v>
      </c>
      <c r="B23" s="34">
        <v>98</v>
      </c>
      <c r="C23" s="34">
        <v>97</v>
      </c>
      <c r="D23" s="34">
        <v>97</v>
      </c>
      <c r="E23" s="34">
        <v>90</v>
      </c>
      <c r="F23" s="34">
        <v>90</v>
      </c>
      <c r="G23" s="34">
        <v>100</v>
      </c>
    </row>
    <row r="24" spans="1:7" x14ac:dyDescent="0.2">
      <c r="A24" s="57">
        <v>41</v>
      </c>
      <c r="B24" s="34">
        <v>98</v>
      </c>
      <c r="C24" s="34">
        <v>97</v>
      </c>
      <c r="D24" s="34">
        <v>97</v>
      </c>
      <c r="E24" s="34">
        <v>90</v>
      </c>
      <c r="F24" s="34">
        <v>90</v>
      </c>
      <c r="G24" s="34">
        <v>100</v>
      </c>
    </row>
    <row r="25" spans="1:7" x14ac:dyDescent="0.2">
      <c r="A25" s="57">
        <v>42</v>
      </c>
      <c r="B25" s="34">
        <v>98</v>
      </c>
      <c r="C25" s="34">
        <v>97</v>
      </c>
      <c r="D25" s="34">
        <v>97</v>
      </c>
      <c r="E25" s="34">
        <v>90</v>
      </c>
      <c r="F25" s="34">
        <v>90</v>
      </c>
      <c r="G25" s="34">
        <v>100</v>
      </c>
    </row>
    <row r="26" spans="1:7" x14ac:dyDescent="0.2">
      <c r="A26" s="57">
        <v>43</v>
      </c>
      <c r="B26" s="34">
        <v>98</v>
      </c>
      <c r="C26" s="34">
        <v>97</v>
      </c>
      <c r="D26" s="34">
        <v>97</v>
      </c>
      <c r="E26" s="34">
        <v>90</v>
      </c>
      <c r="F26" s="34">
        <v>90</v>
      </c>
      <c r="G26" s="34">
        <v>100</v>
      </c>
    </row>
    <row r="27" spans="1:7" x14ac:dyDescent="0.2">
      <c r="A27" s="57">
        <v>44</v>
      </c>
      <c r="B27" s="34">
        <v>98</v>
      </c>
      <c r="C27" s="34">
        <v>97</v>
      </c>
      <c r="D27" s="34">
        <v>97</v>
      </c>
      <c r="E27" s="34">
        <v>90</v>
      </c>
      <c r="F27" s="34">
        <v>90</v>
      </c>
      <c r="G27" s="34">
        <v>100</v>
      </c>
    </row>
    <row r="28" spans="1:7" x14ac:dyDescent="0.2">
      <c r="A28" s="57">
        <v>45</v>
      </c>
      <c r="B28" s="34">
        <v>98</v>
      </c>
      <c r="C28" s="34">
        <v>97</v>
      </c>
      <c r="D28" s="34">
        <v>97</v>
      </c>
      <c r="E28" s="34">
        <v>90</v>
      </c>
      <c r="F28" s="34">
        <v>90</v>
      </c>
      <c r="G28" s="34">
        <v>100</v>
      </c>
    </row>
    <row r="29" spans="1:7" x14ac:dyDescent="0.2">
      <c r="A29" s="57">
        <v>46</v>
      </c>
      <c r="B29" s="34">
        <v>98</v>
      </c>
      <c r="C29" s="34">
        <v>97</v>
      </c>
      <c r="D29" s="34">
        <v>97</v>
      </c>
      <c r="E29" s="34">
        <v>90</v>
      </c>
      <c r="F29" s="34">
        <v>90</v>
      </c>
      <c r="G29" s="34">
        <v>100</v>
      </c>
    </row>
    <row r="30" spans="1:7" x14ac:dyDescent="0.2">
      <c r="A30" s="57">
        <v>47</v>
      </c>
      <c r="B30" s="34">
        <v>98</v>
      </c>
      <c r="C30" s="34">
        <v>97</v>
      </c>
      <c r="D30" s="34">
        <v>97</v>
      </c>
      <c r="E30" s="34">
        <v>90</v>
      </c>
      <c r="F30" s="34">
        <v>90</v>
      </c>
      <c r="G30" s="34">
        <v>100</v>
      </c>
    </row>
    <row r="31" spans="1:7" x14ac:dyDescent="0.2">
      <c r="A31" s="57">
        <v>48</v>
      </c>
      <c r="B31" s="34">
        <v>92.9</v>
      </c>
      <c r="C31" s="34">
        <v>91.88</v>
      </c>
      <c r="D31" s="34">
        <v>95</v>
      </c>
      <c r="E31" s="34">
        <v>90</v>
      </c>
      <c r="F31" s="34">
        <v>90</v>
      </c>
      <c r="G31" s="34">
        <v>100</v>
      </c>
    </row>
    <row r="32" spans="1:7" x14ac:dyDescent="0.2">
      <c r="A32" s="57">
        <v>49</v>
      </c>
      <c r="B32" s="34">
        <v>87.9</v>
      </c>
      <c r="C32" s="34">
        <v>86.77</v>
      </c>
      <c r="D32" s="34">
        <v>90</v>
      </c>
      <c r="E32" s="34">
        <v>90</v>
      </c>
      <c r="F32" s="34">
        <v>90</v>
      </c>
      <c r="G32" s="34">
        <v>100</v>
      </c>
    </row>
    <row r="33" spans="1:7" x14ac:dyDescent="0.2">
      <c r="A33" s="57">
        <v>50</v>
      </c>
      <c r="B33" s="34">
        <v>82.899999999999991</v>
      </c>
      <c r="C33" s="34">
        <v>81.64</v>
      </c>
      <c r="D33" s="34">
        <v>85</v>
      </c>
      <c r="E33" s="34">
        <v>85</v>
      </c>
      <c r="F33" s="34">
        <v>85</v>
      </c>
      <c r="G33" s="34">
        <v>100</v>
      </c>
    </row>
    <row r="34" spans="1:7" x14ac:dyDescent="0.2">
      <c r="A34" s="57">
        <v>51</v>
      </c>
      <c r="B34" s="34">
        <v>78</v>
      </c>
      <c r="C34" s="34">
        <v>76.530000000000015</v>
      </c>
      <c r="D34" s="34">
        <v>80</v>
      </c>
      <c r="E34" s="34">
        <v>80</v>
      </c>
      <c r="F34" s="34">
        <v>80</v>
      </c>
      <c r="G34" s="34">
        <v>100</v>
      </c>
    </row>
    <row r="35" spans="1:7" x14ac:dyDescent="0.2">
      <c r="A35" s="57">
        <v>52</v>
      </c>
      <c r="B35" s="34">
        <v>73.099999999999994</v>
      </c>
      <c r="C35" s="34">
        <v>71.41</v>
      </c>
      <c r="D35" s="34">
        <v>75</v>
      </c>
      <c r="E35" s="34">
        <v>75</v>
      </c>
      <c r="F35" s="34">
        <v>75</v>
      </c>
      <c r="G35" s="34">
        <v>100</v>
      </c>
    </row>
    <row r="36" spans="1:7" x14ac:dyDescent="0.2">
      <c r="A36" s="57">
        <v>53</v>
      </c>
      <c r="B36" s="34">
        <v>68.099999999999994</v>
      </c>
      <c r="C36" s="34">
        <v>66.3</v>
      </c>
      <c r="D36" s="34">
        <v>70</v>
      </c>
      <c r="E36" s="34">
        <v>70</v>
      </c>
      <c r="F36" s="34">
        <v>70</v>
      </c>
      <c r="G36" s="34">
        <v>100</v>
      </c>
    </row>
    <row r="37" spans="1:7" x14ac:dyDescent="0.2">
      <c r="A37" s="57">
        <v>54</v>
      </c>
      <c r="B37" s="34">
        <v>63.3</v>
      </c>
      <c r="C37" s="34">
        <v>61.18</v>
      </c>
      <c r="D37" s="34">
        <v>65</v>
      </c>
      <c r="E37" s="34">
        <v>65</v>
      </c>
      <c r="F37" s="34">
        <v>65</v>
      </c>
      <c r="G37" s="34">
        <v>100</v>
      </c>
    </row>
    <row r="38" spans="1:7" x14ac:dyDescent="0.2">
      <c r="A38" s="57">
        <v>55</v>
      </c>
      <c r="B38" s="34">
        <v>58.5</v>
      </c>
      <c r="C38" s="34">
        <v>56.06</v>
      </c>
      <c r="D38" s="34">
        <v>60</v>
      </c>
      <c r="E38" s="34">
        <v>60</v>
      </c>
      <c r="F38" s="34">
        <v>60</v>
      </c>
      <c r="G38" s="34">
        <v>90</v>
      </c>
    </row>
    <row r="39" spans="1:7" x14ac:dyDescent="0.2">
      <c r="A39" s="57">
        <v>56</v>
      </c>
      <c r="B39" s="34">
        <v>53.800000000000004</v>
      </c>
      <c r="C39" s="34">
        <v>50.94</v>
      </c>
      <c r="D39" s="34">
        <v>55.000000000000007</v>
      </c>
      <c r="E39" s="34">
        <v>55.000000000000007</v>
      </c>
      <c r="F39" s="34">
        <v>55.000000000000007</v>
      </c>
      <c r="G39" s="34">
        <v>80</v>
      </c>
    </row>
    <row r="40" spans="1:7" x14ac:dyDescent="0.2">
      <c r="A40" s="57">
        <v>57</v>
      </c>
      <c r="B40" s="34">
        <v>49.1</v>
      </c>
      <c r="C40" s="34">
        <v>45.82</v>
      </c>
      <c r="D40" s="34">
        <v>50</v>
      </c>
      <c r="E40" s="34">
        <v>50</v>
      </c>
      <c r="F40" s="34">
        <v>50</v>
      </c>
      <c r="G40" s="34">
        <v>70</v>
      </c>
    </row>
    <row r="41" spans="1:7" x14ac:dyDescent="0.2">
      <c r="A41" s="57">
        <v>58</v>
      </c>
      <c r="B41" s="34">
        <v>44.4</v>
      </c>
      <c r="C41" s="34">
        <v>40.71</v>
      </c>
      <c r="D41" s="34">
        <v>45</v>
      </c>
      <c r="E41" s="34">
        <v>45</v>
      </c>
      <c r="F41" s="34">
        <v>45</v>
      </c>
      <c r="G41" s="34">
        <v>60</v>
      </c>
    </row>
    <row r="42" spans="1:7" x14ac:dyDescent="0.2">
      <c r="A42" s="57">
        <v>59</v>
      </c>
      <c r="B42" s="34">
        <v>39.800000000000004</v>
      </c>
      <c r="C42" s="34">
        <v>35.589999999999996</v>
      </c>
      <c r="D42" s="34">
        <v>40</v>
      </c>
      <c r="E42" s="34">
        <v>40</v>
      </c>
      <c r="F42" s="34">
        <v>40</v>
      </c>
      <c r="G42" s="34">
        <v>50</v>
      </c>
    </row>
    <row r="43" spans="1:7" x14ac:dyDescent="0.2">
      <c r="A43" s="57">
        <v>60</v>
      </c>
      <c r="B43" s="34">
        <v>35.299999999999997</v>
      </c>
      <c r="C43" s="34">
        <v>30.470000000000002</v>
      </c>
      <c r="D43" s="34">
        <v>35</v>
      </c>
      <c r="E43" s="34">
        <v>35</v>
      </c>
      <c r="F43" s="34">
        <v>35</v>
      </c>
      <c r="G43" s="34">
        <v>40</v>
      </c>
    </row>
    <row r="44" spans="1:7" x14ac:dyDescent="0.2">
      <c r="A44" s="57">
        <v>61</v>
      </c>
      <c r="B44" s="34">
        <v>30.8</v>
      </c>
      <c r="C44" s="34">
        <v>25.35</v>
      </c>
      <c r="D44" s="34">
        <v>30</v>
      </c>
      <c r="E44" s="34">
        <v>30</v>
      </c>
      <c r="F44" s="34">
        <v>30</v>
      </c>
      <c r="G44" s="34">
        <v>30</v>
      </c>
    </row>
    <row r="45" spans="1:7" x14ac:dyDescent="0.2">
      <c r="A45" s="57">
        <v>62</v>
      </c>
      <c r="B45" s="34">
        <v>26.6</v>
      </c>
      <c r="C45" s="34">
        <v>20.239999999999998</v>
      </c>
      <c r="D45" s="34">
        <v>25</v>
      </c>
      <c r="E45" s="34">
        <v>25</v>
      </c>
      <c r="F45" s="34">
        <v>25</v>
      </c>
      <c r="G45" s="34">
        <v>20</v>
      </c>
    </row>
    <row r="46" spans="1:7" x14ac:dyDescent="0.2">
      <c r="A46" s="57">
        <v>63</v>
      </c>
      <c r="B46" s="34">
        <v>22.400000000000002</v>
      </c>
      <c r="C46" s="34">
        <v>15.120000000000001</v>
      </c>
      <c r="D46" s="34">
        <v>20</v>
      </c>
      <c r="E46" s="34">
        <v>20</v>
      </c>
      <c r="F46" s="34">
        <v>20</v>
      </c>
      <c r="G46" s="34">
        <v>10</v>
      </c>
    </row>
    <row r="47" spans="1:7" x14ac:dyDescent="0.2">
      <c r="A47" s="57">
        <v>64</v>
      </c>
      <c r="B47" s="34">
        <v>18.5</v>
      </c>
      <c r="C47" s="34">
        <v>10</v>
      </c>
      <c r="D47" s="34">
        <v>15</v>
      </c>
      <c r="E47" s="34">
        <v>15</v>
      </c>
      <c r="F47" s="34">
        <v>15</v>
      </c>
      <c r="G47" s="34">
        <v>0</v>
      </c>
    </row>
    <row r="48" spans="1:7" x14ac:dyDescent="0.2">
      <c r="A48" s="57">
        <v>65</v>
      </c>
      <c r="B48" s="34">
        <v>18.5</v>
      </c>
      <c r="C48" s="34">
        <v>10</v>
      </c>
      <c r="D48" s="34">
        <v>15</v>
      </c>
      <c r="E48" s="34">
        <v>10</v>
      </c>
      <c r="F48" s="34">
        <v>15</v>
      </c>
      <c r="G48" s="34">
        <v>0</v>
      </c>
    </row>
    <row r="49" spans="1:7" x14ac:dyDescent="0.2">
      <c r="A49" s="57">
        <v>66</v>
      </c>
      <c r="B49" s="34">
        <v>18.5</v>
      </c>
      <c r="C49" s="34">
        <v>10</v>
      </c>
      <c r="D49" s="34">
        <v>15</v>
      </c>
      <c r="E49" s="34">
        <v>10</v>
      </c>
      <c r="F49" s="34">
        <v>15</v>
      </c>
      <c r="G49" s="34">
        <v>0</v>
      </c>
    </row>
    <row r="50" spans="1:7" x14ac:dyDescent="0.2">
      <c r="A50" s="57">
        <v>67</v>
      </c>
      <c r="B50" s="34">
        <v>18.5</v>
      </c>
      <c r="C50" s="34">
        <v>10</v>
      </c>
      <c r="D50" s="34">
        <v>15</v>
      </c>
      <c r="E50" s="34">
        <v>10</v>
      </c>
      <c r="F50" s="34">
        <v>15</v>
      </c>
      <c r="G50" s="34">
        <v>0</v>
      </c>
    </row>
    <row r="51" spans="1:7" x14ac:dyDescent="0.2">
      <c r="A51" s="57">
        <v>68</v>
      </c>
      <c r="B51" s="34">
        <v>18.5</v>
      </c>
      <c r="C51" s="34">
        <v>10</v>
      </c>
      <c r="D51" s="34">
        <v>15</v>
      </c>
      <c r="E51" s="34">
        <v>10</v>
      </c>
      <c r="F51" s="34">
        <v>15</v>
      </c>
      <c r="G51" s="34">
        <v>0</v>
      </c>
    </row>
    <row r="52" spans="1:7" x14ac:dyDescent="0.2">
      <c r="A52" s="49" t="s">
        <v>81</v>
      </c>
      <c r="B52" s="49"/>
      <c r="C52" s="49"/>
      <c r="D52" s="49"/>
      <c r="E52" s="49"/>
      <c r="F52" s="49"/>
      <c r="G52" s="49"/>
    </row>
    <row r="53" spans="1:7" x14ac:dyDescent="0.2">
      <c r="D53" s="3"/>
    </row>
    <row r="54" spans="1:7" x14ac:dyDescent="0.2">
      <c r="D54" s="3"/>
    </row>
    <row r="55" spans="1:7" x14ac:dyDescent="0.2">
      <c r="D55" s="3"/>
    </row>
    <row r="56" spans="1:7" x14ac:dyDescent="0.2">
      <c r="D56" s="3"/>
    </row>
    <row r="57" spans="1:7" x14ac:dyDescent="0.2">
      <c r="D57" s="3"/>
    </row>
    <row r="58" spans="1:7" x14ac:dyDescent="0.2">
      <c r="D58" s="3"/>
    </row>
    <row r="59" spans="1:7" x14ac:dyDescent="0.2">
      <c r="D59" s="3"/>
    </row>
    <row r="65" spans="3:3" x14ac:dyDescent="0.2">
      <c r="C65" s="3"/>
    </row>
    <row r="66" spans="3:3" x14ac:dyDescent="0.2">
      <c r="C66" s="3"/>
    </row>
    <row r="67" spans="3:3" x14ac:dyDescent="0.2">
      <c r="C67" s="3"/>
    </row>
    <row r="68" spans="3:3" x14ac:dyDescent="0.2">
      <c r="C68" s="3"/>
    </row>
    <row r="69" spans="3:3" x14ac:dyDescent="0.2">
      <c r="C69" s="3"/>
    </row>
  </sheetData>
  <mergeCells count="2">
    <mergeCell ref="A1:A2"/>
    <mergeCell ref="B1:G1"/>
  </mergeCells>
  <hyperlinks>
    <hyperlink ref="H2" location="GCF_2023!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2026-05-12T10:54:38Z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2026-05-12T10:54:36Z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112f70f0-b24e-4a1c-bb62-f0ef5367304b</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