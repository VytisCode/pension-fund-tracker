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665" yWindow="105" windowWidth="7680" windowHeight="10590"/>
  </bookViews>
  <sheets>
    <sheet name="Rezultatai" sheetId="14" r:id="rId1"/>
    <sheet name="Papildomi duomenys" sheetId="10" r:id="rId2"/>
  </sheets>
  <calcPr calcId="145621"/>
</workbook>
</file>

<file path=xl/calcChain.xml><?xml version="1.0" encoding="utf-8"?>
<calcChain xmlns="http://schemas.openxmlformats.org/spreadsheetml/2006/main">
  <c r="B68" i="10" l="1"/>
  <c r="B29" i="10"/>
</calcChain>
</file>

<file path=xl/sharedStrings.xml><?xml version="1.0" encoding="utf-8"?>
<sst xmlns="http://schemas.openxmlformats.org/spreadsheetml/2006/main" count="201" uniqueCount="93">
  <si>
    <t>Fondo pavadinimas</t>
  </si>
  <si>
    <t>SEB pensija 2</t>
  </si>
  <si>
    <t>SEB pensija 3</t>
  </si>
  <si>
    <t>MAŽOS AKCIJŲ DALIES PENSIJŲ FONDAI (IKI 30 PROC.)</t>
  </si>
  <si>
    <t>SEB pensija 1</t>
  </si>
  <si>
    <t>Swedbank Pensija 1</t>
  </si>
  <si>
    <t>Aviva Europensija</t>
  </si>
  <si>
    <t>Aviva Europensija plius</t>
  </si>
  <si>
    <t>Swedbank Pensija 2</t>
  </si>
  <si>
    <t>Swedbank Pensija 3</t>
  </si>
  <si>
    <t>Swedbank Pensija 4</t>
  </si>
  <si>
    <t>Aviva Europensija ekstra</t>
  </si>
  <si>
    <t>Swedbank Pensija 5</t>
  </si>
  <si>
    <t>VIDUTINĖS AKCIJŲ DALIES PENSIJŲ FONDAI (IKI 70 PROC.)</t>
  </si>
  <si>
    <t>AKCIJŲ PENSIJŲ FONDAI (IKI 100 PROC.)</t>
  </si>
  <si>
    <t>Veiklos laikotarpis, metais</t>
  </si>
  <si>
    <t>RIZIKOS RODIKLIAI</t>
  </si>
  <si>
    <t xml:space="preserve"> KONSERVATYVAUS INVESTAVIMO PENSIJŲ FONDAI</t>
  </si>
  <si>
    <t xml:space="preserve">*** Lyginamasis indeksas apibrėžiamas kaip pensijų kaupimo bendrovės pasirinktas rodiklis, su kurio kintančia reikšme lyginama fondo investicijų portfelio investicijų grąža. </t>
  </si>
  <si>
    <t>Iš viso:</t>
  </si>
  <si>
    <t>LYGINAMOJO INDEKSO GRĄŽA***</t>
  </si>
  <si>
    <t>Fondas</t>
  </si>
  <si>
    <t>Viso:</t>
  </si>
  <si>
    <t>Valdymo įmonė</t>
  </si>
  <si>
    <t>Grynieji aktyvai, Eur</t>
  </si>
  <si>
    <t>INVL STABILO II 58+</t>
  </si>
  <si>
    <t>INVL MEZZO II 53+</t>
  </si>
  <si>
    <t xml:space="preserve">INVL MEDIO II 47+ </t>
  </si>
  <si>
    <t>INVL EXTREMO II 16+</t>
  </si>
  <si>
    <t>Fondo dydis, mln. Eur</t>
  </si>
  <si>
    <t>INVL MEDIO II 47+</t>
  </si>
  <si>
    <t>Dalyvių skaičius</t>
  </si>
  <si>
    <t>Investicijų į akcijas dalis</t>
  </si>
  <si>
    <t>FONDŲ GRĄŽA</t>
  </si>
  <si>
    <t>Swedbank Pensijų išmokų fondas</t>
  </si>
  <si>
    <t xml:space="preserve">Svertinis vidurkis*****: </t>
  </si>
  <si>
    <t>iki 30%</t>
  </si>
  <si>
    <t>iki 25%</t>
  </si>
  <si>
    <t xml:space="preserve">Svertinis vidurkis: </t>
  </si>
  <si>
    <t>iki 65%</t>
  </si>
  <si>
    <t>iki 50%</t>
  </si>
  <si>
    <t>iki 70%</t>
  </si>
  <si>
    <t>-</t>
  </si>
  <si>
    <t>20-60%</t>
  </si>
  <si>
    <t>iki 100%</t>
  </si>
  <si>
    <t>60-100%</t>
  </si>
  <si>
    <t>** Apskaičiuota remiantis apskaitos vieneto vertės pokyčiu per nurodytą laikotarpį. Vidutinė metinė grąža gauta taikant geometrinį vidurkį.</t>
  </si>
  <si>
    <t>Pensija 3</t>
  </si>
  <si>
    <t>Europensija plius</t>
  </si>
  <si>
    <t>Pensija 4</t>
  </si>
  <si>
    <t>Pensija 2</t>
  </si>
  <si>
    <t>Pensija 5</t>
  </si>
  <si>
    <t>INVL EXTREMO II 16 + pensijų fondas</t>
  </si>
  <si>
    <t>Europensija ekstra</t>
  </si>
  <si>
    <t>Europensija</t>
  </si>
  <si>
    <t>Pensijų išmokų fondas</t>
  </si>
  <si>
    <t>Pensija 1</t>
  </si>
  <si>
    <t>"Swedbank investicijų valdymas", UAB 124815377</t>
  </si>
  <si>
    <t>UAB "SEB investicijų valdymas" 125277981</t>
  </si>
  <si>
    <t>Uždaroji akcinė gyvybės draudimo ir pensijų bendrovė "Aviva Lietuva" 111744827</t>
  </si>
  <si>
    <t>UAB "INVL Asset Management" 126263073</t>
  </si>
  <si>
    <t>Luminor pensija 1</t>
  </si>
  <si>
    <t>Luminor pensija 2</t>
  </si>
  <si>
    <t>Luminor pensija 3</t>
  </si>
  <si>
    <t>Luminor pensija 4</t>
  </si>
  <si>
    <t>„Luminor investicijų valdymas“, UAB 226299280</t>
  </si>
  <si>
    <t>Grąža* nuo metų pradžios, proc.</t>
  </si>
  <si>
    <t>Vidutinė metinė grąža** per praėjusius 3 metus, proc.</t>
  </si>
  <si>
    <t>Vidutinė metinė grąža** per praėjusius 5 metus, proc.</t>
  </si>
  <si>
    <t>Vidutinė metinė grąža** per praėjusius 10 metų, proc.</t>
  </si>
  <si>
    <t>Vidutinė metinė lyginamojo indekso grąža per praėjusius 3 metus, proc.</t>
  </si>
  <si>
    <t>Vidutinė metinė lyginamojo indekso grąža per praėjusius 5 metus, proc.</t>
  </si>
  <si>
    <t>Standartinis nuokrypis**** per praėjusius 5 metus, proc.</t>
  </si>
  <si>
    <t>Standartinis nuokrypis**** per praėjusius 10 metų, proc.</t>
  </si>
  <si>
    <t>Pastaba: praeities rezultatai negarantuoja, kad tokie patys ar panašūs rezultatai bus ir ateityje.</t>
  </si>
  <si>
    <t xml:space="preserve">**** Rodikliui apskaičiuoti naudoti mėnesiniai apskaitos vieneto verčių pokyčiai, rezultatas perskaičiuotas į metinį.  Standartinis nuokrypis parodo, kaip intensyviai per laikotarpį svyruoja fondo investicinio vieneto vertė. Kuo šis rodiklis didesnis, tuo didesnė rizika. </t>
  </si>
  <si>
    <t>* Apskaitos vieneto vertės pokytis. Juo atsižvelgiama į atskaitymus nuo turto, tačiau neatsižvelgiama į atskaitymus nuo įmokų, dėl to grynoji grąža yra mažesnė. Swedbank GCF pensijų fondų rezultatai apima laikotarpį nuo įsteigimo 2018-03-01.</t>
  </si>
  <si>
    <t>Pensija 1996-2002</t>
  </si>
  <si>
    <t>Pensija 1989-1995</t>
  </si>
  <si>
    <t>Pensija 1982-1988</t>
  </si>
  <si>
    <t>Pensija 1975-1981</t>
  </si>
  <si>
    <t>Pensija 1968-1974</t>
  </si>
  <si>
    <t>Pensija 1961-1967</t>
  </si>
  <si>
    <t>GYVENIMO CIKLO FONDAI (INVESTAVIMO STRATEGIJA KINTA ATSIŽVELGIANT Į PENSIJŲ FONDO DALYVIŲ AMŽIŲ)</t>
  </si>
  <si>
    <t>Swedbank Pensija 1996-2002</t>
  </si>
  <si>
    <t>Swedbank Pensija 1961-1967</t>
  </si>
  <si>
    <t>Swedbank Pensija 1989-1995</t>
  </si>
  <si>
    <t>Swedbank Pensija 1982-1988</t>
  </si>
  <si>
    <t>Swedbank Pensija 1975-1981</t>
  </si>
  <si>
    <t>Swedbank Pensija 1968-1974</t>
  </si>
  <si>
    <t>Luminor investicijų valdymas UAB 226299280</t>
  </si>
  <si>
    <t xml:space="preserve"> INVL STABILO II 58+</t>
  </si>
  <si>
    <t>***** Svertiniam vidurkiui apskaičiuoti naudotas 2018-12-31 dienos fondų grynųjų aktyvų dydis.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</si>
</sst>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\ _L_t_-;\-* #,##0.00\ _L_t_-;_-* &quot;-&quot;??\ _L_t_-;_-@_-"/>
    <numFmt numFmtId="165" formatCode="0.0"/>
    <numFmt numFmtId="166" formatCode="0.00_ ;[Red]\-0.00\ "/>
    <numFmt numFmtId="167" formatCode="_-* #,##0\ _€_-;\-* #,##0\ _€_-;_-* &quot;-&quot;??\ _€_-;_-@_-"/>
    <numFmt numFmtId="168" formatCode="###\ ###\ ###"/>
    <numFmt numFmtId="169" formatCode="###\ ###\ ###\ ###"/>
  </numFmts>
  <fonts count="33" x14ac:knownFonts="1">
    <font>
      <sz val="10"/>
      <name val="Arial"/>
      <charset val="186"/>
    </font>
    <font>
      <sz val="10"/>
      <name val="Arial"/>
      <family val="2"/>
      <charset val="186"/>
    </font>
    <font>
      <sz val="10"/>
      <name val="Helv"/>
    </font>
    <font>
      <b/>
      <sz val="10"/>
      <name val="Helv"/>
      <charset val="186"/>
    </font>
    <font>
      <b/>
      <sz val="11"/>
      <name val="Times New Roman"/>
      <family val="1"/>
      <charset val="186"/>
    </font>
    <font>
      <sz val="11"/>
      <name val="Times New Roman"/>
      <family val="1"/>
      <charset val="186"/>
    </font>
    <font>
      <sz val="11"/>
      <color indexed="64"/>
      <name val="Times New Roman"/>
      <family val="1"/>
      <charset val="186"/>
    </font>
    <font>
      <i/>
      <sz val="11"/>
      <name val="Times New Roman"/>
      <family val="1"/>
      <charset val="186"/>
    </font>
    <font>
      <sz val="11"/>
      <color indexed="8"/>
      <name val="Times New Roman"/>
      <family val="1"/>
      <charset val="186"/>
    </font>
    <font>
      <b/>
      <sz val="11"/>
      <color indexed="8"/>
      <name val="Times New Roman"/>
      <family val="1"/>
      <charset val="186"/>
    </font>
    <font>
      <sz val="10"/>
      <name val="Arial"/>
      <family val="2"/>
    </font>
    <font>
      <u/>
      <sz val="10"/>
      <color indexed="12"/>
      <name val="Arial"/>
      <family val="2"/>
      <charset val="186"/>
    </font>
    <font>
      <b/>
      <sz val="12"/>
      <color indexed="8"/>
      <name val="Times New Roman"/>
      <family val="1"/>
      <charset val="186"/>
    </font>
    <font>
      <b/>
      <sz val="10"/>
      <name val="Arial"/>
      <family val="2"/>
      <charset val="186"/>
    </font>
    <font>
      <sz val="10"/>
      <name val="Times New Roman"/>
      <family val="1"/>
      <charset val="186"/>
    </font>
    <font>
      <sz val="10"/>
      <name val="Arial"/>
      <family val="2"/>
      <charset val="186"/>
    </font>
    <font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sz val="11"/>
      <color rgb="FF9C6500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8"/>
      <color theme="3"/>
      <name val="Cambria"/>
      <family val="2"/>
      <charset val="186"/>
      <scheme val="major"/>
    </font>
    <font>
      <b/>
      <sz val="11"/>
      <color theme="1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75A26E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4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8" fillId="26" borderId="0" applyNumberFormat="0" applyBorder="0" applyAlignment="0" applyProtection="0"/>
    <xf numFmtId="0" fontId="19" fillId="27" borderId="46" applyNumberFormat="0" applyAlignment="0" applyProtection="0"/>
    <xf numFmtId="0" fontId="20" fillId="28" borderId="47" applyNumberForma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48" applyNumberFormat="0" applyFill="0" applyAlignment="0" applyProtection="0"/>
    <xf numFmtId="0" fontId="24" fillId="0" borderId="49" applyNumberFormat="0" applyFill="0" applyAlignment="0" applyProtection="0"/>
    <xf numFmtId="0" fontId="25" fillId="0" borderId="50" applyNumberFormat="0" applyFill="0" applyAlignment="0" applyProtection="0"/>
    <xf numFmtId="0" fontId="25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26" fillId="30" borderId="46" applyNumberFormat="0" applyAlignment="0" applyProtection="0"/>
    <xf numFmtId="0" fontId="27" fillId="0" borderId="51" applyNumberFormat="0" applyFill="0" applyAlignment="0" applyProtection="0"/>
    <xf numFmtId="0" fontId="28" fillId="31" borderId="0" applyNumberFormat="0" applyBorder="0" applyAlignment="0" applyProtection="0"/>
    <xf numFmtId="0" fontId="1" fillId="0" borderId="0"/>
    <xf numFmtId="0" fontId="1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5" fillId="0" borderId="0"/>
    <xf numFmtId="0" fontId="16" fillId="32" borderId="52" applyNumberFormat="0" applyFont="0" applyAlignment="0" applyProtection="0"/>
    <xf numFmtId="0" fontId="29" fillId="27" borderId="53" applyNumberFormat="0" applyAlignment="0" applyProtection="0"/>
    <xf numFmtId="9" fontId="1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54" applyNumberFormat="0" applyFill="0" applyAlignment="0" applyProtection="0"/>
    <xf numFmtId="0" fontId="32" fillId="0" borderId="0" applyNumberFormat="0" applyFill="0" applyBorder="0" applyAlignment="0" applyProtection="0"/>
  </cellStyleXfs>
  <cellXfs count="114">
    <xf numFmtId="0" fontId="0" fillId="0" borderId="0" xfId="0"/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3" fontId="9" fillId="33" borderId="4" xfId="0" applyNumberFormat="1" applyFont="1" applyFill="1" applyBorder="1" applyAlignment="1">
      <alignment horizontal="center" vertical="center" wrapText="1"/>
    </xf>
    <xf numFmtId="3" fontId="9" fillId="33" borderId="5" xfId="0" applyNumberFormat="1" applyFont="1" applyFill="1" applyBorder="1" applyAlignment="1">
      <alignment horizontal="center" vertical="center" wrapText="1"/>
    </xf>
    <xf numFmtId="166" fontId="8" fillId="0" borderId="6" xfId="0" applyNumberFormat="1" applyFont="1" applyBorder="1" applyAlignment="1">
      <alignment horizontal="center" vertical="center" wrapText="1"/>
    </xf>
    <xf numFmtId="166" fontId="8" fillId="0" borderId="7" xfId="0" applyNumberFormat="1" applyFont="1" applyBorder="1" applyAlignment="1">
      <alignment horizontal="center" vertical="center" wrapText="1"/>
    </xf>
    <xf numFmtId="166" fontId="8" fillId="0" borderId="8" xfId="0" applyNumberFormat="1" applyFont="1" applyBorder="1" applyAlignment="1">
      <alignment horizontal="center" vertical="center" wrapText="1"/>
    </xf>
    <xf numFmtId="166" fontId="8" fillId="0" borderId="9" xfId="0" applyNumberFormat="1" applyFont="1" applyBorder="1" applyAlignment="1">
      <alignment horizontal="center" vertical="center" wrapText="1"/>
    </xf>
    <xf numFmtId="166" fontId="8" fillId="0" borderId="10" xfId="0" applyNumberFormat="1" applyFont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166" fontId="8" fillId="0" borderId="12" xfId="0" applyNumberFormat="1" applyFont="1" applyBorder="1" applyAlignment="1">
      <alignment horizontal="center" vertical="center" wrapText="1"/>
    </xf>
    <xf numFmtId="166" fontId="9" fillId="0" borderId="13" xfId="0" applyNumberFormat="1" applyFont="1" applyBorder="1" applyAlignment="1">
      <alignment horizontal="center" vertical="center" wrapText="1"/>
    </xf>
    <xf numFmtId="166" fontId="9" fillId="0" borderId="5" xfId="0" applyNumberFormat="1" applyFont="1" applyBorder="1" applyAlignment="1">
      <alignment horizontal="center" vertical="center" wrapText="1"/>
    </xf>
    <xf numFmtId="166" fontId="9" fillId="0" borderId="4" xfId="0" applyNumberFormat="1" applyFont="1" applyBorder="1" applyAlignment="1">
      <alignment horizontal="center" vertical="center" wrapText="1"/>
    </xf>
    <xf numFmtId="166" fontId="9" fillId="0" borderId="15" xfId="0" applyNumberFormat="1" applyFont="1" applyBorder="1" applyAlignment="1">
      <alignment horizontal="center" vertical="center" wrapText="1"/>
    </xf>
    <xf numFmtId="166" fontId="9" fillId="0" borderId="16" xfId="0" applyNumberFormat="1" applyFont="1" applyBorder="1" applyAlignment="1">
      <alignment horizontal="center" vertical="center" wrapText="1"/>
    </xf>
    <xf numFmtId="166" fontId="8" fillId="0" borderId="17" xfId="0" applyNumberFormat="1" applyFont="1" applyBorder="1" applyAlignment="1">
      <alignment horizontal="center" vertical="center" wrapText="1"/>
    </xf>
    <xf numFmtId="166" fontId="8" fillId="0" borderId="18" xfId="0" applyNumberFormat="1" applyFont="1" applyBorder="1" applyAlignment="1">
      <alignment horizontal="center" vertical="center" wrapText="1"/>
    </xf>
    <xf numFmtId="166" fontId="8" fillId="0" borderId="19" xfId="0" applyNumberFormat="1" applyFont="1" applyBorder="1" applyAlignment="1">
      <alignment horizontal="center" vertical="center" wrapText="1"/>
    </xf>
    <xf numFmtId="166" fontId="9" fillId="0" borderId="20" xfId="0" applyNumberFormat="1" applyFont="1" applyBorder="1" applyAlignment="1">
      <alignment horizontal="center" vertical="center" wrapText="1"/>
    </xf>
    <xf numFmtId="166" fontId="9" fillId="0" borderId="21" xfId="0" applyNumberFormat="1" applyFont="1" applyBorder="1" applyAlignment="1">
      <alignment horizontal="center" vertical="center" wrapText="1"/>
    </xf>
    <xf numFmtId="166" fontId="9" fillId="0" borderId="22" xfId="0" applyNumberFormat="1" applyFont="1" applyBorder="1" applyAlignment="1">
      <alignment horizontal="center" vertical="center" wrapText="1"/>
    </xf>
    <xf numFmtId="166" fontId="8" fillId="0" borderId="23" xfId="0" applyNumberFormat="1" applyFont="1" applyBorder="1" applyAlignment="1">
      <alignment horizontal="center" vertical="center" wrapText="1"/>
    </xf>
    <xf numFmtId="2" fontId="9" fillId="34" borderId="0" xfId="0" applyNumberFormat="1" applyFont="1" applyFill="1" applyBorder="1" applyAlignment="1">
      <alignment horizontal="center" vertical="center" wrapText="1"/>
    </xf>
    <xf numFmtId="2" fontId="8" fillId="34" borderId="0" xfId="0" applyNumberFormat="1" applyFont="1" applyFill="1" applyBorder="1" applyAlignment="1">
      <alignment horizontal="center" vertical="center" wrapText="1"/>
    </xf>
    <xf numFmtId="0" fontId="2" fillId="34" borderId="0" xfId="0" applyFont="1" applyFill="1"/>
    <xf numFmtId="0" fontId="3" fillId="34" borderId="0" xfId="0" applyFont="1" applyFill="1"/>
    <xf numFmtId="3" fontId="8" fillId="34" borderId="0" xfId="0" applyNumberFormat="1" applyFont="1" applyFill="1" applyAlignment="1">
      <alignment horizontal="center"/>
    </xf>
    <xf numFmtId="166" fontId="8" fillId="0" borderId="24" xfId="0" applyNumberFormat="1" applyFont="1" applyBorder="1" applyAlignment="1">
      <alignment horizontal="center" vertical="center" wrapText="1"/>
    </xf>
    <xf numFmtId="166" fontId="8" fillId="0" borderId="25" xfId="0" applyNumberFormat="1" applyFont="1" applyBorder="1" applyAlignment="1">
      <alignment horizontal="center" vertical="center" wrapText="1"/>
    </xf>
    <xf numFmtId="166" fontId="8" fillId="0" borderId="26" xfId="0" applyNumberFormat="1" applyFont="1" applyBorder="1" applyAlignment="1">
      <alignment horizontal="center" vertical="center" wrapText="1"/>
    </xf>
    <xf numFmtId="166" fontId="8" fillId="0" borderId="27" xfId="0" applyNumberFormat="1" applyFont="1" applyBorder="1" applyAlignment="1">
      <alignment horizontal="center" vertical="center" wrapText="1"/>
    </xf>
    <xf numFmtId="166" fontId="8" fillId="0" borderId="28" xfId="0" applyNumberFormat="1" applyFont="1" applyBorder="1" applyAlignment="1">
      <alignment horizontal="center" vertical="center" wrapText="1"/>
    </xf>
    <xf numFmtId="166" fontId="8" fillId="0" borderId="29" xfId="0" applyNumberFormat="1" applyFont="1" applyBorder="1" applyAlignment="1">
      <alignment horizontal="center" vertical="center" wrapText="1"/>
    </xf>
    <xf numFmtId="166" fontId="9" fillId="0" borderId="30" xfId="0" applyNumberFormat="1" applyFont="1" applyBorder="1" applyAlignment="1">
      <alignment horizontal="center" vertical="center" wrapText="1"/>
    </xf>
    <xf numFmtId="166" fontId="9" fillId="0" borderId="31" xfId="0" applyNumberFormat="1" applyFont="1" applyBorder="1" applyAlignment="1">
      <alignment horizontal="center" vertical="center" wrapText="1"/>
    </xf>
    <xf numFmtId="3" fontId="9" fillId="33" borderId="13" xfId="0" applyNumberFormat="1" applyFont="1" applyFill="1" applyBorder="1" applyAlignment="1">
      <alignment horizontal="center" vertical="center" wrapText="1"/>
    </xf>
    <xf numFmtId="3" fontId="9" fillId="33" borderId="31" xfId="0" applyNumberFormat="1" applyFont="1" applyFill="1" applyBorder="1" applyAlignment="1">
      <alignment horizontal="center" vertical="center" wrapText="1"/>
    </xf>
    <xf numFmtId="4" fontId="8" fillId="0" borderId="33" xfId="0" applyNumberFormat="1" applyFont="1" applyBorder="1" applyAlignment="1">
      <alignment horizontal="center" vertical="center" wrapText="1"/>
    </xf>
    <xf numFmtId="4" fontId="8" fillId="0" borderId="34" xfId="0" applyNumberFormat="1" applyFont="1" applyBorder="1" applyAlignment="1">
      <alignment horizontal="center" vertical="center" wrapText="1"/>
    </xf>
    <xf numFmtId="4" fontId="8" fillId="0" borderId="35" xfId="0" applyNumberFormat="1" applyFont="1" applyBorder="1" applyAlignment="1">
      <alignment horizontal="center" vertical="center" wrapText="1"/>
    </xf>
    <xf numFmtId="2" fontId="5" fillId="0" borderId="33" xfId="0" applyNumberFormat="1" applyFont="1" applyBorder="1" applyAlignment="1">
      <alignment horizontal="center" vertical="top" wrapText="1"/>
    </xf>
    <xf numFmtId="2" fontId="5" fillId="0" borderId="34" xfId="0" applyNumberFormat="1" applyFont="1" applyBorder="1" applyAlignment="1">
      <alignment horizontal="center" vertical="top" wrapText="1"/>
    </xf>
    <xf numFmtId="2" fontId="5" fillId="0" borderId="35" xfId="0" applyNumberFormat="1" applyFont="1" applyBorder="1" applyAlignment="1">
      <alignment horizontal="center" vertical="top" wrapText="1"/>
    </xf>
    <xf numFmtId="2" fontId="9" fillId="0" borderId="36" xfId="0" applyNumberFormat="1" applyFont="1" applyBorder="1" applyAlignment="1">
      <alignment horizontal="center" vertical="center" wrapText="1"/>
    </xf>
    <xf numFmtId="165" fontId="5" fillId="0" borderId="37" xfId="0" applyNumberFormat="1" applyFont="1" applyBorder="1" applyAlignment="1">
      <alignment horizontal="center" vertical="top" wrapText="1"/>
    </xf>
    <xf numFmtId="165" fontId="5" fillId="0" borderId="38" xfId="0" applyNumberFormat="1" applyFont="1" applyBorder="1" applyAlignment="1">
      <alignment horizontal="center" vertical="top" wrapText="1"/>
    </xf>
    <xf numFmtId="165" fontId="5" fillId="0" borderId="39" xfId="0" applyNumberFormat="1" applyFont="1" applyBorder="1" applyAlignment="1">
      <alignment horizontal="center" vertical="top" wrapText="1"/>
    </xf>
    <xf numFmtId="0" fontId="12" fillId="0" borderId="9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14" fontId="3" fillId="34" borderId="0" xfId="0" applyNumberFormat="1" applyFont="1" applyFill="1"/>
    <xf numFmtId="9" fontId="5" fillId="0" borderId="33" xfId="0" applyNumberFormat="1" applyFont="1" applyBorder="1" applyAlignment="1">
      <alignment horizontal="center" vertical="top" wrapText="1"/>
    </xf>
    <xf numFmtId="9" fontId="5" fillId="0" borderId="34" xfId="0" applyNumberFormat="1" applyFont="1" applyBorder="1" applyAlignment="1">
      <alignment horizontal="center" vertical="top" wrapText="1"/>
    </xf>
    <xf numFmtId="9" fontId="5" fillId="0" borderId="39" xfId="0" applyNumberFormat="1" applyFont="1" applyBorder="1" applyAlignment="1">
      <alignment horizontal="center" vertical="top" wrapText="1"/>
    </xf>
    <xf numFmtId="167" fontId="0" fillId="0" borderId="0" xfId="0" applyNumberFormat="1"/>
    <xf numFmtId="168" fontId="14" fillId="0" borderId="43" xfId="28" applyNumberFormat="1" applyFont="1" applyBorder="1"/>
    <xf numFmtId="168" fontId="13" fillId="0" borderId="9" xfId="28" applyNumberFormat="1" applyFont="1" applyBorder="1"/>
    <xf numFmtId="168" fontId="0" fillId="0" borderId="9" xfId="28" applyNumberFormat="1" applyFont="1" applyBorder="1"/>
    <xf numFmtId="169" fontId="0" fillId="0" borderId="9" xfId="0" applyNumberFormat="1" applyFill="1" applyBorder="1" applyAlignment="1" applyProtection="1"/>
    <xf numFmtId="169" fontId="13" fillId="0" borderId="9" xfId="28" applyNumberFormat="1" applyFont="1" applyBorder="1"/>
    <xf numFmtId="168" fontId="0" fillId="0" borderId="0" xfId="0" applyNumberFormat="1"/>
    <xf numFmtId="14" fontId="3" fillId="34" borderId="0" xfId="0" applyNumberFormat="1" applyFont="1" applyFill="1" applyAlignment="1">
      <alignment horizontal="center"/>
    </xf>
    <xf numFmtId="0" fontId="7" fillId="0" borderId="14" xfId="0" applyFont="1" applyBorder="1" applyAlignment="1">
      <alignment vertical="top" wrapText="1"/>
    </xf>
    <xf numFmtId="0" fontId="7" fillId="0" borderId="36" xfId="0" applyFont="1" applyBorder="1" applyAlignment="1">
      <alignment vertical="top" wrapText="1"/>
    </xf>
    <xf numFmtId="0" fontId="7" fillId="0" borderId="41" xfId="0" applyFont="1" applyBorder="1" applyAlignment="1">
      <alignment vertical="top" wrapText="1"/>
    </xf>
    <xf numFmtId="2" fontId="5" fillId="0" borderId="37" xfId="0" applyNumberFormat="1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wrapText="1"/>
    </xf>
    <xf numFmtId="2" fontId="5" fillId="0" borderId="38" xfId="0" applyNumberFormat="1" applyFont="1" applyBorder="1" applyAlignment="1">
      <alignment horizontal="center" vertical="top" wrapText="1"/>
    </xf>
    <xf numFmtId="2" fontId="5" fillId="0" borderId="2" xfId="0" applyNumberFormat="1" applyFont="1" applyBorder="1" applyAlignment="1">
      <alignment horizontal="center" vertical="top" wrapText="1"/>
    </xf>
    <xf numFmtId="0" fontId="5" fillId="0" borderId="58" xfId="0" applyFont="1" applyBorder="1" applyAlignment="1">
      <alignment horizontal="left" vertical="top" wrapText="1"/>
    </xf>
    <xf numFmtId="165" fontId="5" fillId="0" borderId="59" xfId="0" applyNumberFormat="1" applyFont="1" applyBorder="1" applyAlignment="1">
      <alignment horizontal="center" vertical="top" wrapText="1"/>
    </xf>
    <xf numFmtId="2" fontId="5" fillId="0" borderId="59" xfId="0" applyNumberFormat="1" applyFont="1" applyBorder="1" applyAlignment="1">
      <alignment horizontal="center" vertical="top" wrapText="1"/>
    </xf>
    <xf numFmtId="2" fontId="5" fillId="0" borderId="58" xfId="0" applyNumberFormat="1" applyFont="1" applyBorder="1" applyAlignment="1">
      <alignment horizontal="center" vertical="top" wrapText="1"/>
    </xf>
    <xf numFmtId="0" fontId="5" fillId="0" borderId="60" xfId="0" applyFont="1" applyBorder="1" applyAlignment="1">
      <alignment horizontal="left" vertical="top" wrapText="1"/>
    </xf>
    <xf numFmtId="165" fontId="5" fillId="0" borderId="60" xfId="0" applyNumberFormat="1" applyFont="1" applyBorder="1" applyAlignment="1">
      <alignment horizontal="center" vertical="top" wrapText="1"/>
    </xf>
    <xf numFmtId="2" fontId="5" fillId="0" borderId="60" xfId="0" applyNumberFormat="1" applyFont="1" applyBorder="1" applyAlignment="1">
      <alignment horizontal="center" vertical="top" wrapText="1"/>
    </xf>
    <xf numFmtId="4" fontId="8" fillId="0" borderId="60" xfId="0" applyNumberFormat="1" applyFont="1" applyBorder="1" applyAlignment="1">
      <alignment horizontal="center" vertical="top"/>
    </xf>
    <xf numFmtId="166" fontId="8" fillId="0" borderId="1" xfId="0" applyNumberFormat="1" applyFont="1" applyBorder="1" applyAlignment="1">
      <alignment horizontal="center" vertical="center" wrapText="1"/>
    </xf>
    <xf numFmtId="166" fontId="8" fillId="0" borderId="33" xfId="0" applyNumberFormat="1" applyFont="1" applyBorder="1" applyAlignment="1">
      <alignment horizontal="center" vertical="center" wrapText="1"/>
    </xf>
    <xf numFmtId="0" fontId="5" fillId="0" borderId="38" xfId="0" applyFont="1" applyBorder="1" applyAlignment="1">
      <alignment horizontal="left" vertical="top" wrapText="1"/>
    </xf>
    <xf numFmtId="4" fontId="8" fillId="0" borderId="38" xfId="0" applyNumberFormat="1" applyFont="1" applyBorder="1" applyAlignment="1">
      <alignment horizontal="center" vertical="top"/>
    </xf>
    <xf numFmtId="0" fontId="5" fillId="0" borderId="59" xfId="0" applyFont="1" applyBorder="1" applyAlignment="1">
      <alignment horizontal="left" vertical="top" wrapText="1"/>
    </xf>
    <xf numFmtId="4" fontId="8" fillId="0" borderId="59" xfId="0" applyNumberFormat="1" applyFont="1" applyBorder="1" applyAlignment="1">
      <alignment horizontal="center" vertical="top"/>
    </xf>
    <xf numFmtId="169" fontId="0" fillId="0" borderId="9" xfId="28" applyNumberFormat="1" applyFont="1" applyBorder="1"/>
    <xf numFmtId="166" fontId="8" fillId="0" borderId="61" xfId="0" applyNumberFormat="1" applyFont="1" applyBorder="1" applyAlignment="1">
      <alignment horizontal="center" vertical="center" wrapText="1"/>
    </xf>
    <xf numFmtId="166" fontId="8" fillId="0" borderId="32" xfId="0" applyNumberFormat="1" applyFont="1" applyBorder="1" applyAlignment="1">
      <alignment horizontal="center" vertical="center" wrapText="1"/>
    </xf>
    <xf numFmtId="168" fontId="13" fillId="0" borderId="0" xfId="28" applyNumberFormat="1" applyFont="1" applyBorder="1"/>
    <xf numFmtId="2" fontId="9" fillId="0" borderId="14" xfId="0" applyNumberFormat="1" applyFont="1" applyBorder="1" applyAlignment="1">
      <alignment horizontal="center" vertical="center" wrapText="1"/>
    </xf>
    <xf numFmtId="0" fontId="2" fillId="34" borderId="0" xfId="41" applyFont="1" applyFill="1" applyAlignment="1">
      <alignment horizontal="left"/>
    </xf>
    <xf numFmtId="2" fontId="9" fillId="0" borderId="14" xfId="0" applyNumberFormat="1" applyFont="1" applyBorder="1" applyAlignment="1">
      <alignment horizontal="center" vertical="center" wrapText="1"/>
    </xf>
    <xf numFmtId="2" fontId="9" fillId="0" borderId="41" xfId="0" applyNumberFormat="1" applyFont="1" applyBorder="1" applyAlignment="1">
      <alignment horizontal="center" vertical="center" wrapText="1"/>
    </xf>
    <xf numFmtId="0" fontId="3" fillId="34" borderId="0" xfId="41" applyFont="1" applyFill="1" applyAlignment="1">
      <alignment horizontal="left"/>
    </xf>
    <xf numFmtId="0" fontId="2" fillId="34" borderId="0" xfId="41" applyFont="1" applyFill="1" applyBorder="1" applyAlignment="1">
      <alignment horizontal="left"/>
    </xf>
    <xf numFmtId="0" fontId="2" fillId="34" borderId="0" xfId="41" applyFont="1" applyFill="1" applyAlignment="1">
      <alignment horizontal="left" wrapText="1"/>
    </xf>
    <xf numFmtId="3" fontId="9" fillId="33" borderId="42" xfId="0" applyNumberFormat="1" applyFont="1" applyFill="1" applyBorder="1" applyAlignment="1">
      <alignment horizontal="center" vertical="center" wrapText="1"/>
    </xf>
    <xf numFmtId="3" fontId="9" fillId="33" borderId="40" xfId="0" applyNumberFormat="1" applyFont="1" applyFill="1" applyBorder="1" applyAlignment="1">
      <alignment horizontal="center" vertical="center" wrapText="1"/>
    </xf>
    <xf numFmtId="0" fontId="4" fillId="33" borderId="14" xfId="0" applyFont="1" applyFill="1" applyBorder="1" applyAlignment="1">
      <alignment horizontal="left" vertical="center" wrapText="1"/>
    </xf>
    <xf numFmtId="0" fontId="4" fillId="33" borderId="36" xfId="0" applyFont="1" applyFill="1" applyBorder="1" applyAlignment="1">
      <alignment horizontal="left" vertical="center" wrapText="1"/>
    </xf>
    <xf numFmtId="0" fontId="4" fillId="33" borderId="41" xfId="0" applyFont="1" applyFill="1" applyBorder="1" applyAlignment="1">
      <alignment horizontal="left" vertical="center" wrapText="1"/>
    </xf>
    <xf numFmtId="0" fontId="4" fillId="33" borderId="55" xfId="0" applyFont="1" applyFill="1" applyBorder="1" applyAlignment="1">
      <alignment horizontal="center" vertical="center" wrapText="1"/>
    </xf>
    <xf numFmtId="0" fontId="4" fillId="33" borderId="56" xfId="0" applyFont="1" applyFill="1" applyBorder="1" applyAlignment="1">
      <alignment horizontal="center" vertical="center" wrapText="1"/>
    </xf>
    <xf numFmtId="0" fontId="4" fillId="33" borderId="44" xfId="0" applyFont="1" applyFill="1" applyBorder="1" applyAlignment="1">
      <alignment horizontal="center" vertical="center" wrapText="1"/>
    </xf>
    <xf numFmtId="0" fontId="4" fillId="33" borderId="45" xfId="0" applyFont="1" applyFill="1" applyBorder="1" applyAlignment="1">
      <alignment horizontal="center" vertical="center" wrapText="1"/>
    </xf>
    <xf numFmtId="0" fontId="4" fillId="33" borderId="40" xfId="0" applyFont="1" applyFill="1" applyBorder="1" applyAlignment="1">
      <alignment horizontal="center" vertical="center" wrapText="1"/>
    </xf>
    <xf numFmtId="0" fontId="4" fillId="33" borderId="57" xfId="0" applyFont="1" applyFill="1" applyBorder="1" applyAlignment="1">
      <alignment horizontal="center" vertical="center" wrapText="1"/>
    </xf>
    <xf numFmtId="3" fontId="9" fillId="33" borderId="14" xfId="0" applyNumberFormat="1" applyFont="1" applyFill="1" applyBorder="1" applyAlignment="1">
      <alignment horizontal="center" vertical="center" wrapText="1"/>
    </xf>
    <xf numFmtId="3" fontId="9" fillId="33" borderId="36" xfId="0" applyNumberFormat="1" applyFont="1" applyFill="1" applyBorder="1" applyAlignment="1">
      <alignment horizontal="center" vertical="center" wrapText="1"/>
    </xf>
  </cellXfs>
  <cellStyles count="5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Hyperlink 2" xfId="36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rmal 2" xfId="40"/>
    <cellStyle name="Normal 3" xfId="41"/>
    <cellStyle name="Normal 4" xfId="42"/>
    <cellStyle name="Normal 5" xfId="43"/>
    <cellStyle name="Normal 6" xfId="44"/>
    <cellStyle name="Normal 7" xfId="45"/>
    <cellStyle name="Normal 8" xfId="46"/>
    <cellStyle name="Normal 9" xfId="47"/>
    <cellStyle name="Note 2" xfId="48"/>
    <cellStyle name="Output" xfId="49" builtinId="21" customBuiltin="1"/>
    <cellStyle name="Percent 2" xfId="50"/>
    <cellStyle name="Title" xfId="51" builtinId="15" customBuiltin="1"/>
    <cellStyle name="Total" xfId="52" builtinId="25" customBuiltin="1"/>
    <cellStyle name="Warning Text" xfId="53" builtinId="11" customBuiltin="1"/>
  </cellStyles>
  <dxfs count="40"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title>
    <c:autoTitleDeleted val="0"/>
    <c:plotArea>
      <c:layout>
        <c:manualLayout>
          <c:layoutTarget val="inner"/>
          <c:xMode val="edge"/>
          <c:yMode val="edge"/>
          <c:x val="0.10310594737301673"/>
          <c:y val="0.25715894604083578"/>
          <c:w val="0.44413763348074642"/>
          <c:h val="0.58949176807444525"/>
        </c:manualLayout>
      </c:layout>
      <c:pieChart>
        <c:varyColors val="1"/>
        <c:ser>
          <c:idx val="0"/>
          <c:order val="0"/>
          <c:tx>
            <c:strRef>
              <c:f>'Papildomi duomenys'!$B$32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Lbl>
              <c:idx val="0"/>
              <c:layout>
                <c:manualLayout>
                  <c:x val="6.4188488066898612E-3"/>
                  <c:y val="2.777557237478279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4.5554015050444277E-2"/>
                  <c:y val="2.8963000123599508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6.5656167979002622E-3"/>
                  <c:y val="-4.6799358413531639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8.145231846019247E-3"/>
                  <c:y val="-3.03998979294254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1.8390666282993674E-2"/>
                  <c:y val="-9.4046138969470922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9.2651790619195859E-3"/>
                  <c:y val="-2.347576359049301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2.5440046738343755E-2"/>
                  <c:y val="-1.720970474258584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.00\ %" sourceLinked="0"/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lt-L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'Papildomi duomenys'!$A$33:$A$37</c:f>
              <c:strCache>
                <c:ptCount val="5"/>
                <c:pt idx="0">
                  <c:v>"Swedbank investicijų valdymas", UAB 124815377</c:v>
                </c:pt>
                <c:pt idx="1">
                  <c:v>UAB "SEB investicijų valdymas" 125277981</c:v>
                </c:pt>
                <c:pt idx="2">
                  <c:v>Uždaroji akcinė gyvybės draudimo ir pensijų bendrovė "Aviva Lietuva" 111744827</c:v>
                </c:pt>
                <c:pt idx="3">
                  <c:v>UAB "INVL Asset Management" 126263073</c:v>
                </c:pt>
                <c:pt idx="4">
                  <c:v>Luminor investicijų valdymas UAB 226299280</c:v>
                </c:pt>
              </c:strCache>
            </c:strRef>
          </c:cat>
          <c:val>
            <c:numRef>
              <c:f>'Papildomi duomenys'!$B$33:$B$37</c:f>
              <c:numCache>
                <c:formatCode>###\ ###\ ###</c:formatCode>
                <c:ptCount val="5"/>
                <c:pt idx="0">
                  <c:v>526176</c:v>
                </c:pt>
                <c:pt idx="1">
                  <c:v>296824</c:v>
                </c:pt>
                <c:pt idx="2">
                  <c:v>227582</c:v>
                </c:pt>
                <c:pt idx="3">
                  <c:v>134565</c:v>
                </c:pt>
                <c:pt idx="4">
                  <c:v>132597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015721249129582"/>
          <c:y val="0.14673160211632688"/>
          <c:w val="0.37289303122823936"/>
          <c:h val="0.8420140061499084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'Papildomi duomenys'!$B$70</c:f>
              <c:strCache>
                <c:ptCount val="1"/>
                <c:pt idx="0">
                  <c:v>Grynieji aktyvai, Eur</c:v>
                </c:pt>
              </c:strCache>
            </c:strRef>
          </c:tx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Lbl>
              <c:idx val="0"/>
              <c:layout>
                <c:manualLayout>
                  <c:x val="6.4188488066898612E-3"/>
                  <c:y val="2.777557237478279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4.5554015050444277E-2"/>
                  <c:y val="2.8963000123599508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6.5656167979002622E-3"/>
                  <c:y val="-4.6799358413531639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8.145231846019247E-3"/>
                  <c:y val="-3.03998979294254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1.8390666282993674E-2"/>
                  <c:y val="-9.4046138969470922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9.2651790619195859E-3"/>
                  <c:y val="-2.347576359049301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2.5440046738343755E-2"/>
                  <c:y val="-1.720970474258584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.00\ %" sourceLinked="0"/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lt-L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'Papildomi duomenys'!$A$71:$A$75</c:f>
              <c:strCache>
                <c:ptCount val="5"/>
                <c:pt idx="0">
                  <c:v>"Swedbank investicijų valdymas", UAB 124815377</c:v>
                </c:pt>
                <c:pt idx="1">
                  <c:v>UAB "SEB investicijų valdymas" 125277981</c:v>
                </c:pt>
                <c:pt idx="2">
                  <c:v>Uždaroji akcinė gyvybės draudimo ir pensijų bendrovė "Aviva Lietuva" 111744827</c:v>
                </c:pt>
                <c:pt idx="3">
                  <c:v>UAB "INVL Asset Management" 126263073</c:v>
                </c:pt>
                <c:pt idx="4">
                  <c:v>„Luminor investicijų valdymas“, UAB 226299280</c:v>
                </c:pt>
              </c:strCache>
            </c:strRef>
          </c:cat>
          <c:val>
            <c:numRef>
              <c:f>'Papildomi duomenys'!$B$71:$B$75</c:f>
              <c:numCache>
                <c:formatCode>###\ ###\ ###</c:formatCode>
                <c:ptCount val="5"/>
                <c:pt idx="0" formatCode="###\ ###\ ###\ ###">
                  <c:v>1155286058.5600002</c:v>
                </c:pt>
                <c:pt idx="1">
                  <c:v>794293755.75999999</c:v>
                </c:pt>
                <c:pt idx="2">
                  <c:v>485343137.86000001</c:v>
                </c:pt>
                <c:pt idx="3">
                  <c:v>359865964.92829996</c:v>
                </c:pt>
                <c:pt idx="4">
                  <c:v>323559732.13239998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579499098757227"/>
          <c:y val="0.15804300147413081"/>
          <c:w val="0.38161043122621718"/>
          <c:h val="0.8283633552655234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2</xdr:row>
      <xdr:rowOff>106680</xdr:rowOff>
    </xdr:from>
    <xdr:to>
      <xdr:col>8</xdr:col>
      <xdr:colOff>182880</xdr:colOff>
      <xdr:row>21</xdr:row>
      <xdr:rowOff>152400</xdr:rowOff>
    </xdr:to>
    <xdr:graphicFrame macro="">
      <xdr:nvGraphicFramePr>
        <xdr:cNvPr id="139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670560</xdr:colOff>
      <xdr:row>34</xdr:row>
      <xdr:rowOff>160020</xdr:rowOff>
    </xdr:from>
    <xdr:to>
      <xdr:col>8</xdr:col>
      <xdr:colOff>342900</xdr:colOff>
      <xdr:row>50</xdr:row>
      <xdr:rowOff>137160</xdr:rowOff>
    </xdr:to>
    <xdr:graphicFrame macro="">
      <xdr:nvGraphicFramePr>
        <xdr:cNvPr id="139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abSelected="1" zoomScale="80" zoomScaleNormal="80" workbookViewId="0">
      <selection activeCell="F9" sqref="F9"/>
    </sheetView>
  </sheetViews>
  <sheetFormatPr defaultColWidth="30.140625" defaultRowHeight="12.75" x14ac:dyDescent="0.2"/>
  <cols>
    <col min="2" max="2" width="16.5703125" customWidth="1"/>
    <col min="3" max="3" width="15" customWidth="1"/>
    <col min="4" max="4" width="14.28515625" customWidth="1"/>
    <col min="5" max="5" width="15.85546875" customWidth="1"/>
    <col min="6" max="6" width="17.85546875" customWidth="1"/>
    <col min="7" max="7" width="18.28515625" customWidth="1"/>
    <col min="8" max="8" width="18.5703125" customWidth="1"/>
    <col min="9" max="9" width="20" customWidth="1"/>
    <col min="10" max="10" width="19.42578125" customWidth="1"/>
    <col min="11" max="11" width="15.5703125" customWidth="1"/>
    <col min="12" max="12" width="14.7109375" customWidth="1"/>
  </cols>
  <sheetData>
    <row r="1" spans="1:12" ht="15.75" thickBot="1" x14ac:dyDescent="0.3">
      <c r="A1" s="68">
        <v>43465</v>
      </c>
      <c r="B1" s="31"/>
      <c r="C1" s="57"/>
      <c r="D1" s="30"/>
      <c r="E1" s="32"/>
      <c r="F1" s="32"/>
      <c r="G1" s="32"/>
      <c r="H1" s="32"/>
      <c r="I1" s="32"/>
      <c r="J1" s="32"/>
      <c r="K1" s="32"/>
      <c r="L1" s="32"/>
    </row>
    <row r="2" spans="1:12" ht="15" thickBot="1" x14ac:dyDescent="0.25">
      <c r="A2" s="106" t="s">
        <v>0</v>
      </c>
      <c r="B2" s="108" t="s">
        <v>15</v>
      </c>
      <c r="C2" s="110" t="s">
        <v>32</v>
      </c>
      <c r="D2" s="110" t="s">
        <v>29</v>
      </c>
      <c r="E2" s="112" t="s">
        <v>33</v>
      </c>
      <c r="F2" s="113"/>
      <c r="G2" s="113"/>
      <c r="H2" s="113"/>
      <c r="I2" s="101" t="s">
        <v>20</v>
      </c>
      <c r="J2" s="102"/>
      <c r="K2" s="101" t="s">
        <v>16</v>
      </c>
      <c r="L2" s="102"/>
    </row>
    <row r="3" spans="1:12" ht="72" thickBot="1" x14ac:dyDescent="0.25">
      <c r="A3" s="107"/>
      <c r="B3" s="109"/>
      <c r="C3" s="111"/>
      <c r="D3" s="111"/>
      <c r="E3" s="7" t="s">
        <v>66</v>
      </c>
      <c r="F3" s="41" t="s">
        <v>67</v>
      </c>
      <c r="G3" s="41" t="s">
        <v>68</v>
      </c>
      <c r="H3" s="42" t="s">
        <v>69</v>
      </c>
      <c r="I3" s="7" t="s">
        <v>70</v>
      </c>
      <c r="J3" s="42" t="s">
        <v>71</v>
      </c>
      <c r="K3" s="7" t="s">
        <v>72</v>
      </c>
      <c r="L3" s="8" t="s">
        <v>73</v>
      </c>
    </row>
    <row r="4" spans="1:12" ht="15" thickBot="1" x14ac:dyDescent="0.25">
      <c r="A4" s="103" t="s">
        <v>17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5"/>
    </row>
    <row r="5" spans="1:12" ht="15" x14ac:dyDescent="0.25">
      <c r="A5" s="1" t="s">
        <v>6</v>
      </c>
      <c r="B5" s="50">
        <v>14.553424657534247</v>
      </c>
      <c r="C5" s="58">
        <v>0</v>
      </c>
      <c r="D5" s="43">
        <v>57.761843890000002</v>
      </c>
      <c r="E5" s="36">
        <v>0.41459369817578029</v>
      </c>
      <c r="F5" s="10">
        <v>0.17262843270804407</v>
      </c>
      <c r="G5" s="10">
        <v>2.085584085514447</v>
      </c>
      <c r="H5" s="33">
        <v>4.1100677282588594</v>
      </c>
      <c r="I5" s="9">
        <v>0.25833805313786318</v>
      </c>
      <c r="J5" s="21">
        <v>1.0893646200385465</v>
      </c>
      <c r="K5" s="36">
        <v>1.7638818877710165</v>
      </c>
      <c r="L5" s="21">
        <v>2.7483335397833368</v>
      </c>
    </row>
    <row r="6" spans="1:12" ht="15" x14ac:dyDescent="0.25">
      <c r="A6" s="2" t="s">
        <v>5</v>
      </c>
      <c r="B6" s="51">
        <v>14.553424657534247</v>
      </c>
      <c r="C6" s="59">
        <v>0</v>
      </c>
      <c r="D6" s="44">
        <v>9.5894405099999993</v>
      </c>
      <c r="E6" s="37">
        <v>-7.4719800747202747E-2</v>
      </c>
      <c r="F6" s="12">
        <v>0.92237395383916176</v>
      </c>
      <c r="G6" s="12">
        <v>1.8980870729784272</v>
      </c>
      <c r="H6" s="34">
        <v>2.2903508995326893</v>
      </c>
      <c r="I6" s="11">
        <v>0.55216404698184007</v>
      </c>
      <c r="J6" s="22">
        <v>1.7202617566285161</v>
      </c>
      <c r="K6" s="37">
        <v>2.1146036522824958</v>
      </c>
      <c r="L6" s="22">
        <v>1.9905926548833237</v>
      </c>
    </row>
    <row r="7" spans="1:12" ht="15" x14ac:dyDescent="0.2">
      <c r="A7" s="3" t="s">
        <v>61</v>
      </c>
      <c r="B7" s="51">
        <v>14.553424657534247</v>
      </c>
      <c r="C7" s="59">
        <v>0</v>
      </c>
      <c r="D7" s="44">
        <v>31.563118468999999</v>
      </c>
      <c r="E7" s="37">
        <v>-0.53663089127390373</v>
      </c>
      <c r="F7" s="12">
        <v>-0.14812526555426642</v>
      </c>
      <c r="G7" s="12">
        <v>0.79260638393667815</v>
      </c>
      <c r="H7" s="34">
        <v>2.7851652547561834</v>
      </c>
      <c r="I7" s="11">
        <v>0.54557710783391666</v>
      </c>
      <c r="J7" s="22">
        <v>1.7869221830005388</v>
      </c>
      <c r="K7" s="37">
        <v>0.83498803092683305</v>
      </c>
      <c r="L7" s="22">
        <v>1.6569028573994449</v>
      </c>
    </row>
    <row r="8" spans="1:12" ht="15" x14ac:dyDescent="0.2">
      <c r="A8" s="3" t="s">
        <v>25</v>
      </c>
      <c r="B8" s="51">
        <v>14.553424657534247</v>
      </c>
      <c r="C8" s="59">
        <v>0</v>
      </c>
      <c r="D8" s="44">
        <v>17.159295240700001</v>
      </c>
      <c r="E8" s="37">
        <v>-2.1958456973293683</v>
      </c>
      <c r="F8" s="12">
        <v>0.26433632527924633</v>
      </c>
      <c r="G8" s="12">
        <v>1.5191153049064487</v>
      </c>
      <c r="H8" s="34">
        <v>4.0624479204809161</v>
      </c>
      <c r="I8" s="11">
        <v>0.49796970758513304</v>
      </c>
      <c r="J8" s="22">
        <v>1.3394015520950431</v>
      </c>
      <c r="K8" s="37">
        <v>1.5163174154155667</v>
      </c>
      <c r="L8" s="22">
        <v>2.1007251351291671</v>
      </c>
    </row>
    <row r="9" spans="1:12" ht="15" x14ac:dyDescent="0.25">
      <c r="A9" s="2" t="s">
        <v>4</v>
      </c>
      <c r="B9" s="51">
        <v>14.553424657534247</v>
      </c>
      <c r="C9" s="59">
        <v>0</v>
      </c>
      <c r="D9" s="44">
        <v>86.91571734</v>
      </c>
      <c r="E9" s="37">
        <v>-0.67567567567566877</v>
      </c>
      <c r="F9" s="12">
        <v>-0.38082418403818652</v>
      </c>
      <c r="G9" s="12">
        <v>0.57493409621649505</v>
      </c>
      <c r="H9" s="34">
        <v>1.9137733742872642</v>
      </c>
      <c r="I9" s="11">
        <v>0.81925068062320694</v>
      </c>
      <c r="J9" s="22">
        <v>1.6367034715918827</v>
      </c>
      <c r="K9" s="37">
        <v>0.82796646064309387</v>
      </c>
      <c r="L9" s="22">
        <v>1.8585824201955692</v>
      </c>
    </row>
    <row r="10" spans="1:12" ht="15.75" thickBot="1" x14ac:dyDescent="0.25">
      <c r="A10" s="4" t="s">
        <v>34</v>
      </c>
      <c r="B10" s="52">
        <v>14.553424657534247</v>
      </c>
      <c r="C10" s="60">
        <v>0</v>
      </c>
      <c r="D10" s="45">
        <v>41.138125950000003</v>
      </c>
      <c r="E10" s="38">
        <v>-0.19525801952580135</v>
      </c>
      <c r="F10" s="15">
        <v>7.4640818904891937E-2</v>
      </c>
      <c r="G10" s="15">
        <v>0.32169523033094283</v>
      </c>
      <c r="H10" s="35">
        <v>1.4378076346895252</v>
      </c>
      <c r="I10" s="13">
        <v>-0.23222891662325607</v>
      </c>
      <c r="J10" s="27">
        <v>-0.10437582061184614</v>
      </c>
      <c r="K10" s="38">
        <v>0.30922362613859244</v>
      </c>
      <c r="L10" s="23">
        <v>1.0780564867260563</v>
      </c>
    </row>
    <row r="11" spans="1:12" ht="15.75" thickBot="1" x14ac:dyDescent="0.25">
      <c r="A11" s="69" t="s">
        <v>35</v>
      </c>
      <c r="B11" s="70"/>
      <c r="C11" s="70"/>
      <c r="D11" s="71"/>
      <c r="E11" s="24">
        <v>-0.40058160891065203</v>
      </c>
      <c r="F11" s="19">
        <v>-4.9462083097103218E-2</v>
      </c>
      <c r="G11" s="19">
        <v>1.0301671853077217</v>
      </c>
      <c r="H11" s="39">
        <v>2.6261638584225868</v>
      </c>
      <c r="I11" s="18">
        <v>0.43904104427253338</v>
      </c>
      <c r="J11" s="17">
        <v>1.2113446742626772</v>
      </c>
      <c r="K11" s="26"/>
      <c r="L11" s="20"/>
    </row>
    <row r="12" spans="1:12" ht="15" thickBot="1" x14ac:dyDescent="0.25">
      <c r="A12" s="103" t="s">
        <v>3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5"/>
    </row>
    <row r="13" spans="1:12" ht="15" x14ac:dyDescent="0.25">
      <c r="A13" s="1" t="s">
        <v>7</v>
      </c>
      <c r="B13" s="50">
        <v>14.553424657534247</v>
      </c>
      <c r="C13" s="46" t="s">
        <v>36</v>
      </c>
      <c r="D13" s="46">
        <v>322.93408572999999</v>
      </c>
      <c r="E13" s="36">
        <v>-2.7521241226449944</v>
      </c>
      <c r="F13" s="10">
        <v>0.14604122597705604</v>
      </c>
      <c r="G13" s="10">
        <v>2.4801561001523753</v>
      </c>
      <c r="H13" s="33">
        <v>4.6312208185581794</v>
      </c>
      <c r="I13" s="9">
        <v>0.63274103752222199</v>
      </c>
      <c r="J13" s="21">
        <v>1.8919416573260683</v>
      </c>
      <c r="K13" s="36">
        <v>3.4847191295205846</v>
      </c>
      <c r="L13" s="21">
        <v>4.1898420223523143</v>
      </c>
    </row>
    <row r="14" spans="1:12" ht="15" x14ac:dyDescent="0.2">
      <c r="A14" s="5" t="s">
        <v>62</v>
      </c>
      <c r="B14" s="51">
        <v>14.553424657534247</v>
      </c>
      <c r="C14" s="47" t="s">
        <v>37</v>
      </c>
      <c r="D14" s="47">
        <v>117.0561850734</v>
      </c>
      <c r="E14" s="37">
        <v>-1.9635627530364297</v>
      </c>
      <c r="F14" s="12">
        <v>0.34652712992897516</v>
      </c>
      <c r="G14" s="12">
        <v>2.1187938194905165</v>
      </c>
      <c r="H14" s="34">
        <v>4.5185882089629814</v>
      </c>
      <c r="I14" s="11">
        <v>1.5414785440295509</v>
      </c>
      <c r="J14" s="22">
        <v>2.8818233318899988</v>
      </c>
      <c r="K14" s="37">
        <v>2.8259429825934346</v>
      </c>
      <c r="L14" s="22">
        <v>3.2347897371377097</v>
      </c>
    </row>
    <row r="15" spans="1:12" ht="15" x14ac:dyDescent="0.2">
      <c r="A15" s="5" t="s">
        <v>26</v>
      </c>
      <c r="B15" s="51">
        <v>14.553424657534247</v>
      </c>
      <c r="C15" s="47" t="s">
        <v>36</v>
      </c>
      <c r="D15" s="47">
        <v>20.912947749600001</v>
      </c>
      <c r="E15" s="37">
        <v>-4.1909814323607408</v>
      </c>
      <c r="F15" s="12">
        <v>2.5061235747979138</v>
      </c>
      <c r="G15" s="12">
        <v>3.3253281271218071</v>
      </c>
      <c r="H15" s="34">
        <v>6.9023450677433429</v>
      </c>
      <c r="I15" s="11">
        <v>3.4321733889203232</v>
      </c>
      <c r="J15" s="22">
        <v>4.6561961601787161</v>
      </c>
      <c r="K15" s="37">
        <v>3.646603137064139</v>
      </c>
      <c r="L15" s="22">
        <v>5.0475049160354768</v>
      </c>
    </row>
    <row r="16" spans="1:12" ht="15.75" thickBot="1" x14ac:dyDescent="0.25">
      <c r="A16" s="6" t="s">
        <v>8</v>
      </c>
      <c r="B16" s="52">
        <v>14.553424657534247</v>
      </c>
      <c r="C16" s="48" t="s">
        <v>36</v>
      </c>
      <c r="D16" s="48">
        <v>267.33864079</v>
      </c>
      <c r="E16" s="38">
        <v>-2.2411953041622246</v>
      </c>
      <c r="F16" s="15">
        <v>1.3684962787325228</v>
      </c>
      <c r="G16" s="15">
        <v>2.9778447285324638</v>
      </c>
      <c r="H16" s="35">
        <v>4.5860981301128367</v>
      </c>
      <c r="I16" s="14">
        <v>2.1609817629407058</v>
      </c>
      <c r="J16" s="23">
        <v>3.9214927694453117</v>
      </c>
      <c r="K16" s="38">
        <v>3.0799451662184012</v>
      </c>
      <c r="L16" s="23">
        <v>3.4438458785967976</v>
      </c>
    </row>
    <row r="17" spans="1:12" ht="15.75" thickBot="1" x14ac:dyDescent="0.25">
      <c r="A17" s="69" t="s">
        <v>38</v>
      </c>
      <c r="B17" s="70"/>
      <c r="C17" s="70"/>
      <c r="D17" s="71"/>
      <c r="E17" s="18">
        <v>-2.4769823961463002</v>
      </c>
      <c r="F17" s="16">
        <v>0.6963646927247833</v>
      </c>
      <c r="G17" s="16">
        <v>2.6297687545404469</v>
      </c>
      <c r="H17" s="40">
        <v>4.6602373604157883</v>
      </c>
      <c r="I17" s="24">
        <v>1.4222376267037851</v>
      </c>
      <c r="J17" s="20">
        <v>2.8787717129887316</v>
      </c>
      <c r="K17" s="26"/>
      <c r="L17" s="20"/>
    </row>
    <row r="18" spans="1:12" ht="15" thickBot="1" x14ac:dyDescent="0.25">
      <c r="A18" s="103" t="s">
        <v>13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5"/>
    </row>
    <row r="19" spans="1:12" ht="15" x14ac:dyDescent="0.25">
      <c r="A19" s="1" t="s">
        <v>11</v>
      </c>
      <c r="B19" s="50">
        <v>12.906849315068493</v>
      </c>
      <c r="C19" s="72" t="s">
        <v>39</v>
      </c>
      <c r="D19" s="73">
        <v>104.64720824</v>
      </c>
      <c r="E19" s="9">
        <v>-5.0904219691895625</v>
      </c>
      <c r="F19" s="10">
        <v>7.8425221872846507E-3</v>
      </c>
      <c r="G19" s="10">
        <v>2.8988977303155972</v>
      </c>
      <c r="H19" s="33">
        <v>5.5410614889728205</v>
      </c>
      <c r="I19" s="9">
        <v>0.95049357520755606</v>
      </c>
      <c r="J19" s="21">
        <v>2.6362227001549332</v>
      </c>
      <c r="K19" s="36">
        <v>5.2493413254403389</v>
      </c>
      <c r="L19" s="21">
        <v>6.1724632476507519</v>
      </c>
    </row>
    <row r="20" spans="1:12" ht="15" x14ac:dyDescent="0.2">
      <c r="A20" s="3" t="s">
        <v>63</v>
      </c>
      <c r="B20" s="51">
        <v>14.553424657534247</v>
      </c>
      <c r="C20" s="74" t="s">
        <v>40</v>
      </c>
      <c r="D20" s="75">
        <v>169.92309463769999</v>
      </c>
      <c r="E20" s="11">
        <v>-3.3242506811989037</v>
      </c>
      <c r="F20" s="12">
        <v>0.96405331329536548</v>
      </c>
      <c r="G20" s="12">
        <v>3.1478333381530721</v>
      </c>
      <c r="H20" s="34">
        <v>5.988510777269429</v>
      </c>
      <c r="I20" s="11">
        <v>2.4872297346713701</v>
      </c>
      <c r="J20" s="22">
        <v>3.9245750800288137</v>
      </c>
      <c r="K20" s="37">
        <v>4.9001002319648483</v>
      </c>
      <c r="L20" s="22">
        <v>5.2903925579805087</v>
      </c>
    </row>
    <row r="21" spans="1:12" ht="15" x14ac:dyDescent="0.2">
      <c r="A21" s="3" t="s">
        <v>27</v>
      </c>
      <c r="B21" s="51">
        <v>11.134246575342466</v>
      </c>
      <c r="C21" s="74" t="s">
        <v>41</v>
      </c>
      <c r="D21" s="75">
        <v>117.61555280419999</v>
      </c>
      <c r="E21" s="11">
        <v>-3.8542766631467829</v>
      </c>
      <c r="F21" s="12">
        <v>3.5582714224799084</v>
      </c>
      <c r="G21" s="12">
        <v>5.1745593641141951</v>
      </c>
      <c r="H21" s="34">
        <v>6.159453076424648</v>
      </c>
      <c r="I21" s="11">
        <v>3.9780629483414653</v>
      </c>
      <c r="J21" s="22">
        <v>6.0905974226999282</v>
      </c>
      <c r="K21" s="37">
        <v>6.0596420462123417</v>
      </c>
      <c r="L21" s="22">
        <v>6.0904704451981928</v>
      </c>
    </row>
    <row r="22" spans="1:12" ht="15" x14ac:dyDescent="0.2">
      <c r="A22" s="3" t="s">
        <v>1</v>
      </c>
      <c r="B22" s="51">
        <v>14.553424657534247</v>
      </c>
      <c r="C22" s="74" t="s">
        <v>43</v>
      </c>
      <c r="D22" s="75">
        <v>543.87115805999997</v>
      </c>
      <c r="E22" s="11">
        <v>-4.9146110056926045</v>
      </c>
      <c r="F22" s="12">
        <v>1.4091175559203029</v>
      </c>
      <c r="G22" s="12">
        <v>2.606761847105088</v>
      </c>
      <c r="H22" s="34">
        <v>5.783180376429442</v>
      </c>
      <c r="I22" s="11">
        <v>3.4008533674669605</v>
      </c>
      <c r="J22" s="22">
        <v>3.6132291429153529</v>
      </c>
      <c r="K22" s="37">
        <v>6.2401413144423348</v>
      </c>
      <c r="L22" s="22">
        <v>6.6673082148358684</v>
      </c>
    </row>
    <row r="23" spans="1:12" ht="15" x14ac:dyDescent="0.2">
      <c r="A23" s="3" t="s">
        <v>9</v>
      </c>
      <c r="B23" s="51">
        <v>14.553424657534247</v>
      </c>
      <c r="C23" s="74" t="s">
        <v>40</v>
      </c>
      <c r="D23" s="75">
        <v>402.85332679999999</v>
      </c>
      <c r="E23" s="11">
        <v>-3.4080030633735436</v>
      </c>
      <c r="F23" s="12">
        <v>1.8930626045380761</v>
      </c>
      <c r="G23" s="12">
        <v>3.7639626954963257</v>
      </c>
      <c r="H23" s="34">
        <v>5.6602770071957798</v>
      </c>
      <c r="I23" s="11">
        <v>2.9045326825575923</v>
      </c>
      <c r="J23" s="22">
        <v>4.7136953090661793</v>
      </c>
      <c r="K23" s="37">
        <v>4.9362645787135184</v>
      </c>
      <c r="L23" s="22">
        <v>5.2777342680241226</v>
      </c>
    </row>
    <row r="24" spans="1:12" ht="15.75" thickBot="1" x14ac:dyDescent="0.25">
      <c r="A24" s="76" t="s">
        <v>10</v>
      </c>
      <c r="B24" s="77">
        <v>13.04109589041096</v>
      </c>
      <c r="C24" s="78" t="s">
        <v>41</v>
      </c>
      <c r="D24" s="79">
        <v>207.9398778</v>
      </c>
      <c r="E24" s="13">
        <v>-4.8113207547169745</v>
      </c>
      <c r="F24" s="91">
        <v>2.3348633462452417</v>
      </c>
      <c r="G24" s="91">
        <v>4.1530243620816254</v>
      </c>
      <c r="H24" s="92">
        <v>6.7563881158964278</v>
      </c>
      <c r="I24" s="13">
        <v>3.6041430092973448</v>
      </c>
      <c r="J24" s="27">
        <v>5.4015976187559378</v>
      </c>
      <c r="K24" s="11">
        <v>6.7280871199445116</v>
      </c>
      <c r="L24" s="22">
        <v>7.926215085842661</v>
      </c>
    </row>
    <row r="25" spans="1:12" ht="15.75" thickBot="1" x14ac:dyDescent="0.25">
      <c r="A25" s="69" t="s">
        <v>38</v>
      </c>
      <c r="B25" s="70"/>
      <c r="C25" s="70"/>
      <c r="D25" s="71"/>
      <c r="E25" s="18">
        <v>-4.2666467075133134</v>
      </c>
      <c r="F25" s="16">
        <v>1.6803457722548831</v>
      </c>
      <c r="G25" s="16">
        <v>3.3899429072195484</v>
      </c>
      <c r="H25" s="17">
        <v>5.9179129160717121</v>
      </c>
      <c r="I25" s="25">
        <v>3.0791197555729459</v>
      </c>
      <c r="J25" s="17">
        <v>4.2978351301323769</v>
      </c>
      <c r="K25" s="25"/>
      <c r="L25" s="17"/>
    </row>
    <row r="26" spans="1:12" ht="15" thickBot="1" x14ac:dyDescent="0.25">
      <c r="A26" s="103" t="s">
        <v>14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5"/>
    </row>
    <row r="27" spans="1:12" ht="15" x14ac:dyDescent="0.2">
      <c r="A27" s="80" t="s">
        <v>64</v>
      </c>
      <c r="B27" s="81">
        <v>1.5726027397260274</v>
      </c>
      <c r="C27" s="82" t="s">
        <v>44</v>
      </c>
      <c r="D27" s="83">
        <v>5.0173339522999996</v>
      </c>
      <c r="E27" s="84">
        <v>-8.3791990890112018</v>
      </c>
      <c r="F27" s="10" t="s">
        <v>42</v>
      </c>
      <c r="G27" s="10" t="s">
        <v>42</v>
      </c>
      <c r="H27" s="21" t="s">
        <v>42</v>
      </c>
      <c r="I27" s="9" t="s">
        <v>42</v>
      </c>
      <c r="J27" s="21" t="s">
        <v>42</v>
      </c>
      <c r="K27" s="9" t="s">
        <v>42</v>
      </c>
      <c r="L27" s="85" t="s">
        <v>42</v>
      </c>
    </row>
    <row r="28" spans="1:12" ht="15" x14ac:dyDescent="0.2">
      <c r="A28" s="86" t="s">
        <v>28</v>
      </c>
      <c r="B28" s="51">
        <v>11.178082191780822</v>
      </c>
      <c r="C28" s="74" t="s">
        <v>44</v>
      </c>
      <c r="D28" s="87">
        <v>204.1781691338</v>
      </c>
      <c r="E28" s="11">
        <v>-4.6188269138564886</v>
      </c>
      <c r="F28" s="12">
        <v>5.1182780773418646</v>
      </c>
      <c r="G28" s="12">
        <v>7.1977432154661569</v>
      </c>
      <c r="H28" s="22">
        <v>7.0986468741028652</v>
      </c>
      <c r="I28" s="11">
        <v>4.7648404096678476</v>
      </c>
      <c r="J28" s="22">
        <v>7.2727752510916899</v>
      </c>
      <c r="K28" s="11">
        <v>10.505163594652394</v>
      </c>
      <c r="L28" s="22">
        <v>9.3357130898544174</v>
      </c>
    </row>
    <row r="29" spans="1:12" ht="15" x14ac:dyDescent="0.2">
      <c r="A29" s="86" t="s">
        <v>2</v>
      </c>
      <c r="B29" s="51">
        <v>12.772602739726027</v>
      </c>
      <c r="C29" s="74" t="s">
        <v>45</v>
      </c>
      <c r="D29" s="87">
        <v>163.50688036000003</v>
      </c>
      <c r="E29" s="11">
        <v>-7.4794841735052682</v>
      </c>
      <c r="F29" s="12">
        <v>2.8875712926758501</v>
      </c>
      <c r="G29" s="12">
        <v>4.2735792865387534</v>
      </c>
      <c r="H29" s="22">
        <v>7.8229319552085119</v>
      </c>
      <c r="I29" s="11">
        <v>4.7047678210871524</v>
      </c>
      <c r="J29" s="22">
        <v>5.1158105985290803</v>
      </c>
      <c r="K29" s="11">
        <v>9.9826932976254064</v>
      </c>
      <c r="L29" s="22">
        <v>10.931201661261641</v>
      </c>
    </row>
    <row r="30" spans="1:12" ht="15.75" thickBot="1" x14ac:dyDescent="0.25">
      <c r="A30" s="88" t="s">
        <v>12</v>
      </c>
      <c r="B30" s="77">
        <v>7.6630136986301371</v>
      </c>
      <c r="C30" s="78" t="s">
        <v>44</v>
      </c>
      <c r="D30" s="89">
        <v>169.95831491999999</v>
      </c>
      <c r="E30" s="14">
        <v>-7.1907101384546586</v>
      </c>
      <c r="F30" s="15">
        <v>2.8230338038621738</v>
      </c>
      <c r="G30" s="15">
        <v>4.9056789699720271</v>
      </c>
      <c r="H30" s="23" t="s">
        <v>42</v>
      </c>
      <c r="I30" s="14">
        <v>4.5557949813086696</v>
      </c>
      <c r="J30" s="23">
        <v>6.3101188597161295</v>
      </c>
      <c r="K30" s="14">
        <v>9.6948915248204823</v>
      </c>
      <c r="L30" s="23" t="s">
        <v>42</v>
      </c>
    </row>
    <row r="31" spans="1:12" ht="15.75" thickBot="1" x14ac:dyDescent="0.25">
      <c r="A31" s="69" t="s">
        <v>38</v>
      </c>
      <c r="B31" s="70"/>
      <c r="C31" s="70"/>
      <c r="D31" s="71"/>
      <c r="E31" s="24">
        <v>-6.3257344577783572</v>
      </c>
      <c r="F31" s="19">
        <v>3.7084515651046761</v>
      </c>
      <c r="G31" s="19">
        <v>5.5767764575094816</v>
      </c>
      <c r="H31" s="39">
        <v>7.4230255599981945</v>
      </c>
      <c r="I31" s="24">
        <v>4.6802134981652284</v>
      </c>
      <c r="J31" s="20">
        <v>6.3078217045013245</v>
      </c>
      <c r="K31" s="26"/>
      <c r="L31" s="20"/>
    </row>
    <row r="32" spans="1:12" ht="15" thickBot="1" x14ac:dyDescent="0.25">
      <c r="A32" s="103" t="s">
        <v>83</v>
      </c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5"/>
    </row>
    <row r="33" spans="1:12" ht="15" x14ac:dyDescent="0.2">
      <c r="A33" s="86" t="s">
        <v>85</v>
      </c>
      <c r="B33" s="51">
        <v>0.83561643835616439</v>
      </c>
      <c r="C33" s="78" t="s">
        <v>41</v>
      </c>
      <c r="D33" s="87">
        <v>12.95268793</v>
      </c>
      <c r="E33" s="11">
        <v>-2.0000000000000018</v>
      </c>
      <c r="F33" s="12" t="s">
        <v>42</v>
      </c>
      <c r="G33" s="12" t="s">
        <v>42</v>
      </c>
      <c r="H33" s="34" t="s">
        <v>42</v>
      </c>
      <c r="I33" s="11" t="s">
        <v>42</v>
      </c>
      <c r="J33" s="34" t="s">
        <v>42</v>
      </c>
      <c r="K33" s="11" t="s">
        <v>42</v>
      </c>
      <c r="L33" s="22" t="s">
        <v>42</v>
      </c>
    </row>
    <row r="34" spans="1:12" ht="15" x14ac:dyDescent="0.2">
      <c r="A34" s="86" t="s">
        <v>89</v>
      </c>
      <c r="B34" s="51">
        <v>0.83561643835616439</v>
      </c>
      <c r="C34" s="78" t="s">
        <v>44</v>
      </c>
      <c r="D34" s="87">
        <v>16.446292419999999</v>
      </c>
      <c r="E34" s="11">
        <v>-3.080000000000005</v>
      </c>
      <c r="F34" s="12" t="s">
        <v>42</v>
      </c>
      <c r="G34" s="12" t="s">
        <v>42</v>
      </c>
      <c r="H34" s="34" t="s">
        <v>42</v>
      </c>
      <c r="I34" s="11" t="s">
        <v>42</v>
      </c>
      <c r="J34" s="34" t="s">
        <v>42</v>
      </c>
      <c r="K34" s="11" t="s">
        <v>42</v>
      </c>
      <c r="L34" s="22" t="s">
        <v>42</v>
      </c>
    </row>
    <row r="35" spans="1:12" ht="15" x14ac:dyDescent="0.2">
      <c r="A35" s="86" t="s">
        <v>88</v>
      </c>
      <c r="B35" s="51">
        <v>0.83561643835616439</v>
      </c>
      <c r="C35" s="78" t="s">
        <v>44</v>
      </c>
      <c r="D35" s="87">
        <v>13.455950099999999</v>
      </c>
      <c r="E35" s="11">
        <v>-3.400000000000003</v>
      </c>
      <c r="F35" s="12" t="s">
        <v>42</v>
      </c>
      <c r="G35" s="12" t="s">
        <v>42</v>
      </c>
      <c r="H35" s="34" t="s">
        <v>42</v>
      </c>
      <c r="I35" s="11" t="s">
        <v>42</v>
      </c>
      <c r="J35" s="34" t="s">
        <v>42</v>
      </c>
      <c r="K35" s="11" t="s">
        <v>42</v>
      </c>
      <c r="L35" s="22" t="s">
        <v>42</v>
      </c>
    </row>
    <row r="36" spans="1:12" ht="15" x14ac:dyDescent="0.2">
      <c r="A36" s="86" t="s">
        <v>87</v>
      </c>
      <c r="B36" s="51">
        <v>0.83561643835616439</v>
      </c>
      <c r="C36" s="78" t="s">
        <v>44</v>
      </c>
      <c r="D36" s="87">
        <v>8.6932201400000011</v>
      </c>
      <c r="E36" s="11">
        <v>-3.1499999999999972</v>
      </c>
      <c r="F36" s="12" t="s">
        <v>42</v>
      </c>
      <c r="G36" s="12" t="s">
        <v>42</v>
      </c>
      <c r="H36" s="34" t="s">
        <v>42</v>
      </c>
      <c r="I36" s="11" t="s">
        <v>42</v>
      </c>
      <c r="J36" s="34" t="s">
        <v>42</v>
      </c>
      <c r="K36" s="11" t="s">
        <v>42</v>
      </c>
      <c r="L36" s="22" t="s">
        <v>42</v>
      </c>
    </row>
    <row r="37" spans="1:12" ht="15" x14ac:dyDescent="0.2">
      <c r="A37" s="86" t="s">
        <v>86</v>
      </c>
      <c r="B37" s="51">
        <v>0.83561643835616439</v>
      </c>
      <c r="C37" s="78" t="s">
        <v>44</v>
      </c>
      <c r="D37" s="87">
        <v>4.2329716699999995</v>
      </c>
      <c r="E37" s="11">
        <v>-3.0299999999999994</v>
      </c>
      <c r="F37" s="12" t="s">
        <v>42</v>
      </c>
      <c r="G37" s="12" t="s">
        <v>42</v>
      </c>
      <c r="H37" s="34" t="s">
        <v>42</v>
      </c>
      <c r="I37" s="11" t="s">
        <v>42</v>
      </c>
      <c r="J37" s="34" t="s">
        <v>42</v>
      </c>
      <c r="K37" s="11" t="s">
        <v>42</v>
      </c>
      <c r="L37" s="22" t="s">
        <v>42</v>
      </c>
    </row>
    <row r="38" spans="1:12" ht="15.75" thickBot="1" x14ac:dyDescent="0.25">
      <c r="A38" s="86" t="s">
        <v>84</v>
      </c>
      <c r="B38" s="51">
        <v>0.83561643835616439</v>
      </c>
      <c r="C38" s="78" t="s">
        <v>44</v>
      </c>
      <c r="D38" s="87">
        <v>0.68720953000000007</v>
      </c>
      <c r="E38" s="13">
        <v>-2.2100000000000009</v>
      </c>
      <c r="F38" s="91" t="s">
        <v>42</v>
      </c>
      <c r="G38" s="91" t="s">
        <v>42</v>
      </c>
      <c r="H38" s="92" t="s">
        <v>42</v>
      </c>
      <c r="I38" s="13" t="s">
        <v>42</v>
      </c>
      <c r="J38" s="92" t="s">
        <v>42</v>
      </c>
      <c r="K38" s="13" t="s">
        <v>42</v>
      </c>
      <c r="L38" s="27" t="s">
        <v>42</v>
      </c>
    </row>
    <row r="39" spans="1:12" ht="15.75" thickBot="1" x14ac:dyDescent="0.25">
      <c r="A39" s="69" t="s">
        <v>38</v>
      </c>
      <c r="B39" s="70"/>
      <c r="C39" s="70"/>
      <c r="D39" s="71"/>
      <c r="E39" s="18">
        <v>-2.9129567629810462</v>
      </c>
      <c r="F39" s="16"/>
      <c r="G39" s="16"/>
      <c r="H39" s="40"/>
      <c r="I39" s="18"/>
      <c r="J39" s="17"/>
      <c r="K39" s="25"/>
      <c r="L39" s="17"/>
    </row>
    <row r="40" spans="1:12" ht="15" thickBot="1" x14ac:dyDescent="0.25">
      <c r="A40" s="96" t="s">
        <v>19</v>
      </c>
      <c r="B40" s="97"/>
      <c r="C40" s="49"/>
      <c r="D40" s="94">
        <v>3118.3486492406996</v>
      </c>
      <c r="E40" s="18">
        <v>-3.9020341751534167</v>
      </c>
      <c r="F40" s="16">
        <v>1.6489032264857757</v>
      </c>
      <c r="G40" s="16">
        <v>3.3586386712919856</v>
      </c>
      <c r="H40" s="40">
        <v>5.1178644808999305</v>
      </c>
      <c r="I40" s="18">
        <v>2.7217856214084835</v>
      </c>
      <c r="J40" s="17">
        <v>4.0169088649457434</v>
      </c>
      <c r="K40" s="25"/>
      <c r="L40" s="17"/>
    </row>
    <row r="41" spans="1:12" ht="15" x14ac:dyDescent="0.2">
      <c r="A41" s="28"/>
      <c r="B41" s="28"/>
      <c r="C41" s="28"/>
      <c r="D41" s="29"/>
      <c r="E41" s="28"/>
      <c r="F41" s="28"/>
      <c r="G41" s="28"/>
      <c r="H41" s="28"/>
      <c r="I41" s="28"/>
      <c r="J41" s="28"/>
      <c r="K41" s="28"/>
      <c r="L41" s="28"/>
    </row>
    <row r="42" spans="1:12" x14ac:dyDescent="0.2">
      <c r="A42" s="98" t="s">
        <v>74</v>
      </c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</row>
    <row r="43" spans="1:12" x14ac:dyDescent="0.2">
      <c r="A43" s="99" t="s">
        <v>76</v>
      </c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</row>
    <row r="44" spans="1:12" x14ac:dyDescent="0.2">
      <c r="A44" s="95" t="s">
        <v>46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</row>
    <row r="45" spans="1:12" x14ac:dyDescent="0.2">
      <c r="A45" s="95" t="s">
        <v>18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</row>
    <row r="46" spans="1:12" x14ac:dyDescent="0.2">
      <c r="A46" s="100" t="s">
        <v>75</v>
      </c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</row>
    <row r="47" spans="1:12" x14ac:dyDescent="0.2">
      <c r="A47" s="95" t="s">
        <v>92</v>
      </c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</row>
  </sheetData>
  <mergeCells count="19">
    <mergeCell ref="A32:L32"/>
    <mergeCell ref="A2:A3"/>
    <mergeCell ref="B2:B3"/>
    <mergeCell ref="C2:C3"/>
    <mergeCell ref="D2:D3"/>
    <mergeCell ref="E2:H2"/>
    <mergeCell ref="I2:J2"/>
    <mergeCell ref="K2:L2"/>
    <mergeCell ref="A4:L4"/>
    <mergeCell ref="A12:L12"/>
    <mergeCell ref="A18:L18"/>
    <mergeCell ref="A26:L26"/>
    <mergeCell ref="A47:L47"/>
    <mergeCell ref="A40:B40"/>
    <mergeCell ref="A42:L42"/>
    <mergeCell ref="A43:L43"/>
    <mergeCell ref="A44:L44"/>
    <mergeCell ref="A45:L45"/>
    <mergeCell ref="A46:L46"/>
  </mergeCells>
  <conditionalFormatting sqref="I33 E33 K33 I36 E36 K36 E37:L38 E34:L35">
    <cfRule type="cellIs" dxfId="39" priority="25" operator="greaterThanOrEqual">
      <formula>0</formula>
    </cfRule>
    <cfRule type="cellIs" dxfId="38" priority="26" operator="lessThan">
      <formula>0</formula>
    </cfRule>
  </conditionalFormatting>
  <conditionalFormatting sqref="E5:J11 E40:J40 E19:J25 E28:J31">
    <cfRule type="cellIs" dxfId="37" priority="39" operator="greaterThanOrEqual">
      <formula>0</formula>
    </cfRule>
    <cfRule type="cellIs" dxfId="36" priority="40" operator="lessThan">
      <formula>0</formula>
    </cfRule>
  </conditionalFormatting>
  <conditionalFormatting sqref="E27">
    <cfRule type="cellIs" dxfId="35" priority="37" operator="greaterThanOrEqual">
      <formula>0</formula>
    </cfRule>
    <cfRule type="cellIs" dxfId="34" priority="38" operator="lessThan">
      <formula>0</formula>
    </cfRule>
  </conditionalFormatting>
  <conditionalFormatting sqref="F27">
    <cfRule type="cellIs" dxfId="33" priority="35" operator="greaterThanOrEqual">
      <formula>0</formula>
    </cfRule>
    <cfRule type="cellIs" dxfId="32" priority="36" operator="lessThan">
      <formula>0</formula>
    </cfRule>
  </conditionalFormatting>
  <conditionalFormatting sqref="G27">
    <cfRule type="cellIs" dxfId="31" priority="33" operator="greaterThanOrEqual">
      <formula>0</formula>
    </cfRule>
    <cfRule type="cellIs" dxfId="30" priority="34" operator="lessThan">
      <formula>0</formula>
    </cfRule>
  </conditionalFormatting>
  <conditionalFormatting sqref="H27">
    <cfRule type="cellIs" dxfId="29" priority="31" operator="greaterThanOrEqual">
      <formula>0</formula>
    </cfRule>
    <cfRule type="cellIs" dxfId="28" priority="32" operator="lessThan">
      <formula>0</formula>
    </cfRule>
  </conditionalFormatting>
  <conditionalFormatting sqref="I27">
    <cfRule type="cellIs" dxfId="27" priority="29" operator="greaterThanOrEqual">
      <formula>0</formula>
    </cfRule>
    <cfRule type="cellIs" dxfId="26" priority="30" operator="lessThan">
      <formula>0</formula>
    </cfRule>
  </conditionalFormatting>
  <conditionalFormatting sqref="J27">
    <cfRule type="cellIs" dxfId="25" priority="27" operator="greaterThanOrEqual">
      <formula>0</formula>
    </cfRule>
    <cfRule type="cellIs" dxfId="24" priority="28" operator="lessThan">
      <formula>0</formula>
    </cfRule>
  </conditionalFormatting>
  <conditionalFormatting sqref="F33">
    <cfRule type="cellIs" dxfId="23" priority="23" operator="greaterThanOrEqual">
      <formula>0</formula>
    </cfRule>
    <cfRule type="cellIs" dxfId="22" priority="24" operator="lessThan">
      <formula>0</formula>
    </cfRule>
  </conditionalFormatting>
  <conditionalFormatting sqref="G33">
    <cfRule type="cellIs" dxfId="21" priority="21" operator="greaterThanOrEqual">
      <formula>0</formula>
    </cfRule>
    <cfRule type="cellIs" dxfId="20" priority="22" operator="lessThan">
      <formula>0</formula>
    </cfRule>
  </conditionalFormatting>
  <conditionalFormatting sqref="H33">
    <cfRule type="cellIs" dxfId="19" priority="19" operator="greaterThanOrEqual">
      <formula>0</formula>
    </cfRule>
    <cfRule type="cellIs" dxfId="18" priority="20" operator="lessThan">
      <formula>0</formula>
    </cfRule>
  </conditionalFormatting>
  <conditionalFormatting sqref="F36">
    <cfRule type="cellIs" dxfId="17" priority="17" operator="greaterThanOrEqual">
      <formula>0</formula>
    </cfRule>
    <cfRule type="cellIs" dxfId="16" priority="18" operator="lessThan">
      <formula>0</formula>
    </cfRule>
  </conditionalFormatting>
  <conditionalFormatting sqref="G36">
    <cfRule type="cellIs" dxfId="15" priority="15" operator="greaterThanOrEqual">
      <formula>0</formula>
    </cfRule>
    <cfRule type="cellIs" dxfId="14" priority="16" operator="lessThan">
      <formula>0</formula>
    </cfRule>
  </conditionalFormatting>
  <conditionalFormatting sqref="H36">
    <cfRule type="cellIs" dxfId="13" priority="13" operator="greaterThanOrEqual">
      <formula>0</formula>
    </cfRule>
    <cfRule type="cellIs" dxfId="12" priority="14" operator="lessThan">
      <formula>0</formula>
    </cfRule>
  </conditionalFormatting>
  <conditionalFormatting sqref="J33">
    <cfRule type="cellIs" dxfId="11" priority="11" operator="greaterThanOrEqual">
      <formula>0</formula>
    </cfRule>
    <cfRule type="cellIs" dxfId="10" priority="12" operator="lessThan">
      <formula>0</formula>
    </cfRule>
  </conditionalFormatting>
  <conditionalFormatting sqref="J36">
    <cfRule type="cellIs" dxfId="9" priority="9" operator="greaterThanOrEqual">
      <formula>0</formula>
    </cfRule>
    <cfRule type="cellIs" dxfId="8" priority="10" operator="lessThan">
      <formula>0</formula>
    </cfRule>
  </conditionalFormatting>
  <conditionalFormatting sqref="L33">
    <cfRule type="cellIs" dxfId="7" priority="7" operator="greaterThanOrEqual">
      <formula>0</formula>
    </cfRule>
    <cfRule type="cellIs" dxfId="6" priority="8" operator="lessThan">
      <formula>0</formula>
    </cfRule>
  </conditionalFormatting>
  <conditionalFormatting sqref="L36">
    <cfRule type="cellIs" dxfId="5" priority="5" operator="greaterThanOrEqual">
      <formula>0</formula>
    </cfRule>
    <cfRule type="cellIs" dxfId="4" priority="6" operator="lessThan">
      <formula>0</formula>
    </cfRule>
  </conditionalFormatting>
  <conditionalFormatting sqref="E39:J39">
    <cfRule type="cellIs" dxfId="3" priority="3" operator="greaterThanOrEqual">
      <formula>0</formula>
    </cfRule>
    <cfRule type="cellIs" dxfId="2" priority="4" operator="lessThan">
      <formula>0</formula>
    </cfRule>
  </conditionalFormatting>
  <conditionalFormatting sqref="E13:J17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5"/>
  <sheetViews>
    <sheetView zoomScale="80" zoomScaleNormal="80" workbookViewId="0"/>
  </sheetViews>
  <sheetFormatPr defaultRowHeight="12.75" x14ac:dyDescent="0.2"/>
  <cols>
    <col min="1" max="1" width="71.5703125" bestFit="1" customWidth="1"/>
    <col min="2" max="2" width="21.42578125" bestFit="1" customWidth="1"/>
    <col min="3" max="3" width="10.28515625" bestFit="1" customWidth="1"/>
    <col min="4" max="4" width="14" bestFit="1" customWidth="1"/>
    <col min="5" max="5" width="9.140625" bestFit="1" customWidth="1"/>
    <col min="8" max="8" width="13.5703125" customWidth="1"/>
    <col min="9" max="9" width="12" bestFit="1" customWidth="1"/>
    <col min="11" max="11" width="12" bestFit="1" customWidth="1"/>
    <col min="12" max="12" width="13.7109375" customWidth="1"/>
    <col min="13" max="14" width="12" bestFit="1" customWidth="1"/>
  </cols>
  <sheetData>
    <row r="2" spans="1:2" ht="15.75" x14ac:dyDescent="0.2">
      <c r="A2" s="53" t="s">
        <v>21</v>
      </c>
      <c r="B2" s="53" t="s">
        <v>31</v>
      </c>
    </row>
    <row r="3" spans="1:2" ht="15" x14ac:dyDescent="0.2">
      <c r="A3" s="54" t="s">
        <v>1</v>
      </c>
      <c r="B3" s="62">
        <v>186068</v>
      </c>
    </row>
    <row r="4" spans="1:2" ht="15" x14ac:dyDescent="0.2">
      <c r="A4" s="54" t="s">
        <v>47</v>
      </c>
      <c r="B4" s="62">
        <v>162682</v>
      </c>
    </row>
    <row r="5" spans="1:2" ht="15" x14ac:dyDescent="0.2">
      <c r="A5" s="54" t="s">
        <v>48</v>
      </c>
      <c r="B5" s="62">
        <v>140058</v>
      </c>
    </row>
    <row r="6" spans="1:2" ht="15" x14ac:dyDescent="0.2">
      <c r="A6" s="54" t="s">
        <v>49</v>
      </c>
      <c r="B6" s="62">
        <v>109903</v>
      </c>
    </row>
    <row r="7" spans="1:2" ht="15" x14ac:dyDescent="0.2">
      <c r="A7" s="54" t="s">
        <v>51</v>
      </c>
      <c r="B7" s="62">
        <v>101315</v>
      </c>
    </row>
    <row r="8" spans="1:2" ht="15" x14ac:dyDescent="0.2">
      <c r="A8" s="54" t="s">
        <v>50</v>
      </c>
      <c r="B8" s="62">
        <v>96721</v>
      </c>
    </row>
    <row r="9" spans="1:2" ht="15" x14ac:dyDescent="0.2">
      <c r="A9" s="54" t="s">
        <v>52</v>
      </c>
      <c r="B9" s="62">
        <v>84276</v>
      </c>
    </row>
    <row r="10" spans="1:2" ht="15" x14ac:dyDescent="0.2">
      <c r="A10" s="54" t="s">
        <v>2</v>
      </c>
      <c r="B10" s="62">
        <v>79779</v>
      </c>
    </row>
    <row r="11" spans="1:2" ht="15" x14ac:dyDescent="0.2">
      <c r="A11" s="54" t="s">
        <v>63</v>
      </c>
      <c r="B11" s="62">
        <v>72569</v>
      </c>
    </row>
    <row r="12" spans="1:2" ht="15" x14ac:dyDescent="0.2">
      <c r="A12" s="54" t="s">
        <v>53</v>
      </c>
      <c r="B12" s="62">
        <v>66333</v>
      </c>
    </row>
    <row r="13" spans="1:2" ht="15" x14ac:dyDescent="0.2">
      <c r="A13" s="54" t="s">
        <v>62</v>
      </c>
      <c r="B13" s="62">
        <v>43947</v>
      </c>
    </row>
    <row r="14" spans="1:2" ht="15" x14ac:dyDescent="0.2">
      <c r="A14" s="54" t="s">
        <v>30</v>
      </c>
      <c r="B14" s="62">
        <v>39575</v>
      </c>
    </row>
    <row r="15" spans="1:2" ht="15" x14ac:dyDescent="0.2">
      <c r="A15" s="54" t="s">
        <v>4</v>
      </c>
      <c r="B15" s="62">
        <v>30977</v>
      </c>
    </row>
    <row r="16" spans="1:2" ht="15" x14ac:dyDescent="0.2">
      <c r="A16" s="54" t="s">
        <v>54</v>
      </c>
      <c r="B16" s="62">
        <v>21191</v>
      </c>
    </row>
    <row r="17" spans="1:5" ht="15" x14ac:dyDescent="0.2">
      <c r="A17" s="54" t="s">
        <v>55</v>
      </c>
      <c r="B17" s="62">
        <v>17929</v>
      </c>
    </row>
    <row r="18" spans="1:5" ht="15" x14ac:dyDescent="0.2">
      <c r="A18" s="54" t="s">
        <v>61</v>
      </c>
      <c r="B18" s="62">
        <v>12444</v>
      </c>
    </row>
    <row r="19" spans="1:5" ht="15" x14ac:dyDescent="0.2">
      <c r="A19" s="54" t="s">
        <v>78</v>
      </c>
      <c r="B19" s="62">
        <v>8176</v>
      </c>
    </row>
    <row r="20" spans="1:5" ht="15" x14ac:dyDescent="0.2">
      <c r="A20" s="54" t="s">
        <v>77</v>
      </c>
      <c r="B20" s="62">
        <v>6257</v>
      </c>
    </row>
    <row r="21" spans="1:5" ht="15" x14ac:dyDescent="0.2">
      <c r="A21" s="54" t="s">
        <v>91</v>
      </c>
      <c r="B21" s="62">
        <v>5823</v>
      </c>
    </row>
    <row r="22" spans="1:5" ht="15" x14ac:dyDescent="0.2">
      <c r="A22" s="54" t="s">
        <v>81</v>
      </c>
      <c r="B22" s="62">
        <v>5778</v>
      </c>
    </row>
    <row r="23" spans="1:5" ht="15" x14ac:dyDescent="0.2">
      <c r="A23" s="54" t="s">
        <v>79</v>
      </c>
      <c r="B23" s="62">
        <v>5603</v>
      </c>
    </row>
    <row r="24" spans="1:5" ht="15" x14ac:dyDescent="0.2">
      <c r="A24" s="54" t="s">
        <v>80</v>
      </c>
      <c r="B24" s="62">
        <v>5249</v>
      </c>
    </row>
    <row r="25" spans="1:5" ht="15" x14ac:dyDescent="0.2">
      <c r="A25" s="54" t="s">
        <v>26</v>
      </c>
      <c r="B25" s="62">
        <v>4891</v>
      </c>
    </row>
    <row r="26" spans="1:5" ht="15" x14ac:dyDescent="0.2">
      <c r="A26" s="54" t="s">
        <v>82</v>
      </c>
      <c r="B26" s="62">
        <v>4349</v>
      </c>
      <c r="E26" s="67"/>
    </row>
    <row r="27" spans="1:5" ht="15" x14ac:dyDescent="0.2">
      <c r="A27" s="54" t="s">
        <v>64</v>
      </c>
      <c r="B27" s="62">
        <v>3637</v>
      </c>
      <c r="D27" s="67"/>
    </row>
    <row r="28" spans="1:5" ht="15" x14ac:dyDescent="0.2">
      <c r="A28" s="54" t="s">
        <v>56</v>
      </c>
      <c r="B28" s="62">
        <v>2214</v>
      </c>
      <c r="D28" s="67"/>
      <c r="E28" s="67"/>
    </row>
    <row r="29" spans="1:5" ht="12.75" customHeight="1" x14ac:dyDescent="0.2">
      <c r="A29" s="55" t="s">
        <v>22</v>
      </c>
      <c r="B29" s="63">
        <f>+SUM(B3:B28)</f>
        <v>1317744</v>
      </c>
      <c r="D29" s="67"/>
    </row>
    <row r="30" spans="1:5" ht="12.6" customHeight="1" x14ac:dyDescent="0.2">
      <c r="B30" s="93"/>
      <c r="D30" s="67"/>
    </row>
    <row r="31" spans="1:5" x14ac:dyDescent="0.2">
      <c r="B31" s="93"/>
    </row>
    <row r="32" spans="1:5" ht="15.75" x14ac:dyDescent="0.2">
      <c r="A32" s="53" t="s">
        <v>23</v>
      </c>
      <c r="B32" s="53" t="s">
        <v>31</v>
      </c>
    </row>
    <row r="33" spans="1:3" ht="15" x14ac:dyDescent="0.2">
      <c r="A33" s="54" t="s">
        <v>57</v>
      </c>
      <c r="B33" s="64">
        <v>526176</v>
      </c>
    </row>
    <row r="34" spans="1:3" ht="15" x14ac:dyDescent="0.2">
      <c r="A34" s="54" t="s">
        <v>58</v>
      </c>
      <c r="B34" s="64">
        <v>296824</v>
      </c>
    </row>
    <row r="35" spans="1:3" ht="15" x14ac:dyDescent="0.2">
      <c r="A35" s="54" t="s">
        <v>59</v>
      </c>
      <c r="B35" s="64">
        <v>227582</v>
      </c>
      <c r="C35" s="61"/>
    </row>
    <row r="36" spans="1:3" ht="15" x14ac:dyDescent="0.2">
      <c r="A36" s="54" t="s">
        <v>60</v>
      </c>
      <c r="B36" s="64">
        <v>134565</v>
      </c>
      <c r="C36" s="61"/>
    </row>
    <row r="37" spans="1:3" ht="15" x14ac:dyDescent="0.2">
      <c r="A37" s="54" t="s">
        <v>90</v>
      </c>
      <c r="B37" s="64">
        <v>132597</v>
      </c>
      <c r="C37" s="61"/>
    </row>
    <row r="38" spans="1:3" x14ac:dyDescent="0.2">
      <c r="C38" s="61"/>
    </row>
    <row r="39" spans="1:3" ht="15" x14ac:dyDescent="0.2">
      <c r="A39" s="56"/>
      <c r="C39" s="61"/>
    </row>
    <row r="40" spans="1:3" x14ac:dyDescent="0.2">
      <c r="C40" s="61"/>
    </row>
    <row r="41" spans="1:3" ht="15.75" x14ac:dyDescent="0.2">
      <c r="A41" s="53" t="s">
        <v>21</v>
      </c>
      <c r="B41" s="53" t="s">
        <v>24</v>
      </c>
      <c r="C41" s="61"/>
    </row>
    <row r="42" spans="1:3" ht="15" x14ac:dyDescent="0.2">
      <c r="A42" s="54" t="s">
        <v>1</v>
      </c>
      <c r="B42" s="65">
        <v>543871158.05999994</v>
      </c>
    </row>
    <row r="43" spans="1:3" ht="15" x14ac:dyDescent="0.2">
      <c r="A43" s="54" t="s">
        <v>47</v>
      </c>
      <c r="B43" s="65">
        <v>402853326.80000001</v>
      </c>
    </row>
    <row r="44" spans="1:3" ht="15" x14ac:dyDescent="0.2">
      <c r="A44" s="54" t="s">
        <v>48</v>
      </c>
      <c r="B44" s="65">
        <v>322934085.73000002</v>
      </c>
    </row>
    <row r="45" spans="1:3" ht="15" x14ac:dyDescent="0.2">
      <c r="A45" s="54" t="s">
        <v>50</v>
      </c>
      <c r="B45" s="65">
        <v>267338640.78999999</v>
      </c>
    </row>
    <row r="46" spans="1:3" ht="15" x14ac:dyDescent="0.2">
      <c r="A46" s="54" t="s">
        <v>49</v>
      </c>
      <c r="B46" s="65">
        <v>207939877.80000001</v>
      </c>
    </row>
    <row r="47" spans="1:3" ht="15" x14ac:dyDescent="0.2">
      <c r="A47" s="54" t="s">
        <v>52</v>
      </c>
      <c r="B47" s="65">
        <v>204178169.1338</v>
      </c>
    </row>
    <row r="48" spans="1:3" ht="15" x14ac:dyDescent="0.2">
      <c r="A48" s="54" t="s">
        <v>51</v>
      </c>
      <c r="B48" s="65">
        <v>169958314.91999999</v>
      </c>
    </row>
    <row r="49" spans="1:2" ht="15" x14ac:dyDescent="0.2">
      <c r="A49" s="54" t="s">
        <v>63</v>
      </c>
      <c r="B49" s="65">
        <v>169923094.63769999</v>
      </c>
    </row>
    <row r="50" spans="1:2" ht="15" x14ac:dyDescent="0.2">
      <c r="A50" s="54" t="s">
        <v>2</v>
      </c>
      <c r="B50" s="65">
        <v>163506880.36000001</v>
      </c>
    </row>
    <row r="51" spans="1:2" ht="15" x14ac:dyDescent="0.2">
      <c r="A51" s="54" t="s">
        <v>30</v>
      </c>
      <c r="B51" s="65">
        <v>117615552.80419999</v>
      </c>
    </row>
    <row r="52" spans="1:2" ht="15" x14ac:dyDescent="0.2">
      <c r="A52" s="54" t="s">
        <v>62</v>
      </c>
      <c r="B52" s="65">
        <v>117056185.07340001</v>
      </c>
    </row>
    <row r="53" spans="1:2" ht="15" x14ac:dyDescent="0.2">
      <c r="A53" s="54" t="s">
        <v>53</v>
      </c>
      <c r="B53" s="65">
        <v>104647208.23999999</v>
      </c>
    </row>
    <row r="54" spans="1:2" ht="15" x14ac:dyDescent="0.2">
      <c r="A54" s="54" t="s">
        <v>4</v>
      </c>
      <c r="B54" s="65">
        <v>86915717.340000004</v>
      </c>
    </row>
    <row r="55" spans="1:2" ht="15" x14ac:dyDescent="0.2">
      <c r="A55" s="54" t="s">
        <v>54</v>
      </c>
      <c r="B55" s="65">
        <v>57761843.890000001</v>
      </c>
    </row>
    <row r="56" spans="1:2" ht="15" x14ac:dyDescent="0.2">
      <c r="A56" s="54" t="s">
        <v>55</v>
      </c>
      <c r="B56" s="65">
        <v>41138125.950000003</v>
      </c>
    </row>
    <row r="57" spans="1:2" ht="15" x14ac:dyDescent="0.2">
      <c r="A57" s="54" t="s">
        <v>61</v>
      </c>
      <c r="B57" s="65">
        <v>31563118.469000001</v>
      </c>
    </row>
    <row r="58" spans="1:2" ht="15" x14ac:dyDescent="0.2">
      <c r="A58" s="54" t="s">
        <v>26</v>
      </c>
      <c r="B58" s="65">
        <v>20912947.749600001</v>
      </c>
    </row>
    <row r="59" spans="1:2" ht="15" x14ac:dyDescent="0.2">
      <c r="A59" s="54" t="s">
        <v>91</v>
      </c>
      <c r="B59" s="65">
        <v>17159295.240699999</v>
      </c>
    </row>
    <row r="60" spans="1:2" ht="15" x14ac:dyDescent="0.2">
      <c r="A60" s="54" t="s">
        <v>81</v>
      </c>
      <c r="B60" s="65">
        <v>16446292.42</v>
      </c>
    </row>
    <row r="61" spans="1:2" ht="15" x14ac:dyDescent="0.2">
      <c r="A61" s="54" t="s">
        <v>80</v>
      </c>
      <c r="B61" s="65">
        <v>13455950.1</v>
      </c>
    </row>
    <row r="62" spans="1:2" ht="15" x14ac:dyDescent="0.2">
      <c r="A62" s="54" t="s">
        <v>82</v>
      </c>
      <c r="B62" s="65">
        <v>12952687.93</v>
      </c>
    </row>
    <row r="63" spans="1:2" ht="15" x14ac:dyDescent="0.2">
      <c r="A63" s="54" t="s">
        <v>56</v>
      </c>
      <c r="B63" s="65">
        <v>9589440.5099999998</v>
      </c>
    </row>
    <row r="64" spans="1:2" ht="15" x14ac:dyDescent="0.2">
      <c r="A64" s="54" t="s">
        <v>79</v>
      </c>
      <c r="B64" s="65">
        <v>8693220.1400000006</v>
      </c>
    </row>
    <row r="65" spans="1:3" ht="15" x14ac:dyDescent="0.2">
      <c r="A65" s="54" t="s">
        <v>64</v>
      </c>
      <c r="B65" s="65">
        <v>5017333.9523</v>
      </c>
    </row>
    <row r="66" spans="1:3" ht="15" x14ac:dyDescent="0.2">
      <c r="A66" s="54" t="s">
        <v>78</v>
      </c>
      <c r="B66" s="65">
        <v>4232971.67</v>
      </c>
    </row>
    <row r="67" spans="1:3" ht="15" x14ac:dyDescent="0.2">
      <c r="A67" s="54" t="s">
        <v>77</v>
      </c>
      <c r="B67" s="65">
        <v>687209.53</v>
      </c>
    </row>
    <row r="68" spans="1:3" ht="14.25" x14ac:dyDescent="0.2">
      <c r="A68" s="55" t="s">
        <v>22</v>
      </c>
      <c r="B68" s="66">
        <f>+SUM(B42:B67)</f>
        <v>3118348649.2406998</v>
      </c>
      <c r="C68" s="61"/>
    </row>
    <row r="70" spans="1:3" ht="15.75" x14ac:dyDescent="0.2">
      <c r="A70" s="53" t="s">
        <v>23</v>
      </c>
      <c r="B70" s="53" t="s">
        <v>24</v>
      </c>
    </row>
    <row r="71" spans="1:3" ht="15" x14ac:dyDescent="0.2">
      <c r="A71" s="54" t="s">
        <v>57</v>
      </c>
      <c r="B71" s="90">
        <v>1155286058.5600002</v>
      </c>
    </row>
    <row r="72" spans="1:3" ht="15" x14ac:dyDescent="0.2">
      <c r="A72" s="54" t="s">
        <v>58</v>
      </c>
      <c r="B72" s="64">
        <v>794293755.75999999</v>
      </c>
    </row>
    <row r="73" spans="1:3" ht="15" x14ac:dyDescent="0.2">
      <c r="A73" s="54" t="s">
        <v>59</v>
      </c>
      <c r="B73" s="64">
        <v>485343137.86000001</v>
      </c>
    </row>
    <row r="74" spans="1:3" ht="15" x14ac:dyDescent="0.2">
      <c r="A74" s="54" t="s">
        <v>60</v>
      </c>
      <c r="B74" s="64">
        <v>359865964.92829996</v>
      </c>
    </row>
    <row r="75" spans="1:3" ht="15" x14ac:dyDescent="0.2">
      <c r="A75" s="54" t="s">
        <v>65</v>
      </c>
      <c r="B75" s="64">
        <v>323559732.13239998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Rezultatai</vt:lpstr>
      <vt:lpstr>Papildomi duomenys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Audrius Silgalis</dc:creator>
  <cp:lastModifiedBy>Živilė Zabotkienė</cp:lastModifiedBy>
  <cp:lastPrinted>2019-01-15T16:15:01Z</cp:lastPrinted>
  <dcterms:created xsi:type="dcterms:W3CDTF">2008-11-20T12:30:07Z</dcterms:created>
  <dcterms:modified xsi:type="dcterms:W3CDTF">2019-01-16T05:56:53Z</dcterms:modified>
</cp:coreProperties>
</file>