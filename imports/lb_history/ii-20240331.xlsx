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47438D5E-E6F9-4913-8F90-1AE0C73EFF31}" xr6:coauthVersionLast="47" xr6:coauthVersionMax="47" xr10:uidLastSave="{00000000-0000-0000-0000-000000000000}"/>
  <bookViews>
    <workbookView xWindow="16290" yWindow="-21720" windowWidth="38640" windowHeight="21120" tabRatio="805" xr2:uid="{00000000-000D-0000-FFFF-FFFF00000000}"/>
  </bookViews>
  <sheets>
    <sheet name="GCF_2024"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definedNames>
    <definedName name="_xlnm._FilterDatabase" localSheetId="0" hidden="1">GCF_2024!$A$1:$U$58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9" i="14" l="1"/>
  <c r="C9" i="14" l="1"/>
  <c r="B9" i="14"/>
  <c r="C9" i="16"/>
  <c r="B9" i="16"/>
  <c r="A9" i="16"/>
  <c r="C9" i="17"/>
  <c r="B9" i="17"/>
  <c r="A9" i="17"/>
  <c r="C9" i="18"/>
  <c r="B9" i="18"/>
  <c r="A9" i="18"/>
  <c r="C9" i="19"/>
  <c r="B9" i="19"/>
  <c r="A9" i="19"/>
  <c r="C9" i="20"/>
  <c r="B9" i="20"/>
  <c r="A9" i="20"/>
  <c r="C9" i="22"/>
  <c r="B9" i="22"/>
  <c r="A9" i="22"/>
  <c r="C9" i="21"/>
  <c r="B9" i="21"/>
  <c r="A9" i="21"/>
  <c r="C6" i="14"/>
  <c r="C8" i="14"/>
  <c r="A22" i="22" l="1"/>
  <c r="A22" i="21"/>
  <c r="A22" i="20"/>
  <c r="A22" i="19"/>
  <c r="A22" i="18"/>
  <c r="A22" i="17"/>
  <c r="A22" i="16"/>
  <c r="A22" i="14"/>
  <c r="A20" i="22" l="1"/>
  <c r="A21" i="22"/>
  <c r="A19" i="21"/>
  <c r="A20" i="21"/>
  <c r="A21" i="21"/>
  <c r="A19" i="20"/>
  <c r="A20" i="20"/>
  <c r="A21" i="20"/>
  <c r="A19" i="19"/>
  <c r="A20" i="19"/>
  <c r="A21" i="19"/>
  <c r="A19" i="18"/>
  <c r="A20" i="18"/>
  <c r="A21" i="18"/>
  <c r="A19" i="17"/>
  <c r="A20" i="17"/>
  <c r="A21" i="17"/>
  <c r="A19" i="16"/>
  <c r="A20" i="16"/>
  <c r="A21" i="16"/>
  <c r="A19" i="14"/>
  <c r="A20" i="14"/>
  <c r="A21" i="14"/>
  <c r="A25" i="17" l="1"/>
  <c r="A25" i="16"/>
  <c r="A26" i="16"/>
  <c r="A27" i="16"/>
  <c r="A19" i="22"/>
  <c r="B4" i="17"/>
  <c r="C4" i="17"/>
  <c r="B5" i="17"/>
  <c r="C5" i="17"/>
  <c r="B6" i="17"/>
  <c r="C6" i="17"/>
  <c r="B7" i="17"/>
  <c r="C7" i="17"/>
  <c r="B8" i="17"/>
  <c r="C8" i="17"/>
  <c r="B3" i="16"/>
  <c r="C3" i="16"/>
  <c r="B4" i="16"/>
  <c r="A36" i="16" s="1"/>
  <c r="C4" i="16"/>
  <c r="B5" i="16"/>
  <c r="A37" i="16" s="1"/>
  <c r="C5" i="16"/>
  <c r="B6" i="16"/>
  <c r="A38" i="16" s="1"/>
  <c r="C6" i="16"/>
  <c r="B7" i="16"/>
  <c r="A39" i="16" s="1"/>
  <c r="C7" i="16"/>
  <c r="B8" i="16"/>
  <c r="A40" i="16" s="1"/>
  <c r="C8" i="16"/>
  <c r="A1" i="16"/>
  <c r="A2" i="16"/>
  <c r="B2" i="16"/>
  <c r="C2" i="16"/>
  <c r="A3" i="16"/>
  <c r="A4" i="16"/>
  <c r="A5" i="16"/>
  <c r="A6" i="16"/>
  <c r="A7" i="16"/>
  <c r="A8" i="16"/>
  <c r="B4" i="14"/>
  <c r="C4" i="14"/>
  <c r="B5" i="14"/>
  <c r="C5" i="14"/>
  <c r="B6" i="14"/>
  <c r="B7" i="14"/>
  <c r="C7" i="14"/>
  <c r="B8" i="14"/>
  <c r="A5" i="14"/>
  <c r="A6" i="14"/>
  <c r="A7" i="14"/>
  <c r="A8" i="14"/>
  <c r="A4" i="14"/>
  <c r="A3" i="14"/>
  <c r="A18" i="22" l="1"/>
  <c r="A18" i="21"/>
  <c r="A60" i="22" l="1"/>
  <c r="A59" i="22"/>
  <c r="A58" i="22"/>
  <c r="A57" i="22"/>
  <c r="A60" i="21"/>
  <c r="A59" i="21"/>
  <c r="A58" i="21"/>
  <c r="A57" i="21"/>
  <c r="A60" i="20"/>
  <c r="A59" i="20"/>
  <c r="A58" i="20"/>
  <c r="A57" i="20"/>
  <c r="A60" i="19"/>
  <c r="A59" i="19"/>
  <c r="A58" i="19"/>
  <c r="A57" i="19"/>
  <c r="A60" i="18"/>
  <c r="A59" i="18"/>
  <c r="A58" i="18"/>
  <c r="A57" i="18"/>
  <c r="A60" i="17"/>
  <c r="A59" i="17"/>
  <c r="A58" i="17"/>
  <c r="A57" i="17"/>
  <c r="A59" i="16"/>
  <c r="A60" i="16"/>
  <c r="A58" i="16"/>
  <c r="A57" i="16"/>
  <c r="A27" i="22"/>
  <c r="A26" i="22"/>
  <c r="A25" i="22"/>
  <c r="A27" i="21"/>
  <c r="A26" i="21"/>
  <c r="A25" i="21"/>
  <c r="A27" i="20"/>
  <c r="A26" i="20"/>
  <c r="A25" i="20"/>
  <c r="A27" i="19"/>
  <c r="A26" i="19"/>
  <c r="A25" i="19"/>
  <c r="A27" i="18"/>
  <c r="A26" i="18"/>
  <c r="A25" i="18"/>
  <c r="A27" i="17"/>
  <c r="A26" i="17"/>
  <c r="A18" i="20" l="1"/>
  <c r="A18" i="19"/>
  <c r="A18" i="18"/>
  <c r="A18" i="17"/>
  <c r="A18" i="16"/>
  <c r="A18" i="14"/>
  <c r="A17" i="22" l="1"/>
  <c r="A17" i="21"/>
  <c r="A17" i="20"/>
  <c r="A17" i="19"/>
  <c r="A17" i="18"/>
  <c r="A17" i="17"/>
  <c r="A17" i="16"/>
  <c r="A17" i="14"/>
  <c r="B4" i="22" l="1"/>
  <c r="C4" i="22"/>
  <c r="B5" i="22"/>
  <c r="C5" i="22"/>
  <c r="B6" i="22"/>
  <c r="C6" i="22"/>
  <c r="B7" i="22"/>
  <c r="C7" i="22"/>
  <c r="B8" i="22"/>
  <c r="C8" i="22"/>
  <c r="A4" i="22"/>
  <c r="A5" i="22"/>
  <c r="A6" i="22"/>
  <c r="A7" i="22"/>
  <c r="A8" i="22"/>
  <c r="A3" i="22"/>
  <c r="B4" i="21"/>
  <c r="C4" i="21"/>
  <c r="B5" i="21"/>
  <c r="C5" i="21"/>
  <c r="B6" i="21"/>
  <c r="C6" i="21"/>
  <c r="B7" i="21"/>
  <c r="C7" i="21"/>
  <c r="B8" i="21"/>
  <c r="C8" i="21"/>
  <c r="A4" i="21"/>
  <c r="A5" i="21"/>
  <c r="A6" i="21"/>
  <c r="A7" i="21"/>
  <c r="A8" i="21"/>
  <c r="A3" i="21"/>
  <c r="B4" i="20"/>
  <c r="C4" i="20"/>
  <c r="B5" i="20"/>
  <c r="C5" i="20"/>
  <c r="B6" i="20"/>
  <c r="C6" i="20"/>
  <c r="B7" i="20"/>
  <c r="C7" i="20"/>
  <c r="B8" i="20"/>
  <c r="C8" i="20"/>
  <c r="A4" i="20"/>
  <c r="A5" i="20"/>
  <c r="A6" i="20"/>
  <c r="A7" i="20"/>
  <c r="A8" i="20"/>
  <c r="A3" i="20"/>
  <c r="B4" i="19"/>
  <c r="C4" i="19"/>
  <c r="B5" i="19"/>
  <c r="C5" i="19"/>
  <c r="B6" i="19"/>
  <c r="C6" i="19"/>
  <c r="B7" i="19"/>
  <c r="C7" i="19"/>
  <c r="B8" i="19"/>
  <c r="C8" i="19"/>
  <c r="A4" i="19"/>
  <c r="A5" i="19"/>
  <c r="A6" i="19"/>
  <c r="A7" i="19"/>
  <c r="A8" i="19"/>
  <c r="A3" i="19"/>
  <c r="B4" i="18"/>
  <c r="C4" i="18"/>
  <c r="B5" i="18"/>
  <c r="C5" i="18"/>
  <c r="B6" i="18"/>
  <c r="C6" i="18"/>
  <c r="B7" i="18"/>
  <c r="C7" i="18"/>
  <c r="B8" i="18"/>
  <c r="C8" i="18"/>
  <c r="A4" i="18"/>
  <c r="A5" i="18"/>
  <c r="A6" i="18"/>
  <c r="A7" i="18"/>
  <c r="A8" i="18"/>
  <c r="A3" i="18"/>
  <c r="A4" i="17"/>
  <c r="A5" i="17"/>
  <c r="A6" i="17"/>
  <c r="A7" i="17"/>
  <c r="A8" i="17"/>
  <c r="A3" i="17"/>
  <c r="A16" i="22"/>
  <c r="A15" i="22"/>
  <c r="A14" i="22"/>
  <c r="A13" i="22"/>
  <c r="A12" i="22"/>
  <c r="A11" i="22"/>
  <c r="C2" i="22"/>
  <c r="B2" i="22"/>
  <c r="A2" i="22"/>
  <c r="A1" i="22"/>
  <c r="A16" i="21"/>
  <c r="A15" i="21"/>
  <c r="A14" i="21"/>
  <c r="A13" i="21"/>
  <c r="A12" i="21"/>
  <c r="A11" i="21"/>
  <c r="C2" i="21"/>
  <c r="B2" i="21"/>
  <c r="A2" i="21"/>
  <c r="A1" i="21"/>
  <c r="A16" i="20"/>
  <c r="A15" i="20"/>
  <c r="A14" i="20"/>
  <c r="A13" i="20"/>
  <c r="A12" i="20"/>
  <c r="A11" i="20"/>
  <c r="C2" i="20"/>
  <c r="B2" i="20"/>
  <c r="A2" i="20"/>
  <c r="A1" i="20"/>
  <c r="A16" i="19"/>
  <c r="A15" i="19"/>
  <c r="A14" i="19"/>
  <c r="A13" i="19"/>
  <c r="A12" i="19"/>
  <c r="A11" i="19"/>
  <c r="C2" i="19"/>
  <c r="B2" i="19"/>
  <c r="A2" i="19"/>
  <c r="A1" i="19"/>
  <c r="A16" i="18"/>
  <c r="A15" i="18"/>
  <c r="A14" i="18"/>
  <c r="A13" i="18"/>
  <c r="A12" i="18"/>
  <c r="A11" i="18"/>
  <c r="C2" i="18"/>
  <c r="B2" i="18"/>
  <c r="A2" i="18"/>
  <c r="A1" i="18"/>
  <c r="A16" i="17"/>
  <c r="A15" i="17"/>
  <c r="A14" i="17"/>
  <c r="A13" i="17"/>
  <c r="A12" i="17"/>
  <c r="A11" i="17"/>
  <c r="C2" i="17"/>
  <c r="B2" i="17"/>
  <c r="A2" i="17"/>
  <c r="A1" i="17"/>
  <c r="A16" i="16"/>
  <c r="A15" i="16"/>
  <c r="A14" i="16"/>
  <c r="A13" i="16"/>
  <c r="A12" i="16"/>
  <c r="A11" i="16"/>
  <c r="A12" i="14"/>
  <c r="A13" i="14"/>
  <c r="A14" i="14"/>
  <c r="A15" i="14"/>
  <c r="A16" i="14"/>
  <c r="A11" i="14"/>
  <c r="B2" i="14"/>
  <c r="C2" i="14"/>
  <c r="A36" i="14"/>
  <c r="A37" i="14"/>
  <c r="A38" i="14"/>
  <c r="A69" i="14"/>
  <c r="A70" i="14"/>
  <c r="A2" i="14"/>
  <c r="A1" i="14"/>
  <c r="A69" i="22" l="1"/>
  <c r="A39" i="22"/>
  <c r="A67" i="22"/>
  <c r="A37" i="22"/>
  <c r="A40" i="22"/>
  <c r="A70" i="22"/>
  <c r="A68" i="22"/>
  <c r="A38" i="22"/>
  <c r="A36" i="22"/>
  <c r="A66" i="22"/>
  <c r="A37" i="21"/>
  <c r="A67" i="21"/>
  <c r="A40" i="21"/>
  <c r="A70" i="21"/>
  <c r="A36" i="21"/>
  <c r="A66" i="21"/>
  <c r="A69" i="21"/>
  <c r="A39" i="21"/>
  <c r="A68" i="21"/>
  <c r="A38" i="21"/>
  <c r="A37" i="20"/>
  <c r="A67" i="20"/>
  <c r="A70" i="20"/>
  <c r="A40" i="20"/>
  <c r="A66" i="20"/>
  <c r="A36" i="20"/>
  <c r="A39" i="20"/>
  <c r="A69" i="20"/>
  <c r="A38" i="20"/>
  <c r="A68" i="20"/>
  <c r="A66" i="19"/>
  <c r="A37" i="19"/>
  <c r="A70" i="19"/>
  <c r="A40" i="19"/>
  <c r="A67" i="19"/>
  <c r="A36" i="19"/>
  <c r="A39" i="19"/>
  <c r="A69" i="19"/>
  <c r="A68" i="19"/>
  <c r="A38" i="19"/>
  <c r="A37" i="18"/>
  <c r="A66" i="18"/>
  <c r="A39" i="18"/>
  <c r="A69" i="18"/>
  <c r="A70" i="18"/>
  <c r="A40" i="18"/>
  <c r="A67" i="18"/>
  <c r="A36" i="18"/>
  <c r="A68" i="18"/>
  <c r="A38" i="18"/>
  <c r="A67" i="17"/>
  <c r="A37" i="17"/>
  <c r="A40" i="17"/>
  <c r="A70" i="17"/>
  <c r="A36" i="17"/>
  <c r="A66" i="17"/>
  <c r="A39" i="17"/>
  <c r="A69" i="17"/>
  <c r="A68" i="17"/>
  <c r="A38" i="17"/>
  <c r="A67" i="16"/>
  <c r="A70" i="16"/>
  <c r="A66" i="16"/>
  <c r="A69" i="16"/>
  <c r="A68" i="16"/>
  <c r="A40" i="14"/>
  <c r="A39" i="14"/>
  <c r="A68" i="14"/>
  <c r="A66" i="14"/>
  <c r="A67" i="14"/>
  <c r="D66" i="14" l="1"/>
  <c r="B69" i="21"/>
  <c r="B70" i="20"/>
  <c r="B69" i="20"/>
  <c r="B67" i="20"/>
  <c r="B68" i="20"/>
  <c r="B70" i="17"/>
  <c r="B68" i="17"/>
  <c r="B70" i="16"/>
  <c r="B68" i="16"/>
  <c r="B70" i="22"/>
  <c r="D69" i="17"/>
  <c r="B66" i="20"/>
  <c r="B66" i="17"/>
  <c r="B66" i="18"/>
  <c r="D66" i="19"/>
  <c r="B69" i="19"/>
  <c r="B36" i="21" l="1"/>
  <c r="C68" i="14"/>
  <c r="C67" i="21"/>
  <c r="C37" i="21"/>
  <c r="C66" i="21"/>
  <c r="C36" i="21"/>
  <c r="C38" i="17"/>
  <c r="C68" i="17"/>
  <c r="C69" i="17"/>
  <c r="C39" i="17"/>
  <c r="C70" i="17"/>
  <c r="C40" i="17"/>
  <c r="C38" i="21"/>
  <c r="C68" i="21"/>
  <c r="C39" i="21"/>
  <c r="C69" i="21"/>
  <c r="C70" i="21"/>
  <c r="C40" i="21"/>
  <c r="C67" i="17"/>
  <c r="C37" i="17"/>
  <c r="C66" i="17"/>
  <c r="C36" i="17"/>
  <c r="B66" i="14"/>
  <c r="D66" i="21"/>
  <c r="D66" i="17"/>
  <c r="D66" i="20"/>
  <c r="D66" i="22"/>
  <c r="D66" i="16"/>
  <c r="D67" i="19"/>
  <c r="D67" i="18"/>
  <c r="D68" i="16"/>
  <c r="D69" i="16"/>
  <c r="D70" i="16"/>
  <c r="D68" i="21"/>
  <c r="D68" i="19"/>
  <c r="B68" i="21"/>
  <c r="B67" i="22"/>
  <c r="B68" i="19"/>
  <c r="B70" i="19"/>
  <c r="D70" i="22"/>
  <c r="D68" i="20"/>
  <c r="D69" i="20"/>
  <c r="D70" i="20"/>
  <c r="D67" i="17"/>
  <c r="D70" i="18"/>
  <c r="D68" i="22"/>
  <c r="D67" i="14"/>
  <c r="D70" i="14"/>
  <c r="D68" i="14"/>
  <c r="B68" i="18"/>
  <c r="B69" i="18"/>
  <c r="B70" i="18"/>
  <c r="B68" i="14"/>
  <c r="D67" i="16"/>
  <c r="D67" i="21"/>
  <c r="D69" i="18"/>
  <c r="D66" i="18"/>
  <c r="D67" i="22"/>
  <c r="D70" i="19"/>
  <c r="D69" i="14"/>
  <c r="B68" i="22"/>
  <c r="B69" i="22"/>
  <c r="D67" i="20"/>
  <c r="D69" i="19"/>
  <c r="B70" i="21"/>
  <c r="D68" i="17"/>
  <c r="D69" i="22"/>
  <c r="B67" i="17"/>
  <c r="B69" i="17"/>
  <c r="B67" i="16"/>
  <c r="B67" i="14"/>
  <c r="B67" i="21"/>
  <c r="D70" i="21"/>
  <c r="D70" i="17"/>
  <c r="B69" i="14"/>
  <c r="B70" i="14"/>
  <c r="B69" i="16"/>
  <c r="B66" i="19"/>
  <c r="D68" i="18"/>
  <c r="D69" i="21"/>
  <c r="B66" i="16"/>
  <c r="B67" i="18"/>
  <c r="B66" i="21"/>
  <c r="B67" i="19"/>
  <c r="B66" i="22"/>
  <c r="C38" i="14" l="1"/>
  <c r="C40" i="20"/>
  <c r="C70" i="20"/>
  <c r="C40" i="16"/>
  <c r="C70" i="16"/>
  <c r="C66" i="20"/>
  <c r="C36" i="20"/>
  <c r="C36" i="16"/>
  <c r="C66" i="16"/>
  <c r="C69" i="20"/>
  <c r="C39" i="20"/>
  <c r="C39" i="16"/>
  <c r="C69" i="16"/>
  <c r="C37" i="20"/>
  <c r="C67" i="20"/>
  <c r="C67" i="16"/>
  <c r="C37" i="16"/>
  <c r="C68" i="20"/>
  <c r="C38" i="20"/>
  <c r="C38" i="16"/>
  <c r="C68" i="16"/>
  <c r="C70" i="19"/>
  <c r="C40" i="19"/>
  <c r="C40" i="14"/>
  <c r="C70" i="14"/>
  <c r="C67" i="19"/>
  <c r="C36" i="19"/>
  <c r="C66" i="14"/>
  <c r="C36" i="14"/>
  <c r="C39" i="19"/>
  <c r="C69" i="19"/>
  <c r="C39" i="14"/>
  <c r="C69" i="14"/>
  <c r="C66" i="19"/>
  <c r="C37" i="19"/>
  <c r="C37" i="14"/>
  <c r="C67" i="14"/>
  <c r="C38" i="19"/>
  <c r="C68" i="19"/>
  <c r="C40" i="22"/>
  <c r="C70" i="22"/>
  <c r="C70" i="18"/>
  <c r="C40" i="18"/>
  <c r="C36" i="22"/>
  <c r="C66" i="22"/>
  <c r="C67" i="18"/>
  <c r="C36" i="18"/>
  <c r="C39" i="22"/>
  <c r="C69" i="22"/>
  <c r="C39" i="18"/>
  <c r="C69" i="18"/>
  <c r="C67" i="22"/>
  <c r="C37" i="22"/>
  <c r="C37" i="18"/>
  <c r="C66" i="18"/>
  <c r="C38" i="22"/>
  <c r="C68" i="22"/>
  <c r="C38" i="18"/>
  <c r="C68" i="18"/>
  <c r="B40" i="22"/>
  <c r="B39" i="20"/>
  <c r="B36" i="14"/>
  <c r="B36" i="20"/>
  <c r="B38" i="18"/>
  <c r="B37" i="22"/>
  <c r="B38" i="14"/>
  <c r="B39" i="22"/>
  <c r="B36" i="18"/>
  <c r="B39" i="21"/>
  <c r="B40" i="14"/>
  <c r="B37" i="19"/>
  <c r="B39" i="19"/>
  <c r="B37" i="21"/>
  <c r="B37" i="17"/>
  <c r="B38" i="20"/>
  <c r="B36" i="22"/>
  <c r="B39" i="16"/>
  <c r="B36" i="16"/>
  <c r="B40" i="17"/>
  <c r="B36" i="19"/>
  <c r="B37" i="18"/>
  <c r="B39" i="17"/>
  <c r="B38" i="16"/>
  <c r="B37" i="20"/>
  <c r="B39" i="14"/>
  <c r="B38" i="19"/>
  <c r="B40" i="18"/>
  <c r="B40" i="19"/>
  <c r="B40" i="20"/>
  <c r="B36" i="17"/>
  <c r="B38" i="21"/>
  <c r="B38" i="17"/>
  <c r="B37" i="14"/>
  <c r="B39" i="18"/>
  <c r="B38" i="22"/>
  <c r="B40" i="21"/>
  <c r="B37" i="16"/>
  <c r="B40" i="16"/>
</calcChain>
</file>

<file path=xl/sharedStrings.xml><?xml version="1.0" encoding="utf-8"?>
<sst xmlns="http://schemas.openxmlformats.org/spreadsheetml/2006/main" count="717" uniqueCount="168">
  <si>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</si>
  <si>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</si>
  <si>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</si>
  <si>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</si>
  <si>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</si>
  <si>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</si>
  <si>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</si>
  <si>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</si>
  <si>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</si>
  <si>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</si>
  <si>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</si>
  <si>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</si>
  <si>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</si>
  <si>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</si>
  <si>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</si>
  <si>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</si>
  <si>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</si>
  <si>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</si>
  <si>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</si>
  <si>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</si>
  <si>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</si>
  <si>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</si>
  <si>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</si>
  <si>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</si>
  <si>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</si>
  <si>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</si>
  <si>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</si>
  <si>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</si>
  <si>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</si>
  <si>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</si>
  <si>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</si>
  <si>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</si>
  <si>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</si>
  <si>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</si>
  <si>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</si>
  <si>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</si>
  <si>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</si>
  <si>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</si>
  <si>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</si>
  <si>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</si>
  <si>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</si>
  <si>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</si>
  <si>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</si>
  <si>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</si>
  <si>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</si>
  <si>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</si>
  <si>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</si>
  <si>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</si>
  <si>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</si>
  <si>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</si>
  <si>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</si>
  <si>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</si>
  <si>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</si>
  <si>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</si>
  <si>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</si>
  <si>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</si>
  <si>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</si>
  <si>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</si>
  <si>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</si>
  <si>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</si>
  <si>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</si>
  <si>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</si>
  <si>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</si>
  <si>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</si>
  <si>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</si>
  <si>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</si>
  <si>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</si>
  <si>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</si>
  <si>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</si>
  <si>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</si>
  <si>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</si>
  <si>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</si>
  <si>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</si>
  <si>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</si>
  <si>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</si>
  <si>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</si>
  <si>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</si>
  <si>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</si>
  <si>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</si>
  <si>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</si>
  <si>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</si>
  <si>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</si>
  <si>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</si>
  <si>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</si>
  <si>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</si>
  <si>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</si>
  <si>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</si>
  <si>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</si>
  <si>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</si>
  <si>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</si>
  <si>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</si>
  <si>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</si>
  <si>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</si>
  <si>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</si>
  <si>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</si>
  <si>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</si>
  <si>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</si>
  <si>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</si>
  <si>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</si>
  <si>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</si>
  <si>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</si>
  <si>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</si>
  <si>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</si>
  <si>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</si>
  <si>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</si>
  <si>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</si>
  <si>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</si>
  <si>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</si>
  <si>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</si>
  <si>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</si>
  <si>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</si>
  <si>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</si>
  <si>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</si>
  <si>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</si>
  <si>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</si>
  <si>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</si>
  <si>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</si>
  <si>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</si>
  <si>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</si>
  <si>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</si>
  <si>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</si>
  <si>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</si>
  <si>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</si>
  <si>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</si>
  <si>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</si>
  <si>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</si>
  <si>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</si>
  <si>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</si>
  <si>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</si>
  <si>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</si>
  <si>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</si>
  <si>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</si>
  <si>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</si>
  <si>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</si>
  <si>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</si>
  <si>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</si>
  <si>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</si>
  <si>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</si>
  <si>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</si>
  <si>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</si>
  <si>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</si>
  <si>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</si>
  <si>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</si>
  <si>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</si>
  <si>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</si>
  <si>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</si>
  <si>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</si>
  <si>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</si>
  <si>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</si>
  <si>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</si>
  <si>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</si>
  <si>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</si>
  <si>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</si>
  <si>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</si>
  <si>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</si>
  <si>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</si>
  <si>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</si>
  <si>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</si>
  <si>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</si>
  <si>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</si>
  <si>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UAB "SB Asset Management"</t>
  </si>
  <si>
    <t>5 m. 3 mėn.</t>
  </si>
  <si>
    <t>1 m. 8 mėn.</t>
  </si>
  <si>
    <t>UAB „SB Asset Management“</t>
  </si>
  <si>
    <t>Veikia trumpiau</t>
  </si>
  <si>
    <t>[4] Svertiniam vidurkiui apskaičiuoti naudotas 2024-03-29 dienos fondų grynųjų aktyvų dydis.</t>
  </si>
  <si>
    <t>Išlaidų rodikliai (2023 m.)</t>
  </si>
  <si>
    <t>[11] Goindex, UAB valdomi pensijų fondai įsteigti 2022-07-05.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</si>
</sst>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5"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sz val="8"/>
      <name val="Calibri"/>
      <family val="2"/>
      <scheme val="minor"/>
    </font>
    <font>
      <sz val="10"/>
      <color theme="1"/>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9">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14" fontId="20" fillId="2" borderId="1" xfId="0" applyNumberFormat="1" applyFont="1" applyFill="1" applyBorder="1" applyAlignment="1">
      <alignment horizontal="left"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29" fillId="0" borderId="0" xfId="0" applyFont="1"/>
    <xf numFmtId="0" fontId="7" fillId="0" borderId="0" xfId="3" applyAlignment="1">
      <alignment vertical="top"/>
    </xf>
    <xf numFmtId="0" fontId="19" fillId="3" borderId="0"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8" fillId="2" borderId="0" xfId="4" applyFont="1" applyFill="1"/>
    <xf numFmtId="14" fontId="34" fillId="2" borderId="1" xfId="0" applyNumberFormat="1" applyFont="1" applyFill="1" applyBorder="1" applyAlignment="1">
      <alignment horizontal="left" wrapText="1"/>
    </xf>
    <xf numFmtId="0" fontId="23" fillId="2" borderId="0" xfId="4" applyFont="1" applyFill="1" applyBorder="1" applyAlignment="1"/>
    <xf numFmtId="0" fontId="17" fillId="0" borderId="0" xfId="0" applyFont="1" applyAlignment="1">
      <alignment wrapText="1"/>
    </xf>
    <xf numFmtId="2" fontId="29" fillId="0" borderId="6" xfId="0" applyNumberFormat="1" applyFont="1" applyFill="1" applyBorder="1" applyAlignment="1">
      <alignment horizontal="center" vertical="center" wrapText="1"/>
    </xf>
    <xf numFmtId="2" fontId="23" fillId="2" borderId="6" xfId="0" applyNumberFormat="1" applyFont="1" applyFill="1" applyBorder="1" applyAlignment="1">
      <alignment horizontal="center" vertical="center"/>
    </xf>
    <xf numFmtId="0" fontId="8" fillId="0" borderId="0" xfId="0" applyFont="1" applyFill="1" applyBorder="1"/>
    <xf numFmtId="0" fontId="10" fillId="0" borderId="0" xfId="0" applyFont="1" applyFill="1" applyBorder="1"/>
    <xf numFmtId="2" fontId="0" fillId="0" borderId="0" xfId="0" applyNumberFormat="1" applyFill="1"/>
    <xf numFmtId="9" fontId="0" fillId="0" borderId="0" xfId="2" applyFont="1" applyFill="1"/>
    <xf numFmtId="0" fontId="0" fillId="0" borderId="0" xfId="0" applyFont="1" applyFill="1" applyBorder="1" applyAlignment="1"/>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6" fillId="0" borderId="7" xfId="0" applyFont="1" applyFill="1" applyBorder="1" applyAlignment="1">
      <alignment horizontal="left" wrapText="1"/>
    </xf>
    <xf numFmtId="0" fontId="26" fillId="0" borderId="9"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65">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1.1130754306784981E-2"/>
                  <c:y val="2.2488358355736322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11.018596259322475</c:v>
                </c:pt>
                <c:pt idx="1">
                  <c:v>10.539487162640606</c:v>
                </c:pt>
                <c:pt idx="2">
                  <c:v>11.848150467661139</c:v>
                </c:pt>
                <c:pt idx="3">
                  <c:v>13.122367657697396</c:v>
                </c:pt>
                <c:pt idx="4">
                  <c:v>11.869462023414048</c:v>
                </c:pt>
              </c:numCache>
            </c:numRef>
          </c:xVal>
          <c:yVal>
            <c:numRef>
              <c:f>'1996-2002'!$C$36:$C$40</c:f>
              <c:numCache>
                <c:formatCode>0.00</c:formatCode>
                <c:ptCount val="5"/>
                <c:pt idx="0">
                  <c:v>5.3357527140219574</c:v>
                </c:pt>
                <c:pt idx="1">
                  <c:v>7.5337095391440956</c:v>
                </c:pt>
                <c:pt idx="2">
                  <c:v>7.0704201293413593</c:v>
                </c:pt>
                <c:pt idx="3">
                  <c:v>8.768320852888877</c:v>
                </c:pt>
                <c:pt idx="4">
                  <c:v>8.2465053124941115</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14.666</c:v>
                </c:pt>
                <c:pt idx="1">
                  <c:v>19.859000000000002</c:v>
                </c:pt>
                <c:pt idx="2">
                  <c:v>21.722999999999999</c:v>
                </c:pt>
                <c:pt idx="3">
                  <c:v>49.488</c:v>
                </c:pt>
                <c:pt idx="4">
                  <c:v>20.315999999999999</c:v>
                </c:pt>
              </c:numCache>
            </c:numRef>
          </c:xVal>
          <c:yVal>
            <c:numRef>
              <c:f>'1996-2002'!$C$66:$C$70</c:f>
              <c:numCache>
                <c:formatCode>0.00</c:formatCode>
                <c:ptCount val="5"/>
                <c:pt idx="0">
                  <c:v>5.3357527140219574</c:v>
                </c:pt>
                <c:pt idx="1">
                  <c:v>7.5337095391440956</c:v>
                </c:pt>
                <c:pt idx="2">
                  <c:v>7.0704201293413593</c:v>
                </c:pt>
                <c:pt idx="3">
                  <c:v>8.768320852888877</c:v>
                </c:pt>
                <c:pt idx="4">
                  <c:v>8.2465053124941115</c:v>
                </c:pt>
              </c:numCache>
            </c:numRef>
          </c:yVal>
          <c:bubbleSize>
            <c:numRef>
              <c:f>'1996-2002'!$D$66:$D$70</c:f>
              <c:numCache>
                <c:formatCode>0.00</c:formatCode>
                <c:ptCount val="5"/>
                <c:pt idx="0">
                  <c:v>17.964447420000003</c:v>
                </c:pt>
                <c:pt idx="1">
                  <c:v>39.1409569319</c:v>
                </c:pt>
                <c:pt idx="2">
                  <c:v>48.911383799999996</c:v>
                </c:pt>
                <c:pt idx="3">
                  <c:v>114.85712114</c:v>
                </c:pt>
                <c:pt idx="4">
                  <c:v>39.88667324</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10.943006976476946</c:v>
                </c:pt>
                <c:pt idx="1">
                  <c:v>10.24063635288304</c:v>
                </c:pt>
                <c:pt idx="2">
                  <c:v>11.799116467732654</c:v>
                </c:pt>
                <c:pt idx="3">
                  <c:v>12.776215764763684</c:v>
                </c:pt>
                <c:pt idx="4">
                  <c:v>11.732258253150867</c:v>
                </c:pt>
              </c:numCache>
            </c:numRef>
          </c:xVal>
          <c:yVal>
            <c:numRef>
              <c:f>'1989-1995'!$C$36:$C$40</c:f>
              <c:numCache>
                <c:formatCode>0.00</c:formatCode>
                <c:ptCount val="5"/>
                <c:pt idx="0">
                  <c:v>5.3723645651584606</c:v>
                </c:pt>
                <c:pt idx="1">
                  <c:v>7.6409375453010853</c:v>
                </c:pt>
                <c:pt idx="2">
                  <c:v>6.8928546918258338</c:v>
                </c:pt>
                <c:pt idx="3">
                  <c:v>8.8546465449245169</c:v>
                </c:pt>
                <c:pt idx="4">
                  <c:v>8.3737570791325702</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18.922000000000001</c:v>
                </c:pt>
                <c:pt idx="1">
                  <c:v>36.625999999999998</c:v>
                </c:pt>
                <c:pt idx="2">
                  <c:v>46.061999999999998</c:v>
                </c:pt>
                <c:pt idx="3">
                  <c:v>95.911000000000001</c:v>
                </c:pt>
                <c:pt idx="4">
                  <c:v>33.893999999999998</c:v>
                </c:pt>
              </c:numCache>
            </c:numRef>
          </c:xVal>
          <c:yVal>
            <c:numRef>
              <c:f>'1989-1995'!$C$66:$C$70</c:f>
              <c:numCache>
                <c:formatCode>0.00</c:formatCode>
                <c:ptCount val="5"/>
                <c:pt idx="0">
                  <c:v>5.3723645651584606</c:v>
                </c:pt>
                <c:pt idx="1">
                  <c:v>7.6409375453010853</c:v>
                </c:pt>
                <c:pt idx="2">
                  <c:v>6.8928546918258338</c:v>
                </c:pt>
                <c:pt idx="3">
                  <c:v>8.8546465449245169</c:v>
                </c:pt>
                <c:pt idx="4">
                  <c:v>8.3737570791325702</c:v>
                </c:pt>
              </c:numCache>
            </c:numRef>
          </c:yVal>
          <c:bubbleSize>
            <c:numRef>
              <c:f>'1989-1995'!$D$66:$D$70</c:f>
              <c:numCache>
                <c:formatCode>0.00</c:formatCode>
                <c:ptCount val="5"/>
                <c:pt idx="0">
                  <c:v>60.414196880000006</c:v>
                </c:pt>
                <c:pt idx="1">
                  <c:v>146.24353772009999</c:v>
                </c:pt>
                <c:pt idx="2">
                  <c:v>184.13743133000003</c:v>
                </c:pt>
                <c:pt idx="3">
                  <c:v>385.96673786000002</c:v>
                </c:pt>
                <c:pt idx="4">
                  <c:v>114.48829687999999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10.883093793679285</c:v>
                </c:pt>
                <c:pt idx="1">
                  <c:v>10.174667248543075</c:v>
                </c:pt>
                <c:pt idx="2">
                  <c:v>11.741186147852439</c:v>
                </c:pt>
                <c:pt idx="3">
                  <c:v>12.734842279375705</c:v>
                </c:pt>
                <c:pt idx="4">
                  <c:v>11.691744548644721</c:v>
                </c:pt>
              </c:numCache>
            </c:numRef>
          </c:xVal>
          <c:yVal>
            <c:numRef>
              <c:f>'1982-1988'!$C$36:$C$40</c:f>
              <c:numCache>
                <c:formatCode>0.00</c:formatCode>
                <c:ptCount val="5"/>
                <c:pt idx="0">
                  <c:v>5.5212435677058469</c:v>
                </c:pt>
                <c:pt idx="1">
                  <c:v>7.735064115358159</c:v>
                </c:pt>
                <c:pt idx="2">
                  <c:v>6.8457941517000132</c:v>
                </c:pt>
                <c:pt idx="3">
                  <c:v>9.0033483021246354</c:v>
                </c:pt>
                <c:pt idx="4">
                  <c:v>8.2755752904078115</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26.132000000000001</c:v>
                </c:pt>
                <c:pt idx="1">
                  <c:v>44.292000000000002</c:v>
                </c:pt>
                <c:pt idx="2">
                  <c:v>73.986000000000004</c:v>
                </c:pt>
                <c:pt idx="3">
                  <c:v>113.84699999999999</c:v>
                </c:pt>
                <c:pt idx="4">
                  <c:v>47.768000000000001</c:v>
                </c:pt>
              </c:numCache>
            </c:numRef>
          </c:xVal>
          <c:yVal>
            <c:numRef>
              <c:f>'1982-1988'!$C$66:$C$70</c:f>
              <c:numCache>
                <c:formatCode>0.00</c:formatCode>
                <c:ptCount val="5"/>
                <c:pt idx="0">
                  <c:v>5.5212435677058469</c:v>
                </c:pt>
                <c:pt idx="1">
                  <c:v>7.735064115358159</c:v>
                </c:pt>
                <c:pt idx="2">
                  <c:v>6.8457941517000132</c:v>
                </c:pt>
                <c:pt idx="3">
                  <c:v>9.0033483021246354</c:v>
                </c:pt>
                <c:pt idx="4">
                  <c:v>8.2755752904078115</c:v>
                </c:pt>
              </c:numCache>
            </c:numRef>
          </c:yVal>
          <c:bubbleSize>
            <c:numRef>
              <c:f>'1982-1988'!$D$66:$D$70</c:f>
              <c:numCache>
                <c:formatCode>0.00</c:formatCode>
                <c:ptCount val="5"/>
                <c:pt idx="0">
                  <c:v>117.31881745</c:v>
                </c:pt>
                <c:pt idx="1">
                  <c:v>253.8462096536</c:v>
                </c:pt>
                <c:pt idx="2">
                  <c:v>404.37063704000002</c:v>
                </c:pt>
                <c:pt idx="3">
                  <c:v>547.78485548000003</c:v>
                </c:pt>
                <c:pt idx="4">
                  <c:v>195.53420259999999</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10.905828680902596</c:v>
                </c:pt>
                <c:pt idx="1">
                  <c:v>10.126082045548648</c:v>
                </c:pt>
                <c:pt idx="2">
                  <c:v>11.724379815907305</c:v>
                </c:pt>
                <c:pt idx="3">
                  <c:v>12.609514678028191</c:v>
                </c:pt>
                <c:pt idx="4">
                  <c:v>11.744352519418623</c:v>
                </c:pt>
              </c:numCache>
            </c:numRef>
          </c:xVal>
          <c:yVal>
            <c:numRef>
              <c:f>'1975-1981'!$C$36:$C$40</c:f>
              <c:numCache>
                <c:formatCode>0.00</c:formatCode>
                <c:ptCount val="5"/>
                <c:pt idx="0">
                  <c:v>5.6781453279032723</c:v>
                </c:pt>
                <c:pt idx="1">
                  <c:v>7.6956918161098065</c:v>
                </c:pt>
                <c:pt idx="2">
                  <c:v>6.8090968918264494</c:v>
                </c:pt>
                <c:pt idx="3">
                  <c:v>8.9758873155062258</c:v>
                </c:pt>
                <c:pt idx="4">
                  <c:v>7.9819950280184848</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27.85</c:v>
                </c:pt>
                <c:pt idx="1">
                  <c:v>19.507999999999999</c:v>
                </c:pt>
                <c:pt idx="2">
                  <c:v>62.798999999999999</c:v>
                </c:pt>
                <c:pt idx="3">
                  <c:v>98.543000000000006</c:v>
                </c:pt>
                <c:pt idx="4">
                  <c:v>39.988</c:v>
                </c:pt>
              </c:numCache>
            </c:numRef>
          </c:xVal>
          <c:yVal>
            <c:numRef>
              <c:f>'1975-1981'!$C$66:$C$70</c:f>
              <c:numCache>
                <c:formatCode>0.00</c:formatCode>
                <c:ptCount val="5"/>
                <c:pt idx="0">
                  <c:v>7.6956918161098065</c:v>
                </c:pt>
                <c:pt idx="1">
                  <c:v>5.6781453279032723</c:v>
                </c:pt>
                <c:pt idx="2">
                  <c:v>6.8090968918264494</c:v>
                </c:pt>
                <c:pt idx="3">
                  <c:v>8.9758873155062258</c:v>
                </c:pt>
                <c:pt idx="4">
                  <c:v>7.9819950280184848</c:v>
                </c:pt>
              </c:numCache>
            </c:numRef>
          </c:yVal>
          <c:bubbleSize>
            <c:numRef>
              <c:f>'1975-1981'!$D$66:$D$70</c:f>
              <c:numCache>
                <c:formatCode>0.00</c:formatCode>
                <c:ptCount val="5"/>
                <c:pt idx="0">
                  <c:v>255.68835309479999</c:v>
                </c:pt>
                <c:pt idx="1">
                  <c:v>132.63730889000001</c:v>
                </c:pt>
                <c:pt idx="2">
                  <c:v>505.11624323000001</c:v>
                </c:pt>
                <c:pt idx="3">
                  <c:v>658.27322794000008</c:v>
                </c:pt>
                <c:pt idx="4">
                  <c:v>237.47193615</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10.135717964510134</c:v>
                </c:pt>
                <c:pt idx="1">
                  <c:v>8.4786354779863231</c:v>
                </c:pt>
                <c:pt idx="2">
                  <c:v>10.23274402280895</c:v>
                </c:pt>
                <c:pt idx="3">
                  <c:v>10.922328686519014</c:v>
                </c:pt>
                <c:pt idx="4">
                  <c:v>10.389296676185756</c:v>
                </c:pt>
              </c:numCache>
            </c:numRef>
          </c:xVal>
          <c:yVal>
            <c:numRef>
              <c:f>'1968-1974'!$C$36:$C$40</c:f>
              <c:numCache>
                <c:formatCode>0.00</c:formatCode>
                <c:ptCount val="5"/>
                <c:pt idx="0">
                  <c:v>4.525846431528624</c:v>
                </c:pt>
                <c:pt idx="1">
                  <c:v>5.589096636041968</c:v>
                </c:pt>
                <c:pt idx="2">
                  <c:v>5.3733379146198468</c:v>
                </c:pt>
                <c:pt idx="3">
                  <c:v>7.2765452859069768</c:v>
                </c:pt>
                <c:pt idx="4">
                  <c:v>6.0162550900284106</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23.225000000000001</c:v>
                </c:pt>
                <c:pt idx="1">
                  <c:v>18.135999999999999</c:v>
                </c:pt>
                <c:pt idx="2">
                  <c:v>53.381</c:v>
                </c:pt>
                <c:pt idx="3">
                  <c:v>95.870999999999995</c:v>
                </c:pt>
                <c:pt idx="4">
                  <c:v>39.466000000000001</c:v>
                </c:pt>
              </c:numCache>
            </c:numRef>
          </c:xVal>
          <c:yVal>
            <c:numRef>
              <c:f>'1968-1974'!$C$66:$C$70</c:f>
              <c:numCache>
                <c:formatCode>0.00</c:formatCode>
                <c:ptCount val="5"/>
                <c:pt idx="0">
                  <c:v>5.589096636041968</c:v>
                </c:pt>
                <c:pt idx="1">
                  <c:v>4.525846431528624</c:v>
                </c:pt>
                <c:pt idx="2">
                  <c:v>5.3733379146198468</c:v>
                </c:pt>
                <c:pt idx="3">
                  <c:v>7.2765452859069768</c:v>
                </c:pt>
                <c:pt idx="4">
                  <c:v>6.0162550900284106</c:v>
                </c:pt>
              </c:numCache>
            </c:numRef>
          </c:yVal>
          <c:bubbleSize>
            <c:numRef>
              <c:f>'1968-1974'!$D$66:$D$70</c:f>
              <c:numCache>
                <c:formatCode>0.00</c:formatCode>
                <c:ptCount val="5"/>
                <c:pt idx="0">
                  <c:v>206.05183324800001</c:v>
                </c:pt>
                <c:pt idx="1">
                  <c:v>127.33493951999999</c:v>
                </c:pt>
                <c:pt idx="2">
                  <c:v>441.73316404000002</c:v>
                </c:pt>
                <c:pt idx="3">
                  <c:v>653.53135449000001</c:v>
                </c:pt>
                <c:pt idx="4">
                  <c:v>247.72351412999998</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8.2441942516104447</c:v>
                </c:pt>
                <c:pt idx="1">
                  <c:v>6.543290199809185</c:v>
                </c:pt>
                <c:pt idx="2">
                  <c:v>7.5189060535146766</c:v>
                </c:pt>
                <c:pt idx="3">
                  <c:v>7.7532156390170854</c:v>
                </c:pt>
                <c:pt idx="4">
                  <c:v>6.8044766374924741</c:v>
                </c:pt>
              </c:numCache>
            </c:numRef>
          </c:xVal>
          <c:yVal>
            <c:numRef>
              <c:f>'1961-1967'!$C$36:$C$40</c:f>
              <c:numCache>
                <c:formatCode>0.00</c:formatCode>
                <c:ptCount val="5"/>
                <c:pt idx="0">
                  <c:v>1.2812436560754037</c:v>
                </c:pt>
                <c:pt idx="1">
                  <c:v>2.5152040019012167</c:v>
                </c:pt>
                <c:pt idx="2">
                  <c:v>2.216325180786094</c:v>
                </c:pt>
                <c:pt idx="3">
                  <c:v>3.3728935072843802</c:v>
                </c:pt>
                <c:pt idx="4">
                  <c:v>2.0298704260492961</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16.475999999999999</c:v>
                </c:pt>
                <c:pt idx="1">
                  <c:v>17.483000000000001</c:v>
                </c:pt>
                <c:pt idx="2">
                  <c:v>46.74</c:v>
                </c:pt>
                <c:pt idx="3">
                  <c:v>84.076999999999998</c:v>
                </c:pt>
                <c:pt idx="4">
                  <c:v>37.094999999999999</c:v>
                </c:pt>
              </c:numCache>
            </c:numRef>
          </c:xVal>
          <c:yVal>
            <c:numRef>
              <c:f>'1961-1967'!$C$66:$C$70</c:f>
              <c:numCache>
                <c:formatCode>0.00</c:formatCode>
                <c:ptCount val="5"/>
                <c:pt idx="0">
                  <c:v>1.2812436560754037</c:v>
                </c:pt>
                <c:pt idx="1">
                  <c:v>2.5152040019012167</c:v>
                </c:pt>
                <c:pt idx="2">
                  <c:v>2.216325180786094</c:v>
                </c:pt>
                <c:pt idx="3">
                  <c:v>3.3728935072843802</c:v>
                </c:pt>
                <c:pt idx="4">
                  <c:v>2.0298704260492961</c:v>
                </c:pt>
              </c:numCache>
            </c:numRef>
          </c:yVal>
          <c:bubbleSize>
            <c:numRef>
              <c:f>'1961-1967'!$D$66:$D$70</c:f>
              <c:numCache>
                <c:formatCode>0.00</c:formatCode>
                <c:ptCount val="5"/>
                <c:pt idx="0">
                  <c:v>99.669389319999993</c:v>
                </c:pt>
                <c:pt idx="1">
                  <c:v>127.96628257430001</c:v>
                </c:pt>
                <c:pt idx="2">
                  <c:v>330.01760195999998</c:v>
                </c:pt>
                <c:pt idx="3">
                  <c:v>490.24865923999999</c:v>
                </c:pt>
                <c:pt idx="4">
                  <c:v>212.80373196000002</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6.3820683917885619</c:v>
                </c:pt>
                <c:pt idx="1">
                  <c:v>4.9859361129482078</c:v>
                </c:pt>
                <c:pt idx="2">
                  <c:v>5.6311419064153796</c:v>
                </c:pt>
                <c:pt idx="3">
                  <c:v>5.1894731762154755</c:v>
                </c:pt>
                <c:pt idx="4">
                  <c:v>4.2249905869467845</c:v>
                </c:pt>
              </c:numCache>
            </c:numRef>
          </c:xVal>
          <c:yVal>
            <c:numRef>
              <c:f>'1954-1960'!$C$36:$C$40</c:f>
              <c:numCache>
                <c:formatCode>0.00</c:formatCode>
                <c:ptCount val="5"/>
                <c:pt idx="0">
                  <c:v>-1.2767607555109639</c:v>
                </c:pt>
                <c:pt idx="1">
                  <c:v>0.19567754157325812</c:v>
                </c:pt>
                <c:pt idx="2">
                  <c:v>-0.30235844849877402</c:v>
                </c:pt>
                <c:pt idx="3">
                  <c:v>-0.45487607121007523</c:v>
                </c:pt>
                <c:pt idx="4">
                  <c:v>0.18754392221285165</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3.3159999999999998</c:v>
                </c:pt>
                <c:pt idx="1">
                  <c:v>2.7040000000000002</c:v>
                </c:pt>
                <c:pt idx="2">
                  <c:v>8.4860000000000007</c:v>
                </c:pt>
                <c:pt idx="3">
                  <c:v>12.154999999999999</c:v>
                </c:pt>
                <c:pt idx="4">
                  <c:v>7.2770000000000001</c:v>
                </c:pt>
              </c:numCache>
            </c:numRef>
          </c:xVal>
          <c:yVal>
            <c:numRef>
              <c:f>'1954-1960'!$C$66:$C$70</c:f>
              <c:numCache>
                <c:formatCode>0.00</c:formatCode>
                <c:ptCount val="5"/>
                <c:pt idx="0">
                  <c:v>-1.2767607555109639</c:v>
                </c:pt>
                <c:pt idx="1">
                  <c:v>0.19567754157325812</c:v>
                </c:pt>
                <c:pt idx="2">
                  <c:v>-0.30235844849877402</c:v>
                </c:pt>
                <c:pt idx="3">
                  <c:v>-0.45487607121007523</c:v>
                </c:pt>
                <c:pt idx="4">
                  <c:v>0.18754392221285165</c:v>
                </c:pt>
              </c:numCache>
            </c:numRef>
          </c:yVal>
          <c:bubbleSize>
            <c:numRef>
              <c:f>'1954-1960'!$D$66:$D$70</c:f>
              <c:numCache>
                <c:formatCode>0.00</c:formatCode>
                <c:ptCount val="5"/>
                <c:pt idx="0">
                  <c:v>17.966132179999999</c:v>
                </c:pt>
                <c:pt idx="1">
                  <c:v>17.295014675999997</c:v>
                </c:pt>
                <c:pt idx="2">
                  <c:v>54.67931162</c:v>
                </c:pt>
                <c:pt idx="3">
                  <c:v>77.4060013</c:v>
                </c:pt>
                <c:pt idx="4">
                  <c:v>41.270464780000005</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4.6735311577836764</c:v>
                </c:pt>
                <c:pt idx="1">
                  <c:v>4.3913568230274045</c:v>
                </c:pt>
                <c:pt idx="2">
                  <c:v>4.9432855707281176</c:v>
                </c:pt>
                <c:pt idx="3">
                  <c:v>5.2969705831025617</c:v>
                </c:pt>
                <c:pt idx="4">
                  <c:v>3.9770742131084633</c:v>
                </c:pt>
              </c:numCache>
            </c:numRef>
          </c:xVal>
          <c:yVal>
            <c:numRef>
              <c:f>TIF!$C$36:$C$40</c:f>
              <c:numCache>
                <c:formatCode>0.00</c:formatCode>
                <c:ptCount val="5"/>
                <c:pt idx="0">
                  <c:v>-0.95471222531506861</c:v>
                </c:pt>
                <c:pt idx="1">
                  <c:v>0.25048728444545532</c:v>
                </c:pt>
                <c:pt idx="2">
                  <c:v>-0.24590263184445238</c:v>
                </c:pt>
                <c:pt idx="3">
                  <c:v>2.7282649589377428E-2</c:v>
                </c:pt>
                <c:pt idx="4">
                  <c:v>-1.3276460747667862</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2.363</c:v>
                </c:pt>
                <c:pt idx="1">
                  <c:v>1.9910000000000001</c:v>
                </c:pt>
                <c:pt idx="2">
                  <c:v>5.63</c:v>
                </c:pt>
                <c:pt idx="3">
                  <c:v>6.8849999999999998</c:v>
                </c:pt>
                <c:pt idx="4">
                  <c:v>5.891</c:v>
                </c:pt>
              </c:numCache>
            </c:numRef>
          </c:xVal>
          <c:yVal>
            <c:numRef>
              <c:f>TIF!$C$66:$C$70</c:f>
              <c:numCache>
                <c:formatCode>0.00</c:formatCode>
                <c:ptCount val="5"/>
                <c:pt idx="0">
                  <c:v>-0.95471222531506861</c:v>
                </c:pt>
                <c:pt idx="1">
                  <c:v>0.25048728444545532</c:v>
                </c:pt>
                <c:pt idx="2">
                  <c:v>-0.24590263184445238</c:v>
                </c:pt>
                <c:pt idx="3">
                  <c:v>2.7282649589377428E-2</c:v>
                </c:pt>
                <c:pt idx="4">
                  <c:v>-1.3276460747667862</c:v>
                </c:pt>
              </c:numCache>
            </c:numRef>
          </c:yVal>
          <c:bubbleSize>
            <c:numRef>
              <c:f>TIF!$D$66:$D$70</c:f>
              <c:numCache>
                <c:formatCode>0.00</c:formatCode>
                <c:ptCount val="5"/>
                <c:pt idx="0">
                  <c:v>8.6755345100000003</c:v>
                </c:pt>
                <c:pt idx="1">
                  <c:v>10.4704210249</c:v>
                </c:pt>
                <c:pt idx="2">
                  <c:v>40.61919177</c:v>
                </c:pt>
                <c:pt idx="3">
                  <c:v>52.474123609999999</c:v>
                </c:pt>
                <c:pt idx="4">
                  <c:v>23.489563969999999</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"SB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4.9989318521683403E-2"/>
  </sheetPr>
  <dimension ref="A1:Z85"/>
  <sheetViews>
    <sheetView showGridLines="0" tabSelected="1" zoomScale="70" zoomScaleNormal="70" workbookViewId="0">
      <pane xSplit="3" ySplit="2" topLeftCell="I3" activePane="bottomRight" state="frozen"/>
      <selection pane="topRight" activeCell="D1" sqref="D1"/>
      <selection pane="bottomLeft" activeCell="A3" sqref="A3"/>
      <selection pane="bottomRight"/>
    </sheetView>
  </sheetViews>
  <sheetFormatPr defaultRowHeight="14.5" x14ac:dyDescent="0.35"/>
  <cols>
    <col min="1" max="1" width="46.453125" style="7" customWidth="1"/>
    <col min="2" max="2" width="16.453125" style="7" customWidth="1"/>
    <col min="3" max="3" width="70.453125" style="7" customWidth="1"/>
    <col min="4" max="4" width="12.81640625" customWidth="1"/>
    <col min="5" max="5" width="13.54296875" customWidth="1"/>
    <col min="6" max="6" width="14.81640625" customWidth="1"/>
    <col min="7" max="7" width="15.453125" customWidth="1"/>
    <col min="8" max="8" width="1.81640625" customWidth="1"/>
    <col min="9" max="9" width="13" customWidth="1"/>
    <col min="10" max="10" width="17.54296875" customWidth="1"/>
    <col min="11" max="11" width="17.81640625" customWidth="1"/>
    <col min="12" max="12" width="16.453125" customWidth="1"/>
    <col min="13" max="13" width="17.26953125" customWidth="1"/>
    <col min="14" max="14" width="17.453125" customWidth="1"/>
    <col min="15" max="15" width="1.81640625" customWidth="1"/>
    <col min="16" max="17" width="17.1796875" customWidth="1"/>
    <col min="18" max="18" width="1.81640625" customWidth="1"/>
    <col min="19" max="19" width="14.453125" bestFit="1" customWidth="1"/>
    <col min="20" max="20" width="18.453125" bestFit="1" customWidth="1"/>
    <col min="21" max="21" width="15.54296875" bestFit="1" customWidth="1"/>
  </cols>
  <sheetData>
    <row r="1" spans="1:23" ht="20.149999999999999" customHeight="1" x14ac:dyDescent="0.35">
      <c r="A1" s="90">
        <v>45382</v>
      </c>
      <c r="B1" s="26"/>
      <c r="C1" s="27"/>
      <c r="D1" s="102" t="s">
        <v>90</v>
      </c>
      <c r="E1" s="31" t="s">
        <v>75</v>
      </c>
      <c r="F1" s="102" t="s">
        <v>100</v>
      </c>
      <c r="G1" s="102" t="s">
        <v>71</v>
      </c>
      <c r="H1" s="28"/>
      <c r="I1" s="100" t="s">
        <v>72</v>
      </c>
      <c r="J1" s="106"/>
      <c r="K1" s="106"/>
      <c r="L1" s="106"/>
      <c r="M1" s="106"/>
      <c r="N1" s="87"/>
      <c r="O1" s="29"/>
      <c r="P1" s="104" t="s">
        <v>97</v>
      </c>
      <c r="Q1" s="105"/>
      <c r="S1" s="100" t="s">
        <v>166</v>
      </c>
      <c r="T1" s="101"/>
      <c r="U1" s="101"/>
    </row>
    <row r="2" spans="1:23" ht="81" x14ac:dyDescent="0.35">
      <c r="A2" s="24" t="s">
        <v>42</v>
      </c>
      <c r="B2" s="24" t="s">
        <v>43</v>
      </c>
      <c r="C2" s="24" t="s">
        <v>44</v>
      </c>
      <c r="D2" s="103"/>
      <c r="E2" s="24" t="s">
        <v>99</v>
      </c>
      <c r="F2" s="103"/>
      <c r="G2" s="103"/>
      <c r="H2" s="28"/>
      <c r="I2" s="63" t="s">
        <v>92</v>
      </c>
      <c r="J2" s="24" t="s">
        <v>156</v>
      </c>
      <c r="K2" s="24" t="s">
        <v>157</v>
      </c>
      <c r="L2" s="24" t="s">
        <v>94</v>
      </c>
      <c r="M2" s="24" t="s">
        <v>158</v>
      </c>
      <c r="N2" s="24" t="s">
        <v>159</v>
      </c>
      <c r="O2" s="30"/>
      <c r="P2" s="24" t="s">
        <v>111</v>
      </c>
      <c r="Q2" s="24" t="s">
        <v>112</v>
      </c>
      <c r="S2" s="24" t="s">
        <v>149</v>
      </c>
      <c r="T2" s="24" t="s">
        <v>150</v>
      </c>
      <c r="U2" s="24" t="s">
        <v>151</v>
      </c>
      <c r="V2" s="48"/>
    </row>
    <row r="3" spans="1:23" s="47" customFormat="1" ht="18.649999999999999" customHeight="1" x14ac:dyDescent="0.35">
      <c r="A3" s="107" t="s">
        <v>45</v>
      </c>
      <c r="B3" s="107"/>
      <c r="C3" s="107"/>
      <c r="D3" s="44"/>
      <c r="E3" s="44"/>
      <c r="F3" s="45"/>
      <c r="G3" s="46" t="s">
        <v>98</v>
      </c>
      <c r="H3" s="44"/>
      <c r="I3" s="68">
        <v>9.011015938801803</v>
      </c>
      <c r="J3" s="68">
        <v>7.9482267423305357</v>
      </c>
      <c r="K3" s="68">
        <v>14.566219906373364</v>
      </c>
      <c r="L3" s="68">
        <v>10.301575807812204</v>
      </c>
      <c r="M3" s="68">
        <v>8.8862376554221338</v>
      </c>
      <c r="N3" s="68">
        <v>16.217609336145433</v>
      </c>
      <c r="O3" s="44"/>
      <c r="P3" s="44"/>
      <c r="Q3" s="44"/>
      <c r="S3"/>
      <c r="T3"/>
      <c r="U3"/>
    </row>
    <row r="4" spans="1:23" x14ac:dyDescent="0.35">
      <c r="A4" s="32" t="s">
        <v>36</v>
      </c>
      <c r="B4" s="32" t="s">
        <v>4</v>
      </c>
      <c r="C4" s="32" t="s">
        <v>46</v>
      </c>
      <c r="D4" s="34" t="s">
        <v>161</v>
      </c>
      <c r="E4" s="34">
        <v>90</v>
      </c>
      <c r="F4" s="33">
        <v>17.964447420000003</v>
      </c>
      <c r="G4" s="35">
        <v>14666</v>
      </c>
      <c r="H4" s="22"/>
      <c r="I4" s="36">
        <v>9.355172860287464</v>
      </c>
      <c r="J4" s="36">
        <v>5.3357527140219574</v>
      </c>
      <c r="K4" s="36">
        <v>13.503406746673075</v>
      </c>
      <c r="L4" s="36">
        <v>9.3137390839213907</v>
      </c>
      <c r="M4" s="36">
        <v>7.3169505008144675</v>
      </c>
      <c r="N4" s="36">
        <v>14.888144971921591</v>
      </c>
      <c r="O4" s="23"/>
      <c r="P4" s="36">
        <v>11.018596259322475</v>
      </c>
      <c r="Q4" s="36">
        <v>11.916672170909234</v>
      </c>
      <c r="S4" s="84">
        <v>0.49</v>
      </c>
      <c r="T4" s="84">
        <v>0.70000000000000007</v>
      </c>
      <c r="U4" s="84" t="s">
        <v>91</v>
      </c>
      <c r="V4" s="58"/>
      <c r="W4" s="58"/>
    </row>
    <row r="5" spans="1:23" s="1" customFormat="1" x14ac:dyDescent="0.35">
      <c r="A5" s="32" t="s">
        <v>163</v>
      </c>
      <c r="B5" s="32" t="s">
        <v>2</v>
      </c>
      <c r="C5" s="32" t="s">
        <v>124</v>
      </c>
      <c r="D5" s="34" t="s">
        <v>161</v>
      </c>
      <c r="E5" s="34">
        <v>97</v>
      </c>
      <c r="F5" s="33">
        <v>39.1409569319</v>
      </c>
      <c r="G5" s="35">
        <v>19859</v>
      </c>
      <c r="H5" s="95"/>
      <c r="I5" s="36">
        <v>8.4422421802415428</v>
      </c>
      <c r="J5" s="36">
        <v>7.5337095391440956</v>
      </c>
      <c r="K5" s="36">
        <v>14.692617883763859</v>
      </c>
      <c r="L5" s="36">
        <v>10.532328404333624</v>
      </c>
      <c r="M5" s="36">
        <v>8.4953354337137021</v>
      </c>
      <c r="N5" s="36">
        <v>16.782548632854489</v>
      </c>
      <c r="O5" s="96"/>
      <c r="P5" s="36">
        <v>10.539487162640606</v>
      </c>
      <c r="Q5" s="36">
        <v>12.892925393682644</v>
      </c>
      <c r="S5" s="33">
        <v>0.5</v>
      </c>
      <c r="T5" s="33" t="s">
        <v>91</v>
      </c>
      <c r="U5" s="33">
        <v>1.2</v>
      </c>
      <c r="V5" s="97"/>
      <c r="W5" s="97"/>
    </row>
    <row r="6" spans="1:23" s="1" customFormat="1" x14ac:dyDescent="0.35">
      <c r="A6" s="32" t="s">
        <v>88</v>
      </c>
      <c r="B6" s="32" t="s">
        <v>1</v>
      </c>
      <c r="C6" s="32" t="s">
        <v>47</v>
      </c>
      <c r="D6" s="34" t="s">
        <v>161</v>
      </c>
      <c r="E6" s="34">
        <v>98</v>
      </c>
      <c r="F6" s="33">
        <v>48.911383799999996</v>
      </c>
      <c r="G6" s="35">
        <v>21723</v>
      </c>
      <c r="H6" s="95"/>
      <c r="I6" s="36">
        <v>8.4727968875440105</v>
      </c>
      <c r="J6" s="36">
        <v>7.0704201293413593</v>
      </c>
      <c r="K6" s="36">
        <v>14.459194529598696</v>
      </c>
      <c r="L6" s="36">
        <v>10.762943011395665</v>
      </c>
      <c r="M6" s="36">
        <v>9.9631109762150274</v>
      </c>
      <c r="N6" s="36">
        <v>17.556549487619932</v>
      </c>
      <c r="O6" s="96"/>
      <c r="P6" s="36">
        <v>11.848150467661139</v>
      </c>
      <c r="Q6" s="36">
        <v>13.470593989952571</v>
      </c>
      <c r="S6" s="33">
        <v>0.5</v>
      </c>
      <c r="T6" s="84" t="s">
        <v>91</v>
      </c>
      <c r="U6" s="33">
        <v>0.89</v>
      </c>
      <c r="V6" s="97"/>
      <c r="W6" s="97"/>
    </row>
    <row r="7" spans="1:23" x14ac:dyDescent="0.35">
      <c r="A7" s="32" t="s">
        <v>89</v>
      </c>
      <c r="B7" s="32" t="s">
        <v>3</v>
      </c>
      <c r="C7" s="32" t="s">
        <v>102</v>
      </c>
      <c r="D7" s="34" t="s">
        <v>161</v>
      </c>
      <c r="E7" s="34">
        <v>97</v>
      </c>
      <c r="F7" s="33">
        <v>114.85712114</v>
      </c>
      <c r="G7" s="35">
        <v>49488</v>
      </c>
      <c r="H7" s="22"/>
      <c r="I7" s="36">
        <v>8.6797911818353271</v>
      </c>
      <c r="J7" s="36">
        <v>8.768320852888877</v>
      </c>
      <c r="K7" s="36">
        <v>14.711747425395384</v>
      </c>
      <c r="L7" s="36">
        <v>10.189151608214342</v>
      </c>
      <c r="M7" s="36">
        <v>8.8112656363534825</v>
      </c>
      <c r="N7" s="36">
        <v>15.907325595811027</v>
      </c>
      <c r="O7" s="23"/>
      <c r="P7" s="36">
        <v>13.122367657697396</v>
      </c>
      <c r="Q7" s="36">
        <v>13.255328450610021</v>
      </c>
      <c r="S7" s="84">
        <v>0.5</v>
      </c>
      <c r="T7" s="84" t="s">
        <v>91</v>
      </c>
      <c r="U7" s="84">
        <v>0.84130000000000005</v>
      </c>
      <c r="V7" s="58"/>
      <c r="W7" s="58"/>
    </row>
    <row r="8" spans="1:23" s="1" customFormat="1" x14ac:dyDescent="0.35">
      <c r="A8" s="32" t="s">
        <v>116</v>
      </c>
      <c r="B8" s="32" t="s">
        <v>5</v>
      </c>
      <c r="C8" s="32" t="s">
        <v>117</v>
      </c>
      <c r="D8" s="34" t="s">
        <v>161</v>
      </c>
      <c r="E8" s="34">
        <v>90</v>
      </c>
      <c r="F8" s="33">
        <v>39.88667324</v>
      </c>
      <c r="G8" s="35">
        <v>20316</v>
      </c>
      <c r="H8" s="95"/>
      <c r="I8" s="36">
        <v>10.714975223630852</v>
      </c>
      <c r="J8" s="36">
        <v>8.2465053124941115</v>
      </c>
      <c r="K8" s="36">
        <v>14.633044249371618</v>
      </c>
      <c r="L8" s="36">
        <v>10.278025961833336</v>
      </c>
      <c r="M8" s="36">
        <v>8.8719815048207362</v>
      </c>
      <c r="N8" s="36">
        <v>15.513607517607152</v>
      </c>
      <c r="O8" s="96"/>
      <c r="P8" s="36">
        <v>11.869462023414048</v>
      </c>
      <c r="Q8" s="36">
        <v>13.043972179970162</v>
      </c>
      <c r="S8" s="33">
        <v>0.5</v>
      </c>
      <c r="T8" s="33">
        <v>1.1100000000000001</v>
      </c>
      <c r="U8" s="84" t="s">
        <v>91</v>
      </c>
      <c r="V8" s="97"/>
      <c r="W8" s="97"/>
    </row>
    <row r="9" spans="1:23" x14ac:dyDescent="0.35">
      <c r="A9" s="32" t="s">
        <v>154</v>
      </c>
      <c r="B9" s="32" t="s">
        <v>132</v>
      </c>
      <c r="C9" s="32" t="s">
        <v>146</v>
      </c>
      <c r="D9" s="34" t="s">
        <v>162</v>
      </c>
      <c r="E9" s="34">
        <v>100</v>
      </c>
      <c r="F9" s="33">
        <v>10.3685397721</v>
      </c>
      <c r="G9" s="35">
        <v>5820</v>
      </c>
      <c r="H9" s="22"/>
      <c r="I9" s="36">
        <v>10.214951493247115</v>
      </c>
      <c r="J9" s="36" t="s">
        <v>164</v>
      </c>
      <c r="K9" s="36" t="s">
        <v>164</v>
      </c>
      <c r="L9" s="36">
        <v>10.19330504479019</v>
      </c>
      <c r="M9" s="36" t="s">
        <v>164</v>
      </c>
      <c r="N9" s="36" t="s">
        <v>164</v>
      </c>
      <c r="O9" s="23"/>
      <c r="P9" s="36" t="s">
        <v>164</v>
      </c>
      <c r="Q9" s="36" t="s">
        <v>164</v>
      </c>
      <c r="S9" s="84">
        <v>0.44</v>
      </c>
      <c r="T9" s="94">
        <v>0.56999999999999995</v>
      </c>
      <c r="U9" s="84" t="s">
        <v>91</v>
      </c>
      <c r="V9" s="58"/>
      <c r="W9" s="58"/>
    </row>
    <row r="10" spans="1:23" s="47" customFormat="1" ht="18.649999999999999" customHeight="1" x14ac:dyDescent="0.35">
      <c r="A10" s="107" t="s">
        <v>48</v>
      </c>
      <c r="B10" s="107"/>
      <c r="C10" s="107"/>
      <c r="D10" s="44"/>
      <c r="E10" s="44"/>
      <c r="F10" s="45"/>
      <c r="G10" s="46" t="s">
        <v>98</v>
      </c>
      <c r="H10" s="44"/>
      <c r="I10" s="68">
        <v>8.610481553583293</v>
      </c>
      <c r="J10" s="68">
        <v>7.9523500910891585</v>
      </c>
      <c r="K10" s="68">
        <v>14.696810013998613</v>
      </c>
      <c r="L10" s="68">
        <v>10.316087447928282</v>
      </c>
      <c r="M10" s="68">
        <v>8.9039090929024667</v>
      </c>
      <c r="N10" s="68">
        <v>16.272016086786937</v>
      </c>
      <c r="O10" s="44"/>
      <c r="P10" s="44"/>
      <c r="Q10" s="44"/>
      <c r="S10" s="92"/>
      <c r="T10" s="92"/>
      <c r="U10" s="92"/>
      <c r="V10" s="58"/>
      <c r="W10" s="58"/>
    </row>
    <row r="11" spans="1:23" x14ac:dyDescent="0.35">
      <c r="A11" s="32" t="s">
        <v>36</v>
      </c>
      <c r="B11" s="32" t="s">
        <v>9</v>
      </c>
      <c r="C11" s="32" t="s">
        <v>49</v>
      </c>
      <c r="D11" s="34" t="s">
        <v>161</v>
      </c>
      <c r="E11" s="34">
        <v>90</v>
      </c>
      <c r="F11" s="33">
        <v>60.414196880000006</v>
      </c>
      <c r="G11" s="35">
        <v>18922</v>
      </c>
      <c r="H11" s="22"/>
      <c r="I11" s="36">
        <v>9.4199596380444071</v>
      </c>
      <c r="J11" s="36">
        <v>5.3723645651584606</v>
      </c>
      <c r="K11" s="36">
        <v>13.377642410728496</v>
      </c>
      <c r="L11" s="36">
        <v>9.3137390839213907</v>
      </c>
      <c r="M11" s="36">
        <v>7.3169505008144675</v>
      </c>
      <c r="N11" s="36">
        <v>14.888144971921591</v>
      </c>
      <c r="O11" s="23"/>
      <c r="P11" s="36">
        <v>10.943006976476946</v>
      </c>
      <c r="Q11" s="36">
        <v>11.916672170909234</v>
      </c>
      <c r="S11" s="84">
        <v>0.49</v>
      </c>
      <c r="T11" s="84">
        <v>0.71000000000000008</v>
      </c>
      <c r="U11" s="84" t="s">
        <v>91</v>
      </c>
      <c r="V11" s="58"/>
      <c r="W11" s="58"/>
    </row>
    <row r="12" spans="1:23" s="1" customFormat="1" x14ac:dyDescent="0.35">
      <c r="A12" s="32" t="s">
        <v>163</v>
      </c>
      <c r="B12" s="32" t="s">
        <v>7</v>
      </c>
      <c r="C12" s="32" t="s">
        <v>125</v>
      </c>
      <c r="D12" s="34" t="s">
        <v>161</v>
      </c>
      <c r="E12" s="34">
        <v>97</v>
      </c>
      <c r="F12" s="33">
        <v>146.24353772009999</v>
      </c>
      <c r="G12" s="35">
        <v>36626</v>
      </c>
      <c r="H12" s="95"/>
      <c r="I12" s="36">
        <v>8.1441263573543754</v>
      </c>
      <c r="J12" s="36">
        <v>7.6409375453010853</v>
      </c>
      <c r="K12" s="36">
        <v>14.833329786702842</v>
      </c>
      <c r="L12" s="36">
        <v>10.532328404333624</v>
      </c>
      <c r="M12" s="36">
        <v>8.4953354337137021</v>
      </c>
      <c r="N12" s="36">
        <v>16.782548632854489</v>
      </c>
      <c r="O12" s="96"/>
      <c r="P12" s="36">
        <v>10.24063635288304</v>
      </c>
      <c r="Q12" s="36">
        <v>12.892925393682644</v>
      </c>
      <c r="S12" s="33">
        <v>0.5</v>
      </c>
      <c r="T12" s="33" t="s">
        <v>91</v>
      </c>
      <c r="U12" s="33">
        <v>1.37</v>
      </c>
      <c r="V12" s="97"/>
      <c r="W12" s="97"/>
    </row>
    <row r="13" spans="1:23" s="1" customFormat="1" x14ac:dyDescent="0.35">
      <c r="A13" s="32" t="s">
        <v>88</v>
      </c>
      <c r="B13" s="32" t="s">
        <v>6</v>
      </c>
      <c r="C13" s="32" t="s">
        <v>50</v>
      </c>
      <c r="D13" s="34" t="s">
        <v>161</v>
      </c>
      <c r="E13" s="34">
        <v>98</v>
      </c>
      <c r="F13" s="33">
        <v>184.13743133000003</v>
      </c>
      <c r="G13" s="35">
        <v>46062</v>
      </c>
      <c r="H13" s="95"/>
      <c r="I13" s="36">
        <v>8.2862640432002976</v>
      </c>
      <c r="J13" s="36">
        <v>6.8928546918258338</v>
      </c>
      <c r="K13" s="36">
        <v>14.40202416865981</v>
      </c>
      <c r="L13" s="36">
        <v>10.762943011395665</v>
      </c>
      <c r="M13" s="36">
        <v>9.9631109762150274</v>
      </c>
      <c r="N13" s="36">
        <v>17.556549487619932</v>
      </c>
      <c r="O13" s="96"/>
      <c r="P13" s="36">
        <v>11.799116467732654</v>
      </c>
      <c r="Q13" s="36">
        <v>13.470593989952571</v>
      </c>
      <c r="S13" s="33">
        <v>0.5</v>
      </c>
      <c r="T13" s="84" t="s">
        <v>91</v>
      </c>
      <c r="U13" s="33">
        <v>0.88</v>
      </c>
      <c r="V13" s="97"/>
      <c r="W13" s="97"/>
    </row>
    <row r="14" spans="1:23" x14ac:dyDescent="0.35">
      <c r="A14" s="32" t="s">
        <v>89</v>
      </c>
      <c r="B14" s="32" t="s">
        <v>8</v>
      </c>
      <c r="C14" s="32" t="s">
        <v>103</v>
      </c>
      <c r="D14" s="34" t="s">
        <v>161</v>
      </c>
      <c r="E14" s="34">
        <v>97</v>
      </c>
      <c r="F14" s="33">
        <v>385.96673786000002</v>
      </c>
      <c r="G14" s="35">
        <v>95911</v>
      </c>
      <c r="H14" s="22"/>
      <c r="I14" s="36">
        <v>8.3343684014408161</v>
      </c>
      <c r="J14" s="36">
        <v>8.8546465449245169</v>
      </c>
      <c r="K14" s="36">
        <v>14.952957024353065</v>
      </c>
      <c r="L14" s="36">
        <v>10.189151608214342</v>
      </c>
      <c r="M14" s="36">
        <v>8.8112656363534825</v>
      </c>
      <c r="N14" s="36">
        <v>15.907325595811027</v>
      </c>
      <c r="O14" s="23"/>
      <c r="P14" s="36">
        <v>12.776215764763684</v>
      </c>
      <c r="Q14" s="36">
        <v>13.255328450610021</v>
      </c>
      <c r="S14" s="84">
        <v>0.5</v>
      </c>
      <c r="T14" s="84" t="s">
        <v>91</v>
      </c>
      <c r="U14" s="84">
        <v>0.82230000000000003</v>
      </c>
      <c r="V14" s="58"/>
      <c r="W14" s="58"/>
    </row>
    <row r="15" spans="1:23" s="1" customFormat="1" x14ac:dyDescent="0.35">
      <c r="A15" s="32" t="s">
        <v>116</v>
      </c>
      <c r="B15" s="32" t="s">
        <v>10</v>
      </c>
      <c r="C15" s="32" t="s">
        <v>118</v>
      </c>
      <c r="D15" s="34" t="s">
        <v>161</v>
      </c>
      <c r="E15" s="34">
        <v>90</v>
      </c>
      <c r="F15" s="33">
        <v>114.48829687999999</v>
      </c>
      <c r="G15" s="35">
        <v>33894</v>
      </c>
      <c r="H15" s="95"/>
      <c r="I15" s="36">
        <v>10.038709677419355</v>
      </c>
      <c r="J15" s="36">
        <v>8.3737570791325702</v>
      </c>
      <c r="K15" s="36">
        <v>14.829122220045111</v>
      </c>
      <c r="L15" s="36">
        <v>10.278025961833336</v>
      </c>
      <c r="M15" s="36">
        <v>8.8719815048207362</v>
      </c>
      <c r="N15" s="36">
        <v>15.513607517607152</v>
      </c>
      <c r="O15" s="96"/>
      <c r="P15" s="36">
        <v>11.732258253150867</v>
      </c>
      <c r="Q15" s="36">
        <v>13.043972179970162</v>
      </c>
      <c r="S15" s="33">
        <v>0.5</v>
      </c>
      <c r="T15" s="33">
        <v>0.94</v>
      </c>
      <c r="U15" s="84" t="s">
        <v>91</v>
      </c>
      <c r="V15" s="97"/>
      <c r="W15" s="97"/>
    </row>
    <row r="16" spans="1:23" x14ac:dyDescent="0.35">
      <c r="A16" s="32" t="s">
        <v>131</v>
      </c>
      <c r="B16" s="32" t="s">
        <v>133</v>
      </c>
      <c r="C16" s="32" t="s">
        <v>145</v>
      </c>
      <c r="D16" s="34" t="s">
        <v>162</v>
      </c>
      <c r="E16" s="34">
        <v>100</v>
      </c>
      <c r="F16" s="33">
        <v>13.813249131100001</v>
      </c>
      <c r="G16" s="35">
        <v>4333</v>
      </c>
      <c r="H16" s="22"/>
      <c r="I16" s="36">
        <v>10.207001812458261</v>
      </c>
      <c r="J16" s="36" t="s">
        <v>164</v>
      </c>
      <c r="K16" s="36" t="s">
        <v>164</v>
      </c>
      <c r="L16" s="36">
        <v>10.19330504479019</v>
      </c>
      <c r="M16" s="36" t="s">
        <v>164</v>
      </c>
      <c r="N16" s="36" t="s">
        <v>164</v>
      </c>
      <c r="O16" s="23"/>
      <c r="P16" s="36" t="s">
        <v>164</v>
      </c>
      <c r="Q16" s="36" t="s">
        <v>164</v>
      </c>
      <c r="S16" s="84">
        <v>0.44</v>
      </c>
      <c r="T16" s="84">
        <v>0.56000000000000005</v>
      </c>
      <c r="U16" s="84" t="s">
        <v>91</v>
      </c>
      <c r="V16" s="58"/>
      <c r="W16" s="58"/>
    </row>
    <row r="17" spans="1:26" s="47" customFormat="1" ht="18.649999999999999" customHeight="1" x14ac:dyDescent="0.35">
      <c r="A17" s="107" t="s">
        <v>51</v>
      </c>
      <c r="B17" s="107"/>
      <c r="C17" s="107"/>
      <c r="D17" s="44"/>
      <c r="E17" s="44"/>
      <c r="F17" s="45"/>
      <c r="G17" s="46" t="s">
        <v>98</v>
      </c>
      <c r="H17" s="44"/>
      <c r="I17" s="68">
        <v>8.5770439369386615</v>
      </c>
      <c r="J17" s="68">
        <v>7.8543104254318106</v>
      </c>
      <c r="K17" s="68">
        <v>14.725251325731666</v>
      </c>
      <c r="L17" s="68">
        <v>10.343092689268929</v>
      </c>
      <c r="M17" s="68">
        <v>8.9575176053356103</v>
      </c>
      <c r="N17" s="68">
        <v>16.363271342393059</v>
      </c>
      <c r="O17" s="44"/>
      <c r="P17" s="44"/>
      <c r="Q17" s="44"/>
      <c r="S17" s="92"/>
      <c r="T17" s="92"/>
      <c r="U17" s="92"/>
      <c r="V17" s="58"/>
      <c r="W17" s="58"/>
    </row>
    <row r="18" spans="1:26" x14ac:dyDescent="0.35">
      <c r="A18" s="32" t="s">
        <v>36</v>
      </c>
      <c r="B18" s="32" t="s">
        <v>14</v>
      </c>
      <c r="C18" s="32" t="s">
        <v>52</v>
      </c>
      <c r="D18" s="34" t="s">
        <v>161</v>
      </c>
      <c r="E18" s="34">
        <v>90</v>
      </c>
      <c r="F18" s="33">
        <v>117.31881745</v>
      </c>
      <c r="G18" s="35">
        <v>26132</v>
      </c>
      <c r="H18" s="22"/>
      <c r="I18" s="36">
        <v>9.4285340656466552</v>
      </c>
      <c r="J18" s="36">
        <v>5.5212435677058469</v>
      </c>
      <c r="K18" s="36">
        <v>13.322931916670179</v>
      </c>
      <c r="L18" s="36">
        <v>9.3137390839213907</v>
      </c>
      <c r="M18" s="36">
        <v>7.3169505008144675</v>
      </c>
      <c r="N18" s="36">
        <v>14.888144971921591</v>
      </c>
      <c r="O18" s="23"/>
      <c r="P18" s="36">
        <v>10.883093793679285</v>
      </c>
      <c r="Q18" s="36">
        <v>11.916672170909234</v>
      </c>
      <c r="S18" s="84">
        <v>0.49</v>
      </c>
      <c r="T18" s="84">
        <v>0.72</v>
      </c>
      <c r="U18" s="84" t="s">
        <v>91</v>
      </c>
      <c r="V18" s="58"/>
      <c r="W18" s="58"/>
    </row>
    <row r="19" spans="1:26" s="1" customFormat="1" x14ac:dyDescent="0.35">
      <c r="A19" s="32" t="s">
        <v>163</v>
      </c>
      <c r="B19" s="32" t="s">
        <v>12</v>
      </c>
      <c r="C19" s="32" t="s">
        <v>126</v>
      </c>
      <c r="D19" s="34" t="s">
        <v>161</v>
      </c>
      <c r="E19" s="34">
        <v>97</v>
      </c>
      <c r="F19" s="33">
        <v>253.8462096536</v>
      </c>
      <c r="G19" s="35">
        <v>44292</v>
      </c>
      <c r="H19" s="95"/>
      <c r="I19" s="36">
        <v>8.057749259624881</v>
      </c>
      <c r="J19" s="36">
        <v>7.735064115358159</v>
      </c>
      <c r="K19" s="36">
        <v>14.867413264460772</v>
      </c>
      <c r="L19" s="36">
        <v>10.532328404333624</v>
      </c>
      <c r="M19" s="36">
        <v>8.4953354337137021</v>
      </c>
      <c r="N19" s="36">
        <v>16.782548632854489</v>
      </c>
      <c r="O19" s="96"/>
      <c r="P19" s="36">
        <v>10.174667248543075</v>
      </c>
      <c r="Q19" s="36">
        <v>12.892925393682644</v>
      </c>
      <c r="S19" s="33">
        <v>0.5</v>
      </c>
      <c r="T19" s="33" t="s">
        <v>91</v>
      </c>
      <c r="U19" s="33">
        <v>1.38</v>
      </c>
      <c r="V19" s="97"/>
      <c r="W19" s="97"/>
    </row>
    <row r="20" spans="1:26" s="1" customFormat="1" x14ac:dyDescent="0.35">
      <c r="A20" s="32" t="s">
        <v>88</v>
      </c>
      <c r="B20" s="32" t="s">
        <v>11</v>
      </c>
      <c r="C20" s="32" t="s">
        <v>53</v>
      </c>
      <c r="D20" s="34" t="s">
        <v>161</v>
      </c>
      <c r="E20" s="34">
        <v>98</v>
      </c>
      <c r="F20" s="33">
        <v>404.37063704000002</v>
      </c>
      <c r="G20" s="35">
        <v>73986</v>
      </c>
      <c r="H20" s="95"/>
      <c r="I20" s="36">
        <v>8.2377735077171046</v>
      </c>
      <c r="J20" s="36">
        <v>6.8457941517000132</v>
      </c>
      <c r="K20" s="36">
        <v>14.402980377335851</v>
      </c>
      <c r="L20" s="36">
        <v>10.762943011395665</v>
      </c>
      <c r="M20" s="36">
        <v>9.9631109762150274</v>
      </c>
      <c r="N20" s="36">
        <v>17.556549487619932</v>
      </c>
      <c r="O20" s="96"/>
      <c r="P20" s="36">
        <v>11.741186147852439</v>
      </c>
      <c r="Q20" s="36">
        <v>13.470593989952571</v>
      </c>
      <c r="S20" s="33">
        <v>0.5</v>
      </c>
      <c r="T20" s="84" t="s">
        <v>91</v>
      </c>
      <c r="U20" s="33">
        <v>0.88</v>
      </c>
      <c r="V20" s="97"/>
      <c r="W20" s="97"/>
    </row>
    <row r="21" spans="1:26" x14ac:dyDescent="0.35">
      <c r="A21" s="32" t="s">
        <v>89</v>
      </c>
      <c r="B21" s="32" t="s">
        <v>13</v>
      </c>
      <c r="C21" s="32" t="s">
        <v>104</v>
      </c>
      <c r="D21" s="34" t="s">
        <v>161</v>
      </c>
      <c r="E21" s="34">
        <v>97</v>
      </c>
      <c r="F21" s="33">
        <v>547.78485548000003</v>
      </c>
      <c r="G21" s="35">
        <v>113847</v>
      </c>
      <c r="H21" s="22"/>
      <c r="I21" s="36">
        <v>8.2984486579660288</v>
      </c>
      <c r="J21" s="36">
        <v>9.0033483021246354</v>
      </c>
      <c r="K21" s="36">
        <v>15.18448047306129</v>
      </c>
      <c r="L21" s="36">
        <v>10.189151608214342</v>
      </c>
      <c r="M21" s="36">
        <v>8.8112656363534825</v>
      </c>
      <c r="N21" s="36">
        <v>15.907325595811027</v>
      </c>
      <c r="O21" s="23"/>
      <c r="P21" s="36">
        <v>12.734842279375705</v>
      </c>
      <c r="Q21" s="36">
        <v>13.255328450610021</v>
      </c>
      <c r="S21" s="84">
        <v>0.5</v>
      </c>
      <c r="T21" s="84" t="s">
        <v>91</v>
      </c>
      <c r="U21" s="84">
        <v>0.82509999999999994</v>
      </c>
      <c r="V21" s="58"/>
      <c r="W21" s="58"/>
    </row>
    <row r="22" spans="1:26" s="1" customFormat="1" x14ac:dyDescent="0.35">
      <c r="A22" s="32" t="s">
        <v>116</v>
      </c>
      <c r="B22" s="32" t="s">
        <v>15</v>
      </c>
      <c r="C22" s="32" t="s">
        <v>119</v>
      </c>
      <c r="D22" s="34" t="s">
        <v>161</v>
      </c>
      <c r="E22" s="34">
        <v>90</v>
      </c>
      <c r="F22" s="33">
        <v>195.53420259999999</v>
      </c>
      <c r="G22" s="35">
        <v>47768</v>
      </c>
      <c r="H22" s="95"/>
      <c r="I22" s="36">
        <v>10.105181648060913</v>
      </c>
      <c r="J22" s="36">
        <v>8.2755752904078115</v>
      </c>
      <c r="K22" s="36">
        <v>14.762018919121612</v>
      </c>
      <c r="L22" s="36">
        <v>10.278025961833336</v>
      </c>
      <c r="M22" s="36">
        <v>8.8719815048207362</v>
      </c>
      <c r="N22" s="36">
        <v>15.513607517607152</v>
      </c>
      <c r="O22" s="96"/>
      <c r="P22" s="36">
        <v>11.691744548644721</v>
      </c>
      <c r="Q22" s="36">
        <v>13.043972179970162</v>
      </c>
      <c r="S22" s="33">
        <v>0.5</v>
      </c>
      <c r="T22" s="33">
        <v>0.98</v>
      </c>
      <c r="U22" s="84" t="s">
        <v>91</v>
      </c>
      <c r="V22" s="97"/>
      <c r="W22" s="97"/>
    </row>
    <row r="23" spans="1:26" x14ac:dyDescent="0.35">
      <c r="A23" s="32" t="s">
        <v>131</v>
      </c>
      <c r="B23" s="32" t="s">
        <v>134</v>
      </c>
      <c r="C23" s="32" t="s">
        <v>144</v>
      </c>
      <c r="D23" s="34" t="s">
        <v>162</v>
      </c>
      <c r="E23" s="34">
        <v>100</v>
      </c>
      <c r="F23" s="33">
        <v>14.132638807999999</v>
      </c>
      <c r="G23" s="35">
        <v>3162</v>
      </c>
      <c r="H23" s="22"/>
      <c r="I23" s="36">
        <v>10.199052132701425</v>
      </c>
      <c r="J23" s="36" t="s">
        <v>164</v>
      </c>
      <c r="K23" s="36" t="s">
        <v>164</v>
      </c>
      <c r="L23" s="36">
        <v>10.19330504479019</v>
      </c>
      <c r="M23" s="36" t="s">
        <v>164</v>
      </c>
      <c r="N23" s="36" t="s">
        <v>164</v>
      </c>
      <c r="O23" s="23"/>
      <c r="P23" s="36" t="s">
        <v>164</v>
      </c>
      <c r="Q23" s="36" t="s">
        <v>164</v>
      </c>
      <c r="S23" s="84">
        <v>0.44</v>
      </c>
      <c r="T23" s="84">
        <v>0.56000000000000005</v>
      </c>
      <c r="U23" s="84" t="s">
        <v>91</v>
      </c>
      <c r="V23" s="58"/>
      <c r="W23" s="58"/>
    </row>
    <row r="24" spans="1:26" s="47" customFormat="1" ht="18.649999999999999" customHeight="1" x14ac:dyDescent="0.35">
      <c r="A24" s="107" t="s">
        <v>54</v>
      </c>
      <c r="B24" s="107"/>
      <c r="C24" s="107"/>
      <c r="D24" s="44"/>
      <c r="E24" s="44"/>
      <c r="F24" s="45"/>
      <c r="G24" s="46" t="s">
        <v>98</v>
      </c>
      <c r="H24" s="44"/>
      <c r="I24" s="68">
        <v>8.4923243454722446</v>
      </c>
      <c r="J24" s="68">
        <v>7.8048318669255954</v>
      </c>
      <c r="K24" s="68">
        <v>14.6827109381643</v>
      </c>
      <c r="L24" s="68">
        <v>10.347139422138625</v>
      </c>
      <c r="M24" s="68">
        <v>8.9885568806047065</v>
      </c>
      <c r="N24" s="68">
        <v>16.370226835297128</v>
      </c>
      <c r="O24" s="44"/>
      <c r="P24" s="44"/>
      <c r="Q24" s="44"/>
      <c r="S24" s="92"/>
      <c r="T24" s="92"/>
      <c r="U24" s="92"/>
      <c r="V24" s="58"/>
      <c r="W24" s="58"/>
      <c r="X24" s="73"/>
      <c r="Y24" s="73"/>
    </row>
    <row r="25" spans="1:26" x14ac:dyDescent="0.35">
      <c r="A25" s="32" t="s">
        <v>36</v>
      </c>
      <c r="B25" s="32" t="s">
        <v>19</v>
      </c>
      <c r="C25" s="32" t="s">
        <v>55</v>
      </c>
      <c r="D25" s="34" t="s">
        <v>161</v>
      </c>
      <c r="E25" s="34">
        <v>90</v>
      </c>
      <c r="F25" s="33">
        <v>132.63730889000001</v>
      </c>
      <c r="G25" s="35">
        <v>19508</v>
      </c>
      <c r="H25" s="22"/>
      <c r="I25" s="36">
        <v>9.4129158512720181</v>
      </c>
      <c r="J25" s="36">
        <v>5.6781453279032723</v>
      </c>
      <c r="K25" s="36">
        <v>13.469467815137115</v>
      </c>
      <c r="L25" s="36">
        <v>9.3137390839213907</v>
      </c>
      <c r="M25" s="36">
        <v>7.3169505008144675</v>
      </c>
      <c r="N25" s="36">
        <v>14.888144971921591</v>
      </c>
      <c r="O25" s="23"/>
      <c r="P25" s="36">
        <v>10.905828680902596</v>
      </c>
      <c r="Q25" s="36">
        <v>11.916672170909234</v>
      </c>
      <c r="S25" s="84">
        <v>0.49</v>
      </c>
      <c r="T25" s="84">
        <v>0.72</v>
      </c>
      <c r="U25" s="84" t="s">
        <v>91</v>
      </c>
      <c r="V25" s="58"/>
      <c r="W25" s="58"/>
      <c r="X25" s="48"/>
      <c r="Y25" s="48"/>
      <c r="Z25" s="47"/>
    </row>
    <row r="26" spans="1:26" s="1" customFormat="1" x14ac:dyDescent="0.35">
      <c r="A26" s="32" t="s">
        <v>163</v>
      </c>
      <c r="B26" s="32" t="s">
        <v>17</v>
      </c>
      <c r="C26" s="32" t="s">
        <v>127</v>
      </c>
      <c r="D26" s="34" t="s">
        <v>161</v>
      </c>
      <c r="E26" s="34">
        <v>97</v>
      </c>
      <c r="F26" s="33">
        <v>255.68835309479999</v>
      </c>
      <c r="G26" s="35">
        <v>27850</v>
      </c>
      <c r="H26" s="95"/>
      <c r="I26" s="36">
        <v>7.9167178479302214</v>
      </c>
      <c r="J26" s="36">
        <v>7.6956918161098065</v>
      </c>
      <c r="K26" s="36">
        <v>14.815518681824113</v>
      </c>
      <c r="L26" s="36">
        <v>10.532328404333624</v>
      </c>
      <c r="M26" s="36">
        <v>8.4953354337137021</v>
      </c>
      <c r="N26" s="36">
        <v>16.782548632854489</v>
      </c>
      <c r="O26" s="96"/>
      <c r="P26" s="36">
        <v>10.126082045548648</v>
      </c>
      <c r="Q26" s="36">
        <v>12.892925393682644</v>
      </c>
      <c r="S26" s="33">
        <v>0.5</v>
      </c>
      <c r="T26" s="33" t="s">
        <v>91</v>
      </c>
      <c r="U26" s="33">
        <v>1.39</v>
      </c>
      <c r="V26" s="97"/>
      <c r="W26" s="97"/>
      <c r="X26" s="98"/>
      <c r="Y26" s="98"/>
      <c r="Z26" s="99"/>
    </row>
    <row r="27" spans="1:26" s="1" customFormat="1" x14ac:dyDescent="0.35">
      <c r="A27" s="32" t="s">
        <v>88</v>
      </c>
      <c r="B27" s="32" t="s">
        <v>16</v>
      </c>
      <c r="C27" s="32" t="s">
        <v>56</v>
      </c>
      <c r="D27" s="34" t="s">
        <v>161</v>
      </c>
      <c r="E27" s="34">
        <v>98</v>
      </c>
      <c r="F27" s="33">
        <v>505.11624323000001</v>
      </c>
      <c r="G27" s="35">
        <v>62799</v>
      </c>
      <c r="H27" s="95"/>
      <c r="I27" s="36">
        <v>8.1809899787427689</v>
      </c>
      <c r="J27" s="36">
        <v>6.8090968918264494</v>
      </c>
      <c r="K27" s="36">
        <v>14.373633812959795</v>
      </c>
      <c r="L27" s="36">
        <v>10.763139565263247</v>
      </c>
      <c r="M27" s="36">
        <v>9.9630213086171473</v>
      </c>
      <c r="N27" s="36">
        <v>17.556670584892942</v>
      </c>
      <c r="O27" s="96"/>
      <c r="P27" s="36">
        <v>11.724379815907305</v>
      </c>
      <c r="Q27" s="36">
        <v>13.470690300510423</v>
      </c>
      <c r="S27" s="33">
        <v>0.5</v>
      </c>
      <c r="T27" s="84" t="s">
        <v>91</v>
      </c>
      <c r="U27" s="33">
        <v>0.87</v>
      </c>
      <c r="V27" s="97"/>
      <c r="W27" s="97"/>
    </row>
    <row r="28" spans="1:26" x14ac:dyDescent="0.35">
      <c r="A28" s="32" t="s">
        <v>89</v>
      </c>
      <c r="B28" s="32" t="s">
        <v>18</v>
      </c>
      <c r="C28" s="32" t="s">
        <v>105</v>
      </c>
      <c r="D28" s="34" t="s">
        <v>161</v>
      </c>
      <c r="E28" s="34">
        <v>97</v>
      </c>
      <c r="F28" s="33">
        <v>658.27322794000008</v>
      </c>
      <c r="G28" s="35">
        <v>98543</v>
      </c>
      <c r="H28" s="22"/>
      <c r="I28" s="36">
        <v>8.2402320844392243</v>
      </c>
      <c r="J28" s="36">
        <v>8.9758873155062258</v>
      </c>
      <c r="K28" s="36">
        <v>15.17345987784009</v>
      </c>
      <c r="L28" s="36">
        <v>10.189151608214342</v>
      </c>
      <c r="M28" s="36">
        <v>8.8112656363534825</v>
      </c>
      <c r="N28" s="36">
        <v>15.907325595811027</v>
      </c>
      <c r="O28" s="23"/>
      <c r="P28" s="36">
        <v>12.609514678028191</v>
      </c>
      <c r="Q28" s="36">
        <v>13.255328450610021</v>
      </c>
      <c r="S28" s="84">
        <v>0.5</v>
      </c>
      <c r="T28" s="84" t="s">
        <v>91</v>
      </c>
      <c r="U28" s="84">
        <v>0.83079999999999998</v>
      </c>
      <c r="V28" s="58"/>
      <c r="W28" s="58"/>
    </row>
    <row r="29" spans="1:26" s="1" customFormat="1" x14ac:dyDescent="0.35">
      <c r="A29" s="32" t="s">
        <v>116</v>
      </c>
      <c r="B29" s="32" t="s">
        <v>20</v>
      </c>
      <c r="C29" s="32" t="s">
        <v>120</v>
      </c>
      <c r="D29" s="34" t="s">
        <v>161</v>
      </c>
      <c r="E29" s="34">
        <v>90</v>
      </c>
      <c r="F29" s="33">
        <v>237.47193615</v>
      </c>
      <c r="G29" s="35">
        <v>39988</v>
      </c>
      <c r="H29" s="95"/>
      <c r="I29" s="36">
        <v>9.8617271067049206</v>
      </c>
      <c r="J29" s="36">
        <v>7.9819950280184848</v>
      </c>
      <c r="K29" s="36">
        <v>14.514425357510952</v>
      </c>
      <c r="L29" s="36">
        <v>10.278025961833336</v>
      </c>
      <c r="M29" s="36">
        <v>8.8719815048207362</v>
      </c>
      <c r="N29" s="36">
        <v>15.513607517607152</v>
      </c>
      <c r="O29" s="96"/>
      <c r="P29" s="36">
        <v>11.744352519418623</v>
      </c>
      <c r="Q29" s="36">
        <v>13.043972179970162</v>
      </c>
      <c r="S29" s="33">
        <v>0.5</v>
      </c>
      <c r="T29" s="33">
        <v>0.99</v>
      </c>
      <c r="U29" s="84" t="s">
        <v>91</v>
      </c>
      <c r="V29" s="97"/>
      <c r="W29" s="97"/>
    </row>
    <row r="30" spans="1:26" x14ac:dyDescent="0.35">
      <c r="A30" s="32" t="s">
        <v>131</v>
      </c>
      <c r="B30" s="32" t="s">
        <v>135</v>
      </c>
      <c r="C30" s="32" t="s">
        <v>143</v>
      </c>
      <c r="D30" s="34" t="s">
        <v>162</v>
      </c>
      <c r="E30" s="34">
        <v>100</v>
      </c>
      <c r="F30" s="33">
        <v>13.299993022000001</v>
      </c>
      <c r="G30" s="35">
        <v>1168</v>
      </c>
      <c r="H30" s="22"/>
      <c r="I30" s="36">
        <v>10.227814317033657</v>
      </c>
      <c r="J30" s="36" t="s">
        <v>164</v>
      </c>
      <c r="K30" s="36" t="s">
        <v>164</v>
      </c>
      <c r="L30" s="36">
        <v>10.19330504479019</v>
      </c>
      <c r="M30" s="36" t="s">
        <v>164</v>
      </c>
      <c r="N30" s="36" t="s">
        <v>164</v>
      </c>
      <c r="O30" s="23"/>
      <c r="P30" s="36" t="s">
        <v>164</v>
      </c>
      <c r="Q30" s="36" t="s">
        <v>164</v>
      </c>
      <c r="S30" s="84">
        <v>0.45</v>
      </c>
      <c r="T30" s="84">
        <v>0.56999999999999995</v>
      </c>
      <c r="U30" s="84" t="s">
        <v>91</v>
      </c>
      <c r="V30" s="58"/>
      <c r="W30" s="58"/>
    </row>
    <row r="31" spans="1:26" s="47" customFormat="1" ht="18.649999999999999" customHeight="1" x14ac:dyDescent="0.35">
      <c r="A31" s="107" t="s">
        <v>57</v>
      </c>
      <c r="B31" s="107"/>
      <c r="C31" s="107"/>
      <c r="D31" s="44"/>
      <c r="E31" s="44"/>
      <c r="F31" s="45"/>
      <c r="G31" s="46" t="s">
        <v>98</v>
      </c>
      <c r="H31" s="44"/>
      <c r="I31" s="68">
        <v>6.4744883649681739</v>
      </c>
      <c r="J31" s="68">
        <v>6.1724513302038329</v>
      </c>
      <c r="K31" s="68">
        <v>12.755031565818461</v>
      </c>
      <c r="L31" s="68">
        <v>7.41242109651603</v>
      </c>
      <c r="M31" s="68">
        <v>6.5195628324685062</v>
      </c>
      <c r="N31" s="68">
        <v>13.640129031469407</v>
      </c>
      <c r="O31" s="44"/>
      <c r="P31" s="44"/>
      <c r="Q31" s="44"/>
      <c r="S31" s="92"/>
      <c r="T31" s="92"/>
      <c r="U31" s="92"/>
      <c r="V31" s="58"/>
      <c r="W31" s="58"/>
    </row>
    <row r="32" spans="1:26" x14ac:dyDescent="0.35">
      <c r="A32" s="32" t="s">
        <v>36</v>
      </c>
      <c r="B32" s="32" t="s">
        <v>24</v>
      </c>
      <c r="C32" s="32" t="s">
        <v>58</v>
      </c>
      <c r="D32" s="34" t="s">
        <v>161</v>
      </c>
      <c r="E32" s="34">
        <v>70</v>
      </c>
      <c r="F32" s="33">
        <v>127.33493951999999</v>
      </c>
      <c r="G32" s="35">
        <v>18136</v>
      </c>
      <c r="H32" s="22"/>
      <c r="I32" s="36">
        <v>7.4022623536415866</v>
      </c>
      <c r="J32" s="36">
        <v>4.525846431528624</v>
      </c>
      <c r="K32" s="36">
        <v>12.441957479891986</v>
      </c>
      <c r="L32" s="36">
        <v>7.1692940804052085</v>
      </c>
      <c r="M32" s="36">
        <v>5.6637983605854592</v>
      </c>
      <c r="N32" s="36">
        <v>13.551549725574063</v>
      </c>
      <c r="O32" s="23"/>
      <c r="P32" s="36">
        <v>10.135717964510134</v>
      </c>
      <c r="Q32" s="36">
        <v>11.193314977902483</v>
      </c>
      <c r="S32" s="84">
        <v>0.49</v>
      </c>
      <c r="T32" s="84">
        <v>0.72</v>
      </c>
      <c r="U32" s="84" t="s">
        <v>91</v>
      </c>
      <c r="V32" s="58"/>
      <c r="W32" s="58"/>
    </row>
    <row r="33" spans="1:23" s="1" customFormat="1" x14ac:dyDescent="0.35">
      <c r="A33" s="32" t="s">
        <v>163</v>
      </c>
      <c r="B33" s="32" t="s">
        <v>22</v>
      </c>
      <c r="C33" s="32" t="s">
        <v>128</v>
      </c>
      <c r="D33" s="34" t="s">
        <v>161</v>
      </c>
      <c r="E33" s="57">
        <v>67.58</v>
      </c>
      <c r="F33" s="33">
        <v>206.05183324800001</v>
      </c>
      <c r="G33" s="35">
        <v>23225</v>
      </c>
      <c r="H33" s="95"/>
      <c r="I33" s="36">
        <v>5.6007345225603355</v>
      </c>
      <c r="J33" s="36">
        <v>5.589096636041968</v>
      </c>
      <c r="K33" s="36">
        <v>12.035906286879673</v>
      </c>
      <c r="L33" s="36">
        <v>7.3755918956503574</v>
      </c>
      <c r="M33" s="36">
        <v>5.1068913393758963</v>
      </c>
      <c r="N33" s="36">
        <v>12.883910916660879</v>
      </c>
      <c r="O33" s="96"/>
      <c r="P33" s="36">
        <v>8.4786354779863231</v>
      </c>
      <c r="Q33" s="36">
        <v>11.327649279882369</v>
      </c>
      <c r="S33" s="33">
        <v>0.5</v>
      </c>
      <c r="T33" s="33" t="s">
        <v>91</v>
      </c>
      <c r="U33" s="33">
        <v>1.23</v>
      </c>
      <c r="V33" s="97"/>
      <c r="W33" s="97"/>
    </row>
    <row r="34" spans="1:23" s="1" customFormat="1" x14ac:dyDescent="0.35">
      <c r="A34" s="32" t="s">
        <v>88</v>
      </c>
      <c r="B34" s="32" t="s">
        <v>21</v>
      </c>
      <c r="C34" s="32" t="s">
        <v>59</v>
      </c>
      <c r="D34" s="34" t="s">
        <v>161</v>
      </c>
      <c r="E34" s="34">
        <v>68.099999999999994</v>
      </c>
      <c r="F34" s="33">
        <v>441.73316404000002</v>
      </c>
      <c r="G34" s="35">
        <v>53381</v>
      </c>
      <c r="H34" s="95"/>
      <c r="I34" s="36">
        <v>6.0819544984488161</v>
      </c>
      <c r="J34" s="36">
        <v>5.3733379146198468</v>
      </c>
      <c r="K34" s="36">
        <v>12.416588913149763</v>
      </c>
      <c r="L34" s="36">
        <v>7.590157760185634</v>
      </c>
      <c r="M34" s="36">
        <v>7.4217017940442886</v>
      </c>
      <c r="N34" s="36">
        <v>14.46662347323684</v>
      </c>
      <c r="O34" s="96"/>
      <c r="P34" s="36">
        <v>10.23274402280895</v>
      </c>
      <c r="Q34" s="36">
        <v>11.659737546680724</v>
      </c>
      <c r="S34" s="33">
        <v>0.5</v>
      </c>
      <c r="T34" s="84" t="s">
        <v>91</v>
      </c>
      <c r="U34" s="33">
        <v>0.79</v>
      </c>
      <c r="V34" s="97"/>
      <c r="W34" s="97"/>
    </row>
    <row r="35" spans="1:23" x14ac:dyDescent="0.35">
      <c r="A35" s="32" t="s">
        <v>89</v>
      </c>
      <c r="B35" s="32" t="s">
        <v>23</v>
      </c>
      <c r="C35" s="32" t="s">
        <v>106</v>
      </c>
      <c r="D35" s="34" t="s">
        <v>161</v>
      </c>
      <c r="E35" s="34">
        <v>70</v>
      </c>
      <c r="F35" s="33">
        <v>653.53135449000001</v>
      </c>
      <c r="G35" s="35">
        <v>95871</v>
      </c>
      <c r="H35" s="22"/>
      <c r="I35" s="36">
        <v>6.3253973319716605</v>
      </c>
      <c r="J35" s="36">
        <v>7.2765452859069768</v>
      </c>
      <c r="K35" s="36">
        <v>13.607162913795756</v>
      </c>
      <c r="L35" s="36">
        <v>7.1908911803492348</v>
      </c>
      <c r="M35" s="36">
        <v>6.385349257718631</v>
      </c>
      <c r="N35" s="36">
        <v>13.720486453659841</v>
      </c>
      <c r="O35" s="23"/>
      <c r="P35" s="36">
        <v>10.922328686519014</v>
      </c>
      <c r="Q35" s="36">
        <v>11.900738743298765</v>
      </c>
      <c r="S35" s="84">
        <v>0.5</v>
      </c>
      <c r="T35" s="84" t="s">
        <v>91</v>
      </c>
      <c r="U35" s="84">
        <v>0.78720000000000001</v>
      </c>
      <c r="V35" s="58"/>
      <c r="W35" s="58"/>
    </row>
    <row r="36" spans="1:23" s="1" customFormat="1" x14ac:dyDescent="0.35">
      <c r="A36" s="32" t="s">
        <v>116</v>
      </c>
      <c r="B36" s="32" t="s">
        <v>25</v>
      </c>
      <c r="C36" s="32" t="s">
        <v>121</v>
      </c>
      <c r="D36" s="34" t="s">
        <v>161</v>
      </c>
      <c r="E36" s="34">
        <v>70</v>
      </c>
      <c r="F36" s="33">
        <v>247.72351412999998</v>
      </c>
      <c r="G36" s="35">
        <v>39466</v>
      </c>
      <c r="H36" s="95"/>
      <c r="I36" s="36">
        <v>7.7101980407357829</v>
      </c>
      <c r="J36" s="36">
        <v>6.0162550900284106</v>
      </c>
      <c r="K36" s="36">
        <v>11.869565124932269</v>
      </c>
      <c r="L36" s="36">
        <v>7.8355212450002432</v>
      </c>
      <c r="M36" s="36">
        <v>6.8798853069400812</v>
      </c>
      <c r="N36" s="36">
        <v>12.628893859789958</v>
      </c>
      <c r="O36" s="96"/>
      <c r="P36" s="36">
        <v>10.389296676185756</v>
      </c>
      <c r="Q36" s="36">
        <v>11.325991100700346</v>
      </c>
      <c r="S36" s="33">
        <v>0.5</v>
      </c>
      <c r="T36" s="33">
        <v>0.87</v>
      </c>
      <c r="U36" s="84" t="s">
        <v>91</v>
      </c>
      <c r="V36" s="97"/>
      <c r="W36" s="97"/>
    </row>
    <row r="37" spans="1:23" x14ac:dyDescent="0.35">
      <c r="A37" s="32" t="s">
        <v>131</v>
      </c>
      <c r="B37" s="32" t="s">
        <v>136</v>
      </c>
      <c r="C37" s="32" t="s">
        <v>142</v>
      </c>
      <c r="D37" s="34" t="s">
        <v>162</v>
      </c>
      <c r="E37" s="34">
        <v>100</v>
      </c>
      <c r="F37" s="33">
        <v>7.2070002797999999</v>
      </c>
      <c r="G37" s="35">
        <v>758</v>
      </c>
      <c r="H37" s="22"/>
      <c r="I37" s="36">
        <v>10.167714884695989</v>
      </c>
      <c r="J37" s="36" t="s">
        <v>164</v>
      </c>
      <c r="K37" s="36" t="s">
        <v>164</v>
      </c>
      <c r="L37" s="36">
        <v>10.19330504479019</v>
      </c>
      <c r="M37" s="36" t="s">
        <v>164</v>
      </c>
      <c r="N37" s="36" t="s">
        <v>164</v>
      </c>
      <c r="O37" s="23"/>
      <c r="P37" s="36" t="s">
        <v>164</v>
      </c>
      <c r="Q37" s="36" t="s">
        <v>164</v>
      </c>
      <c r="S37" s="84">
        <v>0.45</v>
      </c>
      <c r="T37" s="84">
        <v>0.56999999999999995</v>
      </c>
      <c r="U37" s="84" t="s">
        <v>91</v>
      </c>
      <c r="V37" s="58"/>
      <c r="W37" s="58"/>
    </row>
    <row r="38" spans="1:23" s="47" customFormat="1" ht="18.649999999999999" customHeight="1" x14ac:dyDescent="0.35">
      <c r="A38" s="107" t="s">
        <v>60</v>
      </c>
      <c r="B38" s="107"/>
      <c r="C38" s="107"/>
      <c r="D38" s="44"/>
      <c r="E38" s="44"/>
      <c r="F38" s="45"/>
      <c r="G38" s="46" t="s">
        <v>98</v>
      </c>
      <c r="H38" s="44"/>
      <c r="I38" s="68">
        <v>3.7874461444060215</v>
      </c>
      <c r="J38" s="68">
        <v>2.5910162954335205</v>
      </c>
      <c r="K38" s="68">
        <v>7.270811192178277</v>
      </c>
      <c r="L38" s="68">
        <v>3.6306909304939659</v>
      </c>
      <c r="M38" s="68">
        <v>2.0674013312370723</v>
      </c>
      <c r="N38" s="68">
        <v>7.0667675473958003</v>
      </c>
      <c r="O38" s="44"/>
      <c r="P38" s="44"/>
      <c r="Q38" s="44"/>
      <c r="S38" s="92"/>
      <c r="T38" s="92"/>
      <c r="U38" s="92"/>
      <c r="V38" s="58"/>
      <c r="W38" s="58"/>
    </row>
    <row r="39" spans="1:23" x14ac:dyDescent="0.35">
      <c r="A39" s="32" t="s">
        <v>36</v>
      </c>
      <c r="B39" s="32" t="s">
        <v>27</v>
      </c>
      <c r="C39" s="32" t="s">
        <v>61</v>
      </c>
      <c r="D39" s="34" t="s">
        <v>161</v>
      </c>
      <c r="E39" s="34">
        <v>35</v>
      </c>
      <c r="F39" s="33">
        <v>99.669389319999993</v>
      </c>
      <c r="G39" s="35">
        <v>16476</v>
      </c>
      <c r="H39" s="22"/>
      <c r="I39" s="36">
        <v>3.9173182627544989</v>
      </c>
      <c r="J39" s="36">
        <v>1.2812436560754037</v>
      </c>
      <c r="K39" s="36">
        <v>7.1555792221918546</v>
      </c>
      <c r="L39" s="36">
        <v>3.7745681897878747</v>
      </c>
      <c r="M39" s="36">
        <v>2.2013064067656352</v>
      </c>
      <c r="N39" s="36">
        <v>7.6847714033068337</v>
      </c>
      <c r="O39" s="23"/>
      <c r="P39" s="36">
        <v>8.2441942516104447</v>
      </c>
      <c r="Q39" s="36">
        <v>8.7639625024927241</v>
      </c>
      <c r="S39" s="84">
        <v>0.49</v>
      </c>
      <c r="T39" s="84">
        <v>0.71000000000000008</v>
      </c>
      <c r="U39" s="84" t="s">
        <v>91</v>
      </c>
      <c r="V39" s="58"/>
      <c r="W39" s="58"/>
    </row>
    <row r="40" spans="1:23" s="1" customFormat="1" x14ac:dyDescent="0.35">
      <c r="A40" s="32" t="s">
        <v>163</v>
      </c>
      <c r="B40" s="32" t="s">
        <v>29</v>
      </c>
      <c r="C40" s="32" t="s">
        <v>129</v>
      </c>
      <c r="D40" s="34" t="s">
        <v>161</v>
      </c>
      <c r="E40" s="57">
        <v>31.75</v>
      </c>
      <c r="F40" s="33">
        <v>127.96628257430001</v>
      </c>
      <c r="G40" s="35">
        <v>17483</v>
      </c>
      <c r="H40" s="95"/>
      <c r="I40" s="36">
        <v>3.4071550255536431</v>
      </c>
      <c r="J40" s="36">
        <v>2.5152040019012167</v>
      </c>
      <c r="K40" s="36">
        <v>7.2288751528194473</v>
      </c>
      <c r="L40" s="36">
        <v>3.772976407076345</v>
      </c>
      <c r="M40" s="36">
        <v>0.27148396142804287</v>
      </c>
      <c r="N40" s="36">
        <v>6.0313681967163912</v>
      </c>
      <c r="O40" s="96"/>
      <c r="P40" s="36">
        <v>6.543290199809185</v>
      </c>
      <c r="Q40" s="36">
        <v>9.1948908096542361</v>
      </c>
      <c r="S40" s="33">
        <v>0.5</v>
      </c>
      <c r="T40" s="33" t="s">
        <v>91</v>
      </c>
      <c r="U40" s="33">
        <v>0.86</v>
      </c>
      <c r="V40" s="97"/>
      <c r="W40" s="97"/>
    </row>
    <row r="41" spans="1:23" s="1" customFormat="1" x14ac:dyDescent="0.35">
      <c r="A41" s="32" t="s">
        <v>88</v>
      </c>
      <c r="B41" s="32" t="s">
        <v>28</v>
      </c>
      <c r="C41" s="32" t="s">
        <v>62</v>
      </c>
      <c r="D41" s="34" t="s">
        <v>161</v>
      </c>
      <c r="E41" s="34">
        <v>35.299999999999997</v>
      </c>
      <c r="F41" s="33">
        <v>330.01760195999998</v>
      </c>
      <c r="G41" s="35">
        <v>46740</v>
      </c>
      <c r="H41" s="95"/>
      <c r="I41" s="36">
        <v>3.637204284503337</v>
      </c>
      <c r="J41" s="36">
        <v>2.216325180786094</v>
      </c>
      <c r="K41" s="36">
        <v>7.3394633208642812</v>
      </c>
      <c r="L41" s="36">
        <v>3.8565897536459781</v>
      </c>
      <c r="M41" s="36">
        <v>3.2347263773341961</v>
      </c>
      <c r="N41" s="36">
        <v>8.3280450249654248</v>
      </c>
      <c r="O41" s="96"/>
      <c r="P41" s="36">
        <v>7.5189060535146766</v>
      </c>
      <c r="Q41" s="36">
        <v>8.5809557533404419</v>
      </c>
      <c r="S41" s="33">
        <v>0.5</v>
      </c>
      <c r="T41" s="84" t="s">
        <v>91</v>
      </c>
      <c r="U41" s="33">
        <v>0.7</v>
      </c>
      <c r="V41" s="97"/>
      <c r="W41" s="97"/>
    </row>
    <row r="42" spans="1:23" x14ac:dyDescent="0.35">
      <c r="A42" s="32" t="s">
        <v>89</v>
      </c>
      <c r="B42" s="32" t="s">
        <v>26</v>
      </c>
      <c r="C42" s="32" t="s">
        <v>107</v>
      </c>
      <c r="D42" s="34" t="s">
        <v>161</v>
      </c>
      <c r="E42" s="34">
        <v>35</v>
      </c>
      <c r="F42" s="33">
        <v>490.24865923999999</v>
      </c>
      <c r="G42" s="35">
        <v>84077</v>
      </c>
      <c r="H42" s="22"/>
      <c r="I42" s="36">
        <v>3.6986817325800558</v>
      </c>
      <c r="J42" s="36">
        <v>3.3728935072843802</v>
      </c>
      <c r="K42" s="36">
        <v>8.0866857563612236</v>
      </c>
      <c r="L42" s="36">
        <v>3.3993064791716154</v>
      </c>
      <c r="M42" s="36">
        <v>1.3815619745920715</v>
      </c>
      <c r="N42" s="36">
        <v>6.8890347647417194</v>
      </c>
      <c r="O42" s="23"/>
      <c r="P42" s="36">
        <v>7.7532156390170854</v>
      </c>
      <c r="Q42" s="36">
        <v>9.3558994233442281</v>
      </c>
      <c r="S42" s="84">
        <v>0.5</v>
      </c>
      <c r="T42" s="84" t="s">
        <v>91</v>
      </c>
      <c r="U42" s="84">
        <v>0.59660000000000002</v>
      </c>
      <c r="V42" s="58"/>
      <c r="W42" s="58"/>
    </row>
    <row r="43" spans="1:23" s="1" customFormat="1" x14ac:dyDescent="0.35">
      <c r="A43" s="32" t="s">
        <v>116</v>
      </c>
      <c r="B43" s="32" t="s">
        <v>30</v>
      </c>
      <c r="C43" s="32" t="s">
        <v>122</v>
      </c>
      <c r="D43" s="34" t="s">
        <v>161</v>
      </c>
      <c r="E43" s="34">
        <v>35</v>
      </c>
      <c r="F43" s="33">
        <v>212.80373196000002</v>
      </c>
      <c r="G43" s="35">
        <v>37095</v>
      </c>
      <c r="H43" s="95"/>
      <c r="I43" s="36">
        <v>4.3863348797975599</v>
      </c>
      <c r="J43" s="36">
        <v>2.0298704260492961</v>
      </c>
      <c r="K43" s="36">
        <v>5.3639540182069956</v>
      </c>
      <c r="L43" s="36">
        <v>3.6604715503908203</v>
      </c>
      <c r="M43" s="36">
        <v>2.8543454492104825</v>
      </c>
      <c r="N43" s="36">
        <v>5.8533942253864213</v>
      </c>
      <c r="O43" s="96"/>
      <c r="P43" s="36">
        <v>6.8044766374924741</v>
      </c>
      <c r="Q43" s="36">
        <v>6.9208848578003117</v>
      </c>
      <c r="S43" s="33">
        <v>0.5</v>
      </c>
      <c r="T43" s="33">
        <v>0.7</v>
      </c>
      <c r="U43" s="84" t="s">
        <v>91</v>
      </c>
      <c r="V43" s="97"/>
      <c r="W43" s="97"/>
    </row>
    <row r="44" spans="1:23" x14ac:dyDescent="0.35">
      <c r="A44" s="32" t="s">
        <v>131</v>
      </c>
      <c r="B44" s="32" t="s">
        <v>137</v>
      </c>
      <c r="C44" s="32" t="s">
        <v>141</v>
      </c>
      <c r="D44" s="34" t="s">
        <v>162</v>
      </c>
      <c r="E44" s="34">
        <v>40</v>
      </c>
      <c r="F44" s="33">
        <v>2.6189978369000002</v>
      </c>
      <c r="G44" s="35">
        <v>301</v>
      </c>
      <c r="H44" s="22"/>
      <c r="I44" s="36">
        <v>4.3118835133865607</v>
      </c>
      <c r="J44" s="36" t="s">
        <v>164</v>
      </c>
      <c r="K44" s="36" t="s">
        <v>164</v>
      </c>
      <c r="L44" s="36">
        <v>4.3824328120610545</v>
      </c>
      <c r="M44" s="36" t="s">
        <v>164</v>
      </c>
      <c r="N44" s="36" t="s">
        <v>164</v>
      </c>
      <c r="O44" s="23"/>
      <c r="P44" s="36" t="s">
        <v>164</v>
      </c>
      <c r="Q44" s="36" t="s">
        <v>164</v>
      </c>
      <c r="S44" s="84">
        <v>0.45</v>
      </c>
      <c r="T44" s="84">
        <v>0.6</v>
      </c>
      <c r="U44" s="84" t="s">
        <v>91</v>
      </c>
      <c r="V44" s="58"/>
      <c r="W44" s="58"/>
    </row>
    <row r="45" spans="1:23" s="47" customFormat="1" ht="18.649999999999999" customHeight="1" x14ac:dyDescent="0.35">
      <c r="A45" s="108" t="s">
        <v>63</v>
      </c>
      <c r="B45" s="108"/>
      <c r="C45" s="108"/>
      <c r="D45" s="44"/>
      <c r="E45" s="44"/>
      <c r="F45" s="45"/>
      <c r="G45" s="46" t="s">
        <v>98</v>
      </c>
      <c r="H45" s="44"/>
      <c r="I45" s="68">
        <v>2.060443352866359</v>
      </c>
      <c r="J45" s="68">
        <v>-0.3046592285222488</v>
      </c>
      <c r="K45" s="68">
        <v>2.3214776760970524</v>
      </c>
      <c r="L45" s="68">
        <v>1.5344658751155413</v>
      </c>
      <c r="M45" s="68">
        <v>-1.098718178567722</v>
      </c>
      <c r="N45" s="68">
        <v>1.6638587744899962</v>
      </c>
      <c r="O45" s="44"/>
      <c r="P45" s="44"/>
      <c r="Q45" s="44"/>
      <c r="S45" s="92"/>
      <c r="T45" s="92"/>
      <c r="U45" s="92"/>
      <c r="V45" s="58"/>
      <c r="W45" s="58"/>
    </row>
    <row r="46" spans="1:23" x14ac:dyDescent="0.35">
      <c r="A46" s="32" t="s">
        <v>36</v>
      </c>
      <c r="B46" s="32" t="s">
        <v>32</v>
      </c>
      <c r="C46" s="32" t="s">
        <v>64</v>
      </c>
      <c r="D46" s="34" t="s">
        <v>161</v>
      </c>
      <c r="E46" s="34">
        <v>10</v>
      </c>
      <c r="F46" s="33">
        <v>17.966132179999999</v>
      </c>
      <c r="G46" s="35">
        <v>3316</v>
      </c>
      <c r="H46" s="22"/>
      <c r="I46" s="36">
        <v>1.6427104722792629</v>
      </c>
      <c r="J46" s="36">
        <v>-1.2767607555109639</v>
      </c>
      <c r="K46" s="36">
        <v>1.9890449893815942</v>
      </c>
      <c r="L46" s="36">
        <v>1.2237400232306239</v>
      </c>
      <c r="M46" s="36">
        <v>-0.92290259592614499</v>
      </c>
      <c r="N46" s="36">
        <v>2.2222930320686229</v>
      </c>
      <c r="O46" s="23"/>
      <c r="P46" s="36">
        <v>6.3820683917885619</v>
      </c>
      <c r="Q46" s="36">
        <v>6.8903115603580982</v>
      </c>
      <c r="S46" s="84">
        <v>0.49</v>
      </c>
      <c r="T46" s="84">
        <v>0.71000000000000008</v>
      </c>
      <c r="U46" s="84" t="s">
        <v>91</v>
      </c>
      <c r="V46" s="58"/>
      <c r="W46" s="58"/>
    </row>
    <row r="47" spans="1:23" s="1" customFormat="1" x14ac:dyDescent="0.35">
      <c r="A47" s="32" t="s">
        <v>163</v>
      </c>
      <c r="B47" s="32" t="s">
        <v>35</v>
      </c>
      <c r="C47" s="32" t="s">
        <v>130</v>
      </c>
      <c r="D47" s="34" t="s">
        <v>161</v>
      </c>
      <c r="E47" s="57">
        <v>10</v>
      </c>
      <c r="F47" s="33">
        <v>17.295014675999997</v>
      </c>
      <c r="G47" s="35">
        <v>2704</v>
      </c>
      <c r="H47" s="95"/>
      <c r="I47" s="36">
        <v>2.0752984389347917</v>
      </c>
      <c r="J47" s="36">
        <v>0.19567754157325812</v>
      </c>
      <c r="K47" s="36">
        <v>2.3366500168682469</v>
      </c>
      <c r="L47" s="36">
        <v>1.9708745799029037</v>
      </c>
      <c r="M47" s="36">
        <v>-2.2440788336752893</v>
      </c>
      <c r="N47" s="36">
        <v>0.52306265348065484</v>
      </c>
      <c r="O47" s="96"/>
      <c r="P47" s="36">
        <v>4.9859361129482078</v>
      </c>
      <c r="Q47" s="36">
        <v>7.0020174037696004</v>
      </c>
      <c r="S47" s="33">
        <v>0.5</v>
      </c>
      <c r="T47" s="33" t="s">
        <v>91</v>
      </c>
      <c r="U47" s="33">
        <v>0.54</v>
      </c>
      <c r="V47" s="97"/>
      <c r="W47" s="97"/>
    </row>
    <row r="48" spans="1:23" s="1" customFormat="1" x14ac:dyDescent="0.35">
      <c r="A48" s="32" t="s">
        <v>88</v>
      </c>
      <c r="B48" s="32" t="s">
        <v>33</v>
      </c>
      <c r="C48" s="32" t="s">
        <v>65</v>
      </c>
      <c r="D48" s="34" t="s">
        <v>161</v>
      </c>
      <c r="E48" s="34">
        <v>18.5</v>
      </c>
      <c r="F48" s="33">
        <v>54.67931162</v>
      </c>
      <c r="G48" s="35">
        <v>8486</v>
      </c>
      <c r="H48" s="95"/>
      <c r="I48" s="36">
        <v>2.4003664681630843</v>
      </c>
      <c r="J48" s="36">
        <v>-0.30235844849877402</v>
      </c>
      <c r="K48" s="36">
        <v>2.3683494880393008</v>
      </c>
      <c r="L48" s="36">
        <v>2.0120269753129083</v>
      </c>
      <c r="M48" s="36">
        <v>0.22090373005148045</v>
      </c>
      <c r="N48" s="36">
        <v>2.8007298084767873</v>
      </c>
      <c r="O48" s="96"/>
      <c r="P48" s="36">
        <v>5.6311419064153796</v>
      </c>
      <c r="Q48" s="36">
        <v>6.5202836527840295</v>
      </c>
      <c r="S48" s="33">
        <v>0.5</v>
      </c>
      <c r="T48" s="33">
        <v>0.68</v>
      </c>
      <c r="U48" s="84" t="s">
        <v>91</v>
      </c>
      <c r="V48" s="97"/>
      <c r="W48" s="97"/>
    </row>
    <row r="49" spans="1:23" x14ac:dyDescent="0.35">
      <c r="A49" s="32" t="s">
        <v>89</v>
      </c>
      <c r="B49" s="32" t="s">
        <v>31</v>
      </c>
      <c r="C49" s="32" t="s">
        <v>66</v>
      </c>
      <c r="D49" s="34" t="s">
        <v>161</v>
      </c>
      <c r="E49" s="34">
        <v>15</v>
      </c>
      <c r="F49" s="33">
        <v>77.4060013</v>
      </c>
      <c r="G49" s="35">
        <v>12155</v>
      </c>
      <c r="H49" s="22"/>
      <c r="I49" s="36">
        <v>1.7585638395310355</v>
      </c>
      <c r="J49" s="36">
        <v>-0.45487607121007523</v>
      </c>
      <c r="K49" s="36">
        <v>2.4189751251640468</v>
      </c>
      <c r="L49" s="36">
        <v>1.2803352705196724</v>
      </c>
      <c r="M49" s="36">
        <v>-2.6778005586454379</v>
      </c>
      <c r="N49" s="36">
        <v>0.67218895469172146</v>
      </c>
      <c r="O49" s="23"/>
      <c r="P49" s="36">
        <v>5.1894731762154755</v>
      </c>
      <c r="Q49" s="36">
        <v>7.8054796562391671</v>
      </c>
      <c r="S49" s="84">
        <v>0.5</v>
      </c>
      <c r="T49" s="84" t="s">
        <v>91</v>
      </c>
      <c r="U49" s="84">
        <v>0.52249999999999996</v>
      </c>
      <c r="V49" s="58"/>
      <c r="W49" s="58"/>
    </row>
    <row r="50" spans="1:23" s="1" customFormat="1" x14ac:dyDescent="0.35">
      <c r="A50" s="32" t="s">
        <v>116</v>
      </c>
      <c r="B50" s="32" t="s">
        <v>34</v>
      </c>
      <c r="C50" s="32" t="s">
        <v>123</v>
      </c>
      <c r="D50" s="34" t="s">
        <v>161</v>
      </c>
      <c r="E50" s="34">
        <v>15</v>
      </c>
      <c r="F50" s="33">
        <v>41.270464780000005</v>
      </c>
      <c r="G50" s="35">
        <v>7277</v>
      </c>
      <c r="H50" s="95"/>
      <c r="I50" s="36">
        <v>2.3598001110494149</v>
      </c>
      <c r="J50" s="36">
        <v>0.18754392221285165</v>
      </c>
      <c r="K50" s="36">
        <v>2.21487159909044</v>
      </c>
      <c r="L50" s="36">
        <v>1.3307698039008997</v>
      </c>
      <c r="M50" s="36">
        <v>0.51804913677944153</v>
      </c>
      <c r="N50" s="36">
        <v>2.2525376740505587</v>
      </c>
      <c r="O50" s="96"/>
      <c r="P50" s="36">
        <v>4.2249905869467845</v>
      </c>
      <c r="Q50" s="36">
        <v>3.9725045732203847</v>
      </c>
      <c r="S50" s="33">
        <v>0.5</v>
      </c>
      <c r="T50" s="33">
        <v>0.6</v>
      </c>
      <c r="U50" s="84" t="s">
        <v>91</v>
      </c>
    </row>
    <row r="51" spans="1:23" x14ac:dyDescent="0.35">
      <c r="A51" s="32" t="s">
        <v>131</v>
      </c>
      <c r="B51" s="32" t="s">
        <v>138</v>
      </c>
      <c r="C51" s="32" t="s">
        <v>140</v>
      </c>
      <c r="D51" s="34" t="s">
        <v>162</v>
      </c>
      <c r="E51" s="34">
        <v>0</v>
      </c>
      <c r="F51" s="33">
        <v>0.14459590429999999</v>
      </c>
      <c r="G51" s="35">
        <v>19</v>
      </c>
      <c r="H51" s="22"/>
      <c r="I51" s="36">
        <v>-0.19372336303757898</v>
      </c>
      <c r="J51" s="36" t="s">
        <v>164</v>
      </c>
      <c r="K51" s="36" t="s">
        <v>164</v>
      </c>
      <c r="L51" s="36">
        <v>2.8675205505646062E-2</v>
      </c>
      <c r="M51" s="36" t="s">
        <v>164</v>
      </c>
      <c r="N51" s="36" t="s">
        <v>164</v>
      </c>
      <c r="O51" s="23"/>
      <c r="P51" s="36" t="s">
        <v>164</v>
      </c>
      <c r="Q51" s="36" t="s">
        <v>164</v>
      </c>
      <c r="S51" s="84">
        <v>0.45</v>
      </c>
      <c r="T51" s="84">
        <v>0.59</v>
      </c>
      <c r="U51" s="84" t="s">
        <v>91</v>
      </c>
    </row>
    <row r="52" spans="1:23" s="47" customFormat="1" ht="18.649999999999999" customHeight="1" x14ac:dyDescent="0.35">
      <c r="A52" s="107" t="s">
        <v>67</v>
      </c>
      <c r="B52" s="107"/>
      <c r="C52" s="107"/>
      <c r="D52" s="44"/>
      <c r="E52" s="44"/>
      <c r="F52" s="45"/>
      <c r="G52" s="46" t="s">
        <v>98</v>
      </c>
      <c r="H52" s="44"/>
      <c r="I52" s="68">
        <v>1.7945126804002889</v>
      </c>
      <c r="J52" s="68">
        <v>-0.33450881680553707</v>
      </c>
      <c r="K52" s="68">
        <v>1.901692084208209</v>
      </c>
      <c r="L52" s="68">
        <v>1.2337393145903337</v>
      </c>
      <c r="M52" s="68">
        <v>-1.3006149261371724</v>
      </c>
      <c r="N52" s="68">
        <v>1.0316834378786672</v>
      </c>
      <c r="O52" s="44"/>
      <c r="P52" s="44"/>
      <c r="Q52" s="44"/>
      <c r="S52" s="92"/>
      <c r="T52" s="92"/>
      <c r="U52" s="92"/>
    </row>
    <row r="53" spans="1:23" x14ac:dyDescent="0.35">
      <c r="A53" s="32" t="s">
        <v>36</v>
      </c>
      <c r="B53" s="32" t="s">
        <v>40</v>
      </c>
      <c r="C53" s="32" t="s">
        <v>110</v>
      </c>
      <c r="D53" s="34" t="s">
        <v>161</v>
      </c>
      <c r="E53" s="57">
        <v>10</v>
      </c>
      <c r="F53" s="33">
        <v>8.6755345100000003</v>
      </c>
      <c r="G53" s="35">
        <v>2363</v>
      </c>
      <c r="H53" s="22"/>
      <c r="I53" s="36">
        <v>1.1894484412469986</v>
      </c>
      <c r="J53" s="36">
        <v>-0.95471222531506861</v>
      </c>
      <c r="K53" s="36">
        <v>1.0483332289540126</v>
      </c>
      <c r="L53" s="36">
        <v>0.71026715709365806</v>
      </c>
      <c r="M53" s="36">
        <v>-0.38885865802686936</v>
      </c>
      <c r="N53" s="36">
        <v>1.3740093872165238</v>
      </c>
      <c r="O53" s="23"/>
      <c r="P53" s="36">
        <v>4.6735311577836764</v>
      </c>
      <c r="Q53" s="36">
        <v>4.8465881799853845</v>
      </c>
      <c r="S53" s="84">
        <v>0.19</v>
      </c>
      <c r="T53" s="84">
        <v>0.35000000000000003</v>
      </c>
      <c r="U53" s="84" t="s">
        <v>91</v>
      </c>
    </row>
    <row r="54" spans="1:23" s="1" customFormat="1" x14ac:dyDescent="0.35">
      <c r="A54" s="32" t="s">
        <v>163</v>
      </c>
      <c r="B54" s="32" t="s">
        <v>38</v>
      </c>
      <c r="C54" s="32" t="s">
        <v>68</v>
      </c>
      <c r="D54" s="34" t="s">
        <v>161</v>
      </c>
      <c r="E54" s="57">
        <v>17</v>
      </c>
      <c r="F54" s="33">
        <v>10.4704210249</v>
      </c>
      <c r="G54" s="35">
        <v>1991</v>
      </c>
      <c r="H54" s="95"/>
      <c r="I54" s="36">
        <v>2.1108416419653331</v>
      </c>
      <c r="J54" s="36">
        <v>0.25048728444545532</v>
      </c>
      <c r="K54" s="36">
        <v>2.7499497802666806</v>
      </c>
      <c r="L54" s="36">
        <v>1.9983522502538209</v>
      </c>
      <c r="M54" s="36">
        <v>-0.40236420872609147</v>
      </c>
      <c r="N54" s="36">
        <v>2.6197581684388016</v>
      </c>
      <c r="O54" s="96"/>
      <c r="P54" s="36">
        <v>4.3913568230274045</v>
      </c>
      <c r="Q54" s="36">
        <v>4.6389796005277582</v>
      </c>
      <c r="S54" s="33">
        <v>0.2</v>
      </c>
      <c r="T54" s="33" t="s">
        <v>91</v>
      </c>
      <c r="U54" s="33">
        <v>0.3</v>
      </c>
    </row>
    <row r="55" spans="1:23" s="1" customFormat="1" x14ac:dyDescent="0.35">
      <c r="A55" s="32" t="s">
        <v>88</v>
      </c>
      <c r="B55" s="32" t="s">
        <v>37</v>
      </c>
      <c r="C55" s="32" t="s">
        <v>69</v>
      </c>
      <c r="D55" s="34" t="s">
        <v>161</v>
      </c>
      <c r="E55" s="57">
        <v>15</v>
      </c>
      <c r="F55" s="33">
        <v>40.61919177</v>
      </c>
      <c r="G55" s="35">
        <v>5630</v>
      </c>
      <c r="H55" s="95"/>
      <c r="I55" s="36">
        <v>1.8741258741258759</v>
      </c>
      <c r="J55" s="36">
        <v>-0.24590263184445238</v>
      </c>
      <c r="K55" s="36">
        <v>2.1341684359550861</v>
      </c>
      <c r="L55" s="36">
        <v>1.3654304737009904</v>
      </c>
      <c r="M55" s="36">
        <v>-0.57989567365299699</v>
      </c>
      <c r="N55" s="36">
        <v>1.8225586261438664</v>
      </c>
      <c r="O55" s="96"/>
      <c r="P55" s="36">
        <v>4.9432855707281176</v>
      </c>
      <c r="Q55" s="36">
        <v>5.9970478346794698</v>
      </c>
      <c r="S55" s="33">
        <v>0.2</v>
      </c>
      <c r="T55" s="33">
        <v>0.32</v>
      </c>
      <c r="U55" s="84" t="s">
        <v>91</v>
      </c>
    </row>
    <row r="56" spans="1:23" x14ac:dyDescent="0.35">
      <c r="A56" s="32" t="s">
        <v>89</v>
      </c>
      <c r="B56" s="32" t="s">
        <v>39</v>
      </c>
      <c r="C56" s="32" t="s">
        <v>70</v>
      </c>
      <c r="D56" s="34" t="s">
        <v>161</v>
      </c>
      <c r="E56" s="57">
        <v>15</v>
      </c>
      <c r="F56" s="33">
        <v>52.474123609999999</v>
      </c>
      <c r="G56" s="35">
        <v>6885</v>
      </c>
      <c r="H56" s="22"/>
      <c r="I56" s="36">
        <v>1.7290799815071756</v>
      </c>
      <c r="J56" s="36">
        <v>2.7282649589377428E-2</v>
      </c>
      <c r="K56" s="36">
        <v>2.3648795556395319</v>
      </c>
      <c r="L56" s="36">
        <v>1.2802046765066244</v>
      </c>
      <c r="M56" s="36">
        <v>-2.6778478766189551</v>
      </c>
      <c r="N56" s="36">
        <v>9.5802040271442124E-2</v>
      </c>
      <c r="O56" s="23"/>
      <c r="P56" s="36">
        <v>5.2969705831025617</v>
      </c>
      <c r="Q56" s="36">
        <v>7.8055058525768439</v>
      </c>
      <c r="S56" s="84">
        <v>0.2</v>
      </c>
      <c r="T56" s="84" t="s">
        <v>91</v>
      </c>
      <c r="U56" s="84">
        <v>0.22639999999999999</v>
      </c>
    </row>
    <row r="57" spans="1:23" s="1" customFormat="1" x14ac:dyDescent="0.35">
      <c r="A57" s="32" t="s">
        <v>116</v>
      </c>
      <c r="B57" s="32" t="s">
        <v>41</v>
      </c>
      <c r="C57" s="32" t="s">
        <v>148</v>
      </c>
      <c r="D57" s="34" t="s">
        <v>161</v>
      </c>
      <c r="E57" s="57">
        <v>10</v>
      </c>
      <c r="F57" s="33">
        <v>23.489563969999999</v>
      </c>
      <c r="G57" s="35">
        <v>5891</v>
      </c>
      <c r="H57" s="95"/>
      <c r="I57" s="36">
        <v>1.9175926836463741</v>
      </c>
      <c r="J57" s="36">
        <v>-1.3276460747667862</v>
      </c>
      <c r="K57" s="36">
        <v>0.40202060430125641</v>
      </c>
      <c r="L57" s="36">
        <v>0.75472505125306899</v>
      </c>
      <c r="M57" s="36">
        <v>-0.20740508957978188</v>
      </c>
      <c r="N57" s="36">
        <v>0.92044993714646139</v>
      </c>
      <c r="O57" s="96"/>
      <c r="P57" s="36">
        <v>3.9770742131084633</v>
      </c>
      <c r="Q57" s="36">
        <v>3.4997270887927479</v>
      </c>
      <c r="S57" s="33">
        <v>0.2</v>
      </c>
      <c r="T57" s="33">
        <v>0.33</v>
      </c>
      <c r="U57" s="84" t="s">
        <v>91</v>
      </c>
    </row>
    <row r="58" spans="1:23" x14ac:dyDescent="0.35">
      <c r="A58" s="32" t="s">
        <v>131</v>
      </c>
      <c r="B58" s="32" t="s">
        <v>139</v>
      </c>
      <c r="C58" s="32" t="s">
        <v>147</v>
      </c>
      <c r="D58" s="34" t="s">
        <v>162</v>
      </c>
      <c r="E58" s="34">
        <v>0</v>
      </c>
      <c r="F58" s="33">
        <v>0.36708741449999999</v>
      </c>
      <c r="G58" s="35">
        <v>26</v>
      </c>
      <c r="H58" s="22"/>
      <c r="I58" s="36">
        <v>-0.26014066865788221</v>
      </c>
      <c r="J58" s="36" t="s">
        <v>164</v>
      </c>
      <c r="K58" s="36" t="s">
        <v>164</v>
      </c>
      <c r="L58" s="36">
        <v>-0.15436565364207455</v>
      </c>
      <c r="M58" s="36" t="s">
        <v>164</v>
      </c>
      <c r="N58" s="36" t="s">
        <v>164</v>
      </c>
      <c r="O58" s="23"/>
      <c r="P58" s="36" t="s">
        <v>164</v>
      </c>
      <c r="Q58" s="36" t="s">
        <v>164</v>
      </c>
      <c r="S58" s="84">
        <v>0.18</v>
      </c>
      <c r="T58" s="84">
        <v>0.34</v>
      </c>
      <c r="U58" s="84" t="s">
        <v>91</v>
      </c>
    </row>
    <row r="59" spans="1:23" x14ac:dyDescent="0.35">
      <c r="D59" s="8"/>
      <c r="E59" s="20"/>
      <c r="F59" s="21"/>
      <c r="G59" s="9"/>
      <c r="H59" s="7"/>
      <c r="I59" s="10"/>
      <c r="J59" s="10"/>
      <c r="K59" s="10"/>
      <c r="L59" s="11"/>
      <c r="M59" s="11"/>
      <c r="N59" s="11"/>
      <c r="O59" s="12"/>
      <c r="P59" s="13"/>
      <c r="Q59" s="14"/>
      <c r="R59" s="1"/>
      <c r="S59" s="14"/>
      <c r="T59" s="14"/>
      <c r="U59" s="14"/>
    </row>
    <row r="60" spans="1:23" s="43" customFormat="1" x14ac:dyDescent="0.35">
      <c r="A60" s="37"/>
      <c r="B60" s="37"/>
      <c r="C60" s="37"/>
      <c r="D60" s="37"/>
      <c r="E60" s="38"/>
      <c r="F60" s="39"/>
      <c r="G60" s="40" t="s">
        <v>109</v>
      </c>
      <c r="H60" s="41"/>
      <c r="I60" s="41">
        <v>7.0547760892594331</v>
      </c>
      <c r="J60" s="41">
        <v>6.2227589915177486</v>
      </c>
      <c r="K60" s="41">
        <v>12.407804526793406</v>
      </c>
      <c r="L60" s="41">
        <v>8.2277772193383623</v>
      </c>
      <c r="M60" s="41">
        <v>6.8008601412437573</v>
      </c>
      <c r="N60" s="41">
        <v>13.734881969727322</v>
      </c>
      <c r="O60" s="41"/>
      <c r="P60" s="41"/>
      <c r="Q60" s="41"/>
      <c r="R60" s="42"/>
      <c r="S60" s="41"/>
      <c r="T60" s="41"/>
      <c r="U60" s="41"/>
    </row>
    <row r="61" spans="1:23" x14ac:dyDescent="0.35">
      <c r="A61" s="15"/>
      <c r="B61" s="15"/>
      <c r="C61" s="15"/>
      <c r="D61" s="15"/>
      <c r="E61" s="15"/>
      <c r="F61" s="15"/>
      <c r="G61" s="15"/>
      <c r="H61" s="15"/>
      <c r="I61" s="15"/>
      <c r="J61" s="15"/>
      <c r="K61" s="15"/>
      <c r="L61" s="15"/>
      <c r="M61" s="15"/>
      <c r="N61" s="15"/>
      <c r="O61" s="15"/>
      <c r="P61" s="15"/>
      <c r="Q61" s="15"/>
      <c r="R61" s="1"/>
    </row>
    <row r="62" spans="1:23" s="50" customFormat="1" ht="13.5" x14ac:dyDescent="0.3">
      <c r="A62" s="49" t="s">
        <v>82</v>
      </c>
      <c r="B62" s="49"/>
      <c r="C62" s="49"/>
      <c r="D62" s="49"/>
      <c r="E62" s="49"/>
      <c r="F62" s="49"/>
      <c r="G62" s="49"/>
      <c r="H62" s="49"/>
      <c r="I62" s="49"/>
      <c r="J62" s="49"/>
      <c r="K62" s="49"/>
      <c r="L62" s="49"/>
      <c r="M62" s="49"/>
      <c r="N62" s="49"/>
      <c r="O62" s="49"/>
      <c r="P62" s="49"/>
    </row>
    <row r="63" spans="1:23" s="50" customFormat="1" ht="13.5" x14ac:dyDescent="0.3">
      <c r="A63" s="49" t="s">
        <v>93</v>
      </c>
      <c r="B63" s="49"/>
      <c r="C63" s="49"/>
      <c r="D63" s="49"/>
      <c r="E63" s="49"/>
      <c r="F63" s="72"/>
      <c r="G63" s="72"/>
      <c r="H63" s="49"/>
      <c r="I63" s="49"/>
      <c r="J63" s="49"/>
      <c r="K63" s="49"/>
      <c r="L63" s="49"/>
      <c r="M63" s="49"/>
      <c r="N63" s="49"/>
      <c r="O63" s="49"/>
      <c r="P63" s="49"/>
    </row>
    <row r="64" spans="1:23" s="50" customFormat="1" ht="13.5" x14ac:dyDescent="0.3">
      <c r="A64" s="49" t="s">
        <v>95</v>
      </c>
      <c r="B64" s="49"/>
      <c r="C64" s="49"/>
      <c r="D64" s="49"/>
      <c r="E64" s="49"/>
      <c r="F64" s="49"/>
      <c r="G64" s="49"/>
      <c r="H64" s="49"/>
      <c r="I64" s="49"/>
      <c r="J64" s="49"/>
      <c r="K64" s="49"/>
      <c r="L64" s="49"/>
      <c r="M64" s="49"/>
      <c r="N64" s="49"/>
      <c r="O64" s="49"/>
      <c r="P64" s="49"/>
    </row>
    <row r="65" spans="1:18" s="50" customFormat="1" ht="13.5" x14ac:dyDescent="0.3">
      <c r="A65" s="49" t="s">
        <v>96</v>
      </c>
      <c r="B65" s="49"/>
      <c r="C65" s="49"/>
      <c r="D65" s="49"/>
      <c r="E65" s="49"/>
      <c r="F65" s="49"/>
      <c r="G65" s="49"/>
      <c r="H65" s="49"/>
      <c r="I65" s="49"/>
      <c r="J65" s="49"/>
      <c r="K65" s="49"/>
      <c r="L65" s="49"/>
      <c r="M65" s="49"/>
      <c r="N65" s="49"/>
      <c r="O65" s="49"/>
      <c r="P65" s="49"/>
    </row>
    <row r="66" spans="1:18" s="50" customFormat="1" ht="13.5" x14ac:dyDescent="0.3">
      <c r="A66" s="91" t="s">
        <v>165</v>
      </c>
      <c r="B66" s="51"/>
      <c r="C66" s="51"/>
      <c r="D66" s="51"/>
      <c r="E66" s="51"/>
      <c r="F66" s="51"/>
      <c r="G66" s="51"/>
      <c r="H66" s="51"/>
      <c r="I66" s="51"/>
      <c r="J66" s="51"/>
      <c r="K66" s="51"/>
      <c r="L66" s="51"/>
      <c r="M66" s="51"/>
      <c r="N66" s="51"/>
      <c r="O66" s="51"/>
      <c r="P66" s="51"/>
    </row>
    <row r="67" spans="1:18" s="50" customFormat="1" ht="13.5" x14ac:dyDescent="0.3">
      <c r="A67" s="52" t="s">
        <v>115</v>
      </c>
      <c r="B67" s="51"/>
      <c r="C67" s="51"/>
      <c r="D67" s="51"/>
      <c r="E67" s="51"/>
      <c r="F67" s="51"/>
      <c r="G67" s="51"/>
      <c r="H67" s="51"/>
      <c r="I67" s="51"/>
      <c r="J67" s="51"/>
      <c r="K67" s="51"/>
      <c r="L67" s="51"/>
      <c r="M67" s="51"/>
      <c r="N67" s="51"/>
      <c r="O67" s="51"/>
      <c r="P67" s="51"/>
    </row>
    <row r="68" spans="1:18" s="50" customFormat="1" ht="13.5" x14ac:dyDescent="0.3">
      <c r="A68" s="51" t="s">
        <v>101</v>
      </c>
      <c r="B68" s="51"/>
      <c r="C68" s="51"/>
      <c r="D68" s="51"/>
      <c r="E68" s="51"/>
      <c r="F68" s="51"/>
      <c r="G68" s="51"/>
      <c r="H68" s="51"/>
      <c r="I68" s="51"/>
      <c r="J68" s="51"/>
      <c r="K68" s="51"/>
      <c r="L68" s="51"/>
      <c r="M68" s="51"/>
      <c r="N68" s="51"/>
      <c r="O68" s="51"/>
      <c r="P68" s="51"/>
    </row>
    <row r="69" spans="1:18" s="50" customFormat="1" ht="13.5" x14ac:dyDescent="0.3">
      <c r="A69" s="51" t="s">
        <v>108</v>
      </c>
      <c r="B69" s="51"/>
      <c r="C69" s="51"/>
      <c r="D69" s="51"/>
      <c r="E69" s="51"/>
      <c r="F69" s="51"/>
      <c r="G69" s="51"/>
      <c r="H69" s="51"/>
      <c r="I69" s="51"/>
      <c r="J69" s="51"/>
      <c r="K69" s="51"/>
      <c r="L69" s="51"/>
      <c r="M69" s="51"/>
      <c r="N69" s="51"/>
      <c r="O69" s="51"/>
      <c r="P69" s="51"/>
    </row>
    <row r="70" spans="1:18" x14ac:dyDescent="0.35">
      <c r="A70" s="49" t="s">
        <v>152</v>
      </c>
      <c r="D70" s="7"/>
      <c r="E70" s="7"/>
      <c r="F70" s="7"/>
      <c r="G70" s="7"/>
      <c r="H70" s="7"/>
      <c r="I70" s="7"/>
      <c r="J70" s="7"/>
      <c r="K70" s="7"/>
      <c r="L70" s="7"/>
      <c r="M70" s="7"/>
      <c r="N70" s="7"/>
      <c r="O70" s="7"/>
      <c r="P70" s="7"/>
    </row>
    <row r="71" spans="1:18" x14ac:dyDescent="0.35">
      <c r="A71" s="49" t="s">
        <v>153</v>
      </c>
    </row>
    <row r="72" spans="1:18" x14ac:dyDescent="0.35">
      <c r="A72" s="49" t="s">
        <v>155</v>
      </c>
    </row>
    <row r="73" spans="1:18" x14ac:dyDescent="0.35">
      <c r="A73" s="49" t="s">
        <v>167</v>
      </c>
      <c r="E73" s="65"/>
      <c r="F73" s="65"/>
      <c r="G73" s="65"/>
    </row>
    <row r="74" spans="1:18" x14ac:dyDescent="0.35">
      <c r="A74" s="89"/>
      <c r="E74" s="65"/>
      <c r="F74" s="65"/>
      <c r="G74" s="65"/>
      <c r="I74" s="59"/>
      <c r="J74" s="59"/>
      <c r="K74" s="59"/>
      <c r="L74" s="59"/>
      <c r="M74" s="59"/>
      <c r="N74" s="59"/>
      <c r="O74" s="59"/>
      <c r="P74" s="59"/>
      <c r="Q74" s="59"/>
      <c r="R74" s="59"/>
    </row>
    <row r="75" spans="1:18" x14ac:dyDescent="0.35">
      <c r="A75" s="85"/>
      <c r="E75" s="5"/>
      <c r="F75" s="65"/>
      <c r="G75" s="60"/>
      <c r="I75" s="62"/>
      <c r="J75" s="62"/>
      <c r="K75" s="62"/>
      <c r="L75" s="61"/>
      <c r="M75" s="61"/>
      <c r="N75" s="61"/>
      <c r="O75" s="59"/>
      <c r="P75" s="59"/>
      <c r="Q75" s="59"/>
      <c r="R75" s="59"/>
    </row>
    <row r="76" spans="1:18" x14ac:dyDescent="0.35">
      <c r="A76" s="85"/>
      <c r="E76" s="48"/>
      <c r="F76" s="48"/>
      <c r="G76" s="48"/>
      <c r="J76" s="48"/>
      <c r="K76" s="48"/>
      <c r="L76" s="81"/>
      <c r="M76" s="81"/>
      <c r="N76" s="81"/>
    </row>
    <row r="77" spans="1:18" x14ac:dyDescent="0.35">
      <c r="A77" s="85"/>
      <c r="E77" s="5"/>
      <c r="F77" s="65"/>
      <c r="G77" s="60"/>
      <c r="I77" s="78"/>
      <c r="J77" s="78"/>
      <c r="K77" s="78"/>
      <c r="L77" s="83"/>
      <c r="M77" s="81"/>
      <c r="N77" s="81"/>
      <c r="P77" s="77"/>
      <c r="Q77" s="77"/>
    </row>
    <row r="78" spans="1:18" x14ac:dyDescent="0.35">
      <c r="A78" s="85"/>
      <c r="E78" s="48"/>
      <c r="F78" s="48"/>
      <c r="G78" s="48"/>
      <c r="I78" s="78"/>
      <c r="J78" s="78"/>
      <c r="K78" s="78"/>
      <c r="L78" s="78"/>
      <c r="M78" s="78"/>
      <c r="N78" s="78"/>
      <c r="P78" s="78"/>
      <c r="Q78" s="78"/>
    </row>
    <row r="79" spans="1:18" x14ac:dyDescent="0.35">
      <c r="A79" s="85"/>
      <c r="E79" s="5"/>
      <c r="F79" s="65"/>
      <c r="G79" s="60"/>
      <c r="I79" s="79"/>
      <c r="J79" s="80"/>
      <c r="K79" s="80"/>
      <c r="L79" s="76"/>
      <c r="M79" s="78"/>
      <c r="N79" s="78"/>
      <c r="P79" s="78"/>
      <c r="Q79" s="78"/>
    </row>
    <row r="80" spans="1:18" x14ac:dyDescent="0.35">
      <c r="A80" s="85"/>
      <c r="E80" s="82"/>
      <c r="F80" s="82"/>
      <c r="G80" s="82"/>
      <c r="I80" s="48"/>
      <c r="J80" s="58"/>
      <c r="K80" s="58"/>
      <c r="L80" s="61"/>
    </row>
    <row r="81" spans="1:11" x14ac:dyDescent="0.35">
      <c r="A81" s="85"/>
      <c r="D81" s="75"/>
      <c r="E81" s="82"/>
      <c r="F81" s="82"/>
      <c r="G81" s="82"/>
    </row>
    <row r="82" spans="1:11" x14ac:dyDescent="0.35">
      <c r="A82" s="85"/>
      <c r="D82" s="75"/>
      <c r="E82" s="6"/>
      <c r="G82" s="58"/>
      <c r="H82" s="58"/>
      <c r="I82" s="58"/>
    </row>
    <row r="83" spans="1:11" x14ac:dyDescent="0.35">
      <c r="G83" s="61"/>
      <c r="H83" s="74"/>
      <c r="I83" s="61"/>
      <c r="J83" s="74"/>
      <c r="K83" s="74"/>
    </row>
    <row r="85" spans="1:11" x14ac:dyDescent="0.35">
      <c r="F85" s="71"/>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phoneticPr fontId="33" type="noConversion"/>
  <conditionalFormatting sqref="I59:K59">
    <cfRule type="top10" dxfId="64" priority="566" percent="1" rank="10"/>
  </conditionalFormatting>
  <conditionalFormatting sqref="I3:N58">
    <cfRule type="cellIs" dxfId="63" priority="1" operator="greaterThanOrEqual">
      <formula>0</formula>
    </cfRule>
    <cfRule type="cellIs" dxfId="62" priority="2" operator="lessThan">
      <formula>0</formula>
    </cfRule>
  </conditionalFormatting>
  <conditionalFormatting sqref="P4:Q9">
    <cfRule type="cellIs" dxfId="61" priority="487" operator="greaterThanOrEqual">
      <formula>0</formula>
    </cfRule>
    <cfRule type="cellIs" dxfId="60" priority="488" operator="lessThan">
      <formula>0</formula>
    </cfRule>
  </conditionalFormatting>
  <conditionalFormatting sqref="P11:Q16">
    <cfRule type="cellIs" dxfId="59" priority="145" operator="greaterThanOrEqual">
      <formula>0</formula>
    </cfRule>
    <cfRule type="cellIs" dxfId="58" priority="146" operator="lessThan">
      <formula>0</formula>
    </cfRule>
  </conditionalFormatting>
  <conditionalFormatting sqref="P18:Q23">
    <cfRule type="cellIs" dxfId="57" priority="139" operator="greaterThanOrEqual">
      <formula>0</formula>
    </cfRule>
    <cfRule type="cellIs" dxfId="56" priority="140" operator="lessThan">
      <formula>0</formula>
    </cfRule>
  </conditionalFormatting>
  <conditionalFormatting sqref="P25:Q30">
    <cfRule type="cellIs" dxfId="55" priority="133" operator="greaterThanOrEqual">
      <formula>0</formula>
    </cfRule>
    <cfRule type="cellIs" dxfId="54" priority="134" operator="lessThan">
      <formula>0</formula>
    </cfRule>
  </conditionalFormatting>
  <conditionalFormatting sqref="P32:Q37">
    <cfRule type="cellIs" dxfId="53" priority="127" operator="greaterThanOrEqual">
      <formula>0</formula>
    </cfRule>
    <cfRule type="cellIs" dxfId="52" priority="128" operator="lessThan">
      <formula>0</formula>
    </cfRule>
  </conditionalFormatting>
  <conditionalFormatting sqref="P39:Q44">
    <cfRule type="cellIs" dxfId="51" priority="121" operator="greaterThanOrEqual">
      <formula>0</formula>
    </cfRule>
    <cfRule type="cellIs" dxfId="50" priority="122" operator="lessThan">
      <formula>0</formula>
    </cfRule>
  </conditionalFormatting>
  <conditionalFormatting sqref="P46:Q51">
    <cfRule type="cellIs" dxfId="49" priority="115" operator="greaterThanOrEqual">
      <formula>0</formula>
    </cfRule>
    <cfRule type="cellIs" dxfId="48" priority="116" operator="lessThan">
      <formula>0</formula>
    </cfRule>
  </conditionalFormatting>
  <conditionalFormatting sqref="P53:Q58">
    <cfRule type="cellIs" dxfId="47" priority="109" operator="greaterThanOrEqual">
      <formula>0</formula>
    </cfRule>
    <cfRule type="cellIs" dxfId="46" priority="110"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heetViews>
  <sheetFormatPr defaultColWidth="8.81640625" defaultRowHeight="15.5" x14ac:dyDescent="0.35"/>
  <cols>
    <col min="1" max="1" width="44.54296875" style="16" customWidth="1"/>
    <col min="2" max="2" width="14.81640625" style="16" bestFit="1" customWidth="1"/>
    <col min="3" max="3" width="67.54296875" style="16" customWidth="1"/>
    <col min="4" max="4" width="15.54296875" style="16" customWidth="1"/>
    <col min="5" max="5" width="16.1796875" style="16" bestFit="1" customWidth="1"/>
    <col min="6" max="6" width="17" style="16" customWidth="1"/>
    <col min="7" max="7" width="17.81640625" style="16" customWidth="1"/>
    <col min="8" max="8" width="1.453125" style="16" customWidth="1"/>
    <col min="9" max="9" width="16.54296875" style="16" customWidth="1"/>
    <col min="10" max="12" width="17.453125" style="16" customWidth="1"/>
    <col min="13" max="14" width="16.54296875" style="16" customWidth="1"/>
    <col min="15" max="15" width="1.453125" style="16" customWidth="1"/>
    <col min="16" max="16" width="19.453125" style="16" customWidth="1"/>
    <col min="17" max="17" width="18.1796875" style="16" customWidth="1"/>
    <col min="18" max="18" width="1.453125" style="16" customWidth="1"/>
    <col min="19" max="19" width="15.453125" style="16" customWidth="1"/>
    <col min="20" max="20" width="14.453125" style="16" customWidth="1"/>
    <col min="21" max="21" width="17.45312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3"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+GCF_2024!A3</f>
        <v>Tikslinės pensijų fondų dalyvių grupės pensijų fondai, 1996-2002</v>
      </c>
      <c r="B3" s="107"/>
      <c r="C3" s="107"/>
      <c r="D3" s="44"/>
      <c r="E3" s="44"/>
      <c r="F3" s="45"/>
      <c r="G3" s="70" t="s">
        <v>98</v>
      </c>
      <c r="H3" s="45"/>
      <c r="I3" s="67">
        <v>9.011015938801803</v>
      </c>
      <c r="J3" s="67">
        <v>7.9482267423305357</v>
      </c>
      <c r="K3" s="67">
        <v>14.566219906373364</v>
      </c>
      <c r="L3" s="67">
        <v>10.301575807812204</v>
      </c>
      <c r="M3" s="67">
        <v>8.8862376554221338</v>
      </c>
      <c r="N3" s="67">
        <v>16.217609336145433</v>
      </c>
      <c r="O3" s="45"/>
      <c r="P3" s="45"/>
      <c r="Q3" s="45"/>
      <c r="R3" s="45"/>
      <c r="S3" s="45"/>
      <c r="T3" s="45"/>
      <c r="U3" s="45"/>
    </row>
    <row r="4" spans="1:23" customFormat="1" ht="14.5" x14ac:dyDescent="0.35">
      <c r="A4" s="32" t="str">
        <f>+GCF_2024!A4</f>
        <v xml:space="preserve">Luminor investicijų valdymas UAB </v>
      </c>
      <c r="B4" s="32" t="str">
        <f>+GCF_2024!B4</f>
        <v>LMN-96/02</v>
      </c>
      <c r="C4" s="32" t="str">
        <f>+GCF_2024!C4</f>
        <v>Luminor 1996–2002 tikslinės grupės pensijų fondas</v>
      </c>
      <c r="D4" s="66" t="s">
        <v>161</v>
      </c>
      <c r="E4" s="34">
        <v>90</v>
      </c>
      <c r="F4" s="33">
        <v>17.964447420000003</v>
      </c>
      <c r="G4" s="35">
        <v>14666</v>
      </c>
      <c r="H4" s="22"/>
      <c r="I4" s="36">
        <v>9.355172860287464</v>
      </c>
      <c r="J4" s="36">
        <v>5.3357527140219574</v>
      </c>
      <c r="K4" s="36">
        <v>13.503406746673075</v>
      </c>
      <c r="L4" s="36">
        <v>9.3137390839213907</v>
      </c>
      <c r="M4" s="36">
        <v>7.3169505008144675</v>
      </c>
      <c r="N4" s="36">
        <v>14.888144971921591</v>
      </c>
      <c r="O4" s="23"/>
      <c r="P4" s="36">
        <v>11.018596259322475</v>
      </c>
      <c r="Q4" s="36">
        <v>11.916672170909234</v>
      </c>
      <c r="R4" s="23"/>
      <c r="S4" s="93">
        <v>0.49</v>
      </c>
      <c r="T4" s="93">
        <v>0.70000000000000007</v>
      </c>
      <c r="U4" s="93" t="s">
        <v>91</v>
      </c>
      <c r="V4" s="58"/>
      <c r="W4" s="58"/>
    </row>
    <row r="5" spans="1:23" customFormat="1" ht="14.5" x14ac:dyDescent="0.35">
      <c r="A5" s="32" t="str">
        <f>+GCF_2024!A5</f>
        <v>UAB „SB Asset Management“</v>
      </c>
      <c r="B5" s="32" t="str">
        <f>+GCF_2024!B5</f>
        <v>INV-96/02</v>
      </c>
      <c r="C5" s="32" t="str">
        <f>+GCF_2024!C5</f>
        <v>INVL pensija 1996–2002 Index Plus</v>
      </c>
      <c r="D5" s="66" t="s">
        <v>161</v>
      </c>
      <c r="E5" s="34">
        <v>97</v>
      </c>
      <c r="F5" s="33">
        <v>39.1409569319</v>
      </c>
      <c r="G5" s="35">
        <v>19859</v>
      </c>
      <c r="H5" s="22"/>
      <c r="I5" s="36">
        <v>8.4422421802415428</v>
      </c>
      <c r="J5" s="36">
        <v>7.5337095391440956</v>
      </c>
      <c r="K5" s="36">
        <v>14.692617883763859</v>
      </c>
      <c r="L5" s="36">
        <v>10.532328404333624</v>
      </c>
      <c r="M5" s="36">
        <v>8.4953354337137021</v>
      </c>
      <c r="N5" s="36">
        <v>16.782548632854489</v>
      </c>
      <c r="O5" s="23"/>
      <c r="P5" s="36">
        <v>10.539487162640606</v>
      </c>
      <c r="Q5" s="36">
        <v>12.892925393682644</v>
      </c>
      <c r="R5" s="23"/>
      <c r="S5" s="93">
        <v>0.5</v>
      </c>
      <c r="T5" s="93">
        <v>1.2</v>
      </c>
      <c r="U5" s="93">
        <v>1.2</v>
      </c>
      <c r="V5" s="58"/>
      <c r="W5" s="58"/>
    </row>
    <row r="6" spans="1:23" customFormat="1" ht="14.5" x14ac:dyDescent="0.35">
      <c r="A6" s="32" t="str">
        <f>+GCF_2024!A6</f>
        <v>UAB „SEB investicijų valdymas“</v>
      </c>
      <c r="B6" s="32" t="str">
        <f>+GCF_2024!B6</f>
        <v>SBN-96/02</v>
      </c>
      <c r="C6" s="69" t="str">
        <f>+GCF_2024!C6</f>
        <v>SEB 1996–2002 metų tikslinės grupės pensijų kaupimo fondas</v>
      </c>
      <c r="D6" s="66" t="s">
        <v>161</v>
      </c>
      <c r="E6" s="34">
        <v>98</v>
      </c>
      <c r="F6" s="33">
        <v>48.911383799999996</v>
      </c>
      <c r="G6" s="35">
        <v>21723</v>
      </c>
      <c r="H6" s="22"/>
      <c r="I6" s="36">
        <v>8.4727968875440105</v>
      </c>
      <c r="J6" s="36">
        <v>7.0704201293413593</v>
      </c>
      <c r="K6" s="36">
        <v>14.459194529598696</v>
      </c>
      <c r="L6" s="36">
        <v>10.762943011395665</v>
      </c>
      <c r="M6" s="36">
        <v>9.9631109762150274</v>
      </c>
      <c r="N6" s="36">
        <v>17.556549487619932</v>
      </c>
      <c r="O6" s="23"/>
      <c r="P6" s="36">
        <v>11.848150467661139</v>
      </c>
      <c r="Q6" s="36">
        <v>13.470593989952571</v>
      </c>
      <c r="R6" s="23"/>
      <c r="S6" s="93">
        <v>0.5</v>
      </c>
      <c r="T6" s="93" t="s">
        <v>91</v>
      </c>
      <c r="U6" s="93">
        <v>0.89</v>
      </c>
      <c r="V6" s="58"/>
      <c r="W6" s="58"/>
    </row>
    <row r="7" spans="1:23" customFormat="1" ht="14.5" x14ac:dyDescent="0.35">
      <c r="A7" s="32" t="str">
        <f>+GCF_2024!A7</f>
        <v>UAB „Swedbank investicijų valdymas“</v>
      </c>
      <c r="B7" s="32" t="str">
        <f>+GCF_2024!B7</f>
        <v>SWD-96/02</v>
      </c>
      <c r="C7" s="32" t="str">
        <f>+GCF_2024!C7</f>
        <v xml:space="preserve">Swedbank pensija 1996–2002 [7] </v>
      </c>
      <c r="D7" s="66" t="s">
        <v>161</v>
      </c>
      <c r="E7" s="34">
        <v>97</v>
      </c>
      <c r="F7" s="33">
        <v>114.85712114</v>
      </c>
      <c r="G7" s="35">
        <v>49488</v>
      </c>
      <c r="H7" s="22"/>
      <c r="I7" s="36">
        <v>8.6797911818353271</v>
      </c>
      <c r="J7" s="36">
        <v>8.768320852888877</v>
      </c>
      <c r="K7" s="36">
        <v>14.711747425395384</v>
      </c>
      <c r="L7" s="36">
        <v>10.189151608214342</v>
      </c>
      <c r="M7" s="36">
        <v>8.8112656363534825</v>
      </c>
      <c r="N7" s="36">
        <v>15.907325595811027</v>
      </c>
      <c r="O7" s="23"/>
      <c r="P7" s="36">
        <v>13.122367657697396</v>
      </c>
      <c r="Q7" s="36">
        <v>13.255328450610021</v>
      </c>
      <c r="R7" s="23"/>
      <c r="S7" s="93">
        <v>0.5</v>
      </c>
      <c r="T7" s="93" t="s">
        <v>91</v>
      </c>
      <c r="U7" s="93">
        <v>0.84130000000000005</v>
      </c>
      <c r="V7" s="58"/>
      <c r="W7" s="58"/>
    </row>
    <row r="8" spans="1:23" customFormat="1" ht="14.5" x14ac:dyDescent="0.35">
      <c r="A8" s="32" t="str">
        <f>+GCF_2024!A8</f>
        <v>Allianz Lietuva gyvybės draudimas UAB</v>
      </c>
      <c r="B8" s="32" t="str">
        <f>+GCF_2024!B8</f>
        <v>AVI-96/02</v>
      </c>
      <c r="C8" s="32" t="str">
        <f>GCF_2024!C8</f>
        <v>Allianz Y3 1996–2002 tikslinės grupės pensijų fondas</v>
      </c>
      <c r="D8" s="66" t="s">
        <v>161</v>
      </c>
      <c r="E8" s="34">
        <v>90</v>
      </c>
      <c r="F8" s="33">
        <v>39.88667324</v>
      </c>
      <c r="G8" s="35">
        <v>20316</v>
      </c>
      <c r="H8" s="22"/>
      <c r="I8" s="36">
        <v>10.714975223630852</v>
      </c>
      <c r="J8" s="36">
        <v>8.2465053124941115</v>
      </c>
      <c r="K8" s="36">
        <v>14.633044249371618</v>
      </c>
      <c r="L8" s="36">
        <v>10.278025961833336</v>
      </c>
      <c r="M8" s="36">
        <v>8.8719815048207362</v>
      </c>
      <c r="N8" s="36">
        <v>15.513607517607152</v>
      </c>
      <c r="O8" s="23"/>
      <c r="P8" s="36">
        <v>11.869462023414048</v>
      </c>
      <c r="Q8" s="36">
        <v>13.043972179970162</v>
      </c>
      <c r="R8" s="23"/>
      <c r="S8" s="93">
        <v>0.5</v>
      </c>
      <c r="T8" s="93">
        <v>1.1100000000000001</v>
      </c>
      <c r="U8" s="93" t="s">
        <v>91</v>
      </c>
      <c r="V8" s="58"/>
      <c r="W8" s="58"/>
    </row>
    <row r="9" spans="1:23" customFormat="1" ht="14.5" x14ac:dyDescent="0.35">
      <c r="A9" s="32" t="str">
        <f>+GCF_2024!A9</f>
        <v>Goindex, UAB [11]</v>
      </c>
      <c r="B9" s="32" t="str">
        <f>+GCF_2024!B9</f>
        <v>GOX-96/02</v>
      </c>
      <c r="C9" s="32" t="str">
        <f>GCF_2024!C9</f>
        <v>Goindex pensija 1996–2002 tikslinės grupės pensijų fondas</v>
      </c>
      <c r="D9" s="66" t="s">
        <v>162</v>
      </c>
      <c r="E9" s="34">
        <v>100</v>
      </c>
      <c r="F9" s="33">
        <v>10.3685397721</v>
      </c>
      <c r="G9" s="35">
        <v>5820</v>
      </c>
      <c r="H9" s="22"/>
      <c r="I9" s="36">
        <v>10.214951493247115</v>
      </c>
      <c r="J9" s="36" t="s">
        <v>164</v>
      </c>
      <c r="K9" s="36" t="s">
        <v>164</v>
      </c>
      <c r="L9" s="36">
        <v>10.19330504479019</v>
      </c>
      <c r="M9" s="36" t="s">
        <v>164</v>
      </c>
      <c r="N9" s="36" t="s">
        <v>164</v>
      </c>
      <c r="O9" s="23"/>
      <c r="P9" s="36" t="s">
        <v>164</v>
      </c>
      <c r="Q9" s="36" t="s">
        <v>164</v>
      </c>
      <c r="R9" s="23"/>
      <c r="S9" s="93">
        <v>0.44</v>
      </c>
      <c r="T9" s="93">
        <v>0.56999999999999995</v>
      </c>
      <c r="U9" s="93"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
        <v>113</v>
      </c>
      <c r="B25" s="37"/>
      <c r="C25" s="37"/>
      <c r="D25" s="37"/>
      <c r="E25" s="37"/>
    </row>
    <row r="26" spans="1:5" s="55" customFormat="1" ht="13.5" x14ac:dyDescent="0.3">
      <c r="A26" s="53" t="s">
        <v>83</v>
      </c>
      <c r="B26" s="54"/>
      <c r="C26" s="54"/>
    </row>
    <row r="27" spans="1:5" s="55" customFormat="1" ht="13.5" x14ac:dyDescent="0.3">
      <c r="A27" s="53" t="s">
        <v>84</v>
      </c>
      <c r="B27" s="54"/>
      <c r="C27" s="54"/>
    </row>
    <row r="28" spans="1:5" x14ac:dyDescent="0.35">
      <c r="A28" s="18"/>
      <c r="B28" s="18"/>
      <c r="C28" s="18"/>
    </row>
    <row r="35" spans="1:3" x14ac:dyDescent="0.35">
      <c r="A35" s="37" t="s">
        <v>0</v>
      </c>
      <c r="B35" s="37" t="s">
        <v>73</v>
      </c>
      <c r="C35" s="37" t="s">
        <v>72</v>
      </c>
    </row>
    <row r="36" spans="1:3" x14ac:dyDescent="0.35">
      <c r="A36" s="32" t="str">
        <f>+B4</f>
        <v>LMN-96/02</v>
      </c>
      <c r="B36" s="33">
        <f>+P4</f>
        <v>11.018596259322475</v>
      </c>
      <c r="C36" s="33">
        <f>+J4</f>
        <v>5.3357527140219574</v>
      </c>
    </row>
    <row r="37" spans="1:3" x14ac:dyDescent="0.35">
      <c r="A37" s="32" t="str">
        <f>+B5</f>
        <v>INV-96/02</v>
      </c>
      <c r="B37" s="33">
        <f>+P5</f>
        <v>10.539487162640606</v>
      </c>
      <c r="C37" s="33">
        <f>+J5</f>
        <v>7.5337095391440956</v>
      </c>
    </row>
    <row r="38" spans="1:3" x14ac:dyDescent="0.35">
      <c r="A38" s="32" t="str">
        <f>+B6</f>
        <v>SBN-96/02</v>
      </c>
      <c r="B38" s="33">
        <f>+P6</f>
        <v>11.848150467661139</v>
      </c>
      <c r="C38" s="33">
        <f>+J6</f>
        <v>7.0704201293413593</v>
      </c>
    </row>
    <row r="39" spans="1:3" x14ac:dyDescent="0.35">
      <c r="A39" s="32" t="str">
        <f>+B7</f>
        <v>SWD-96/02</v>
      </c>
      <c r="B39" s="33">
        <f>+P7</f>
        <v>13.122367657697396</v>
      </c>
      <c r="C39" s="33">
        <f>+J7</f>
        <v>8.768320852888877</v>
      </c>
    </row>
    <row r="40" spans="1:3" x14ac:dyDescent="0.35">
      <c r="A40" s="32" t="str">
        <f>+B8</f>
        <v>AVI-96/02</v>
      </c>
      <c r="B40" s="33">
        <f>+P8</f>
        <v>11.869462023414048</v>
      </c>
      <c r="C40" s="33">
        <f>+J8</f>
        <v>8.2465053124941115</v>
      </c>
    </row>
    <row r="57" spans="1:5" x14ac:dyDescent="0.35">
      <c r="A57" s="37" t="s">
        <v>114</v>
      </c>
      <c r="B57" s="37"/>
      <c r="C57" s="37"/>
      <c r="D57" s="37"/>
      <c r="E57" s="37"/>
    </row>
    <row r="58" spans="1:5" s="55" customFormat="1" ht="13.5" x14ac:dyDescent="0.3">
      <c r="A58" s="53" t="s">
        <v>85</v>
      </c>
      <c r="B58" s="54"/>
      <c r="C58" s="54"/>
    </row>
    <row r="59" spans="1:5" s="55" customFormat="1" ht="13.5" x14ac:dyDescent="0.3">
      <c r="A59" s="53" t="s">
        <v>86</v>
      </c>
      <c r="B59" s="54"/>
      <c r="C59" s="54"/>
    </row>
    <row r="60" spans="1:5" s="55" customFormat="1" ht="13.5" x14ac:dyDescent="0.3">
      <c r="A60" s="53" t="s">
        <v>87</v>
      </c>
      <c r="B60" s="54"/>
      <c r="C60" s="54"/>
    </row>
    <row r="65" spans="1:4" x14ac:dyDescent="0.35">
      <c r="A65" s="37" t="s">
        <v>0</v>
      </c>
      <c r="B65" s="37" t="s">
        <v>77</v>
      </c>
      <c r="C65" s="37" t="s">
        <v>78</v>
      </c>
      <c r="D65" s="37" t="s">
        <v>79</v>
      </c>
    </row>
    <row r="66" spans="1:4" x14ac:dyDescent="0.35">
      <c r="A66" s="32" t="str">
        <f>+B4</f>
        <v>LMN-96/02</v>
      </c>
      <c r="B66" s="33">
        <f>+G4/1000</f>
        <v>14.666</v>
      </c>
      <c r="C66" s="33">
        <f>+J4</f>
        <v>5.3357527140219574</v>
      </c>
      <c r="D66" s="33">
        <f>+F4</f>
        <v>17.964447420000003</v>
      </c>
    </row>
    <row r="67" spans="1:4" x14ac:dyDescent="0.35">
      <c r="A67" s="32" t="str">
        <f>+B5</f>
        <v>INV-96/02</v>
      </c>
      <c r="B67" s="33">
        <f>+G5/1000</f>
        <v>19.859000000000002</v>
      </c>
      <c r="C67" s="33">
        <f>+J5</f>
        <v>7.5337095391440956</v>
      </c>
      <c r="D67" s="33">
        <f>+F5</f>
        <v>39.1409569319</v>
      </c>
    </row>
    <row r="68" spans="1:4" x14ac:dyDescent="0.35">
      <c r="A68" s="32" t="str">
        <f>+B6</f>
        <v>SBN-96/02</v>
      </c>
      <c r="B68" s="33">
        <f>+G6/1000</f>
        <v>21.722999999999999</v>
      </c>
      <c r="C68" s="33">
        <f>+J6</f>
        <v>7.0704201293413593</v>
      </c>
      <c r="D68" s="33">
        <f>+F6</f>
        <v>48.911383799999996</v>
      </c>
    </row>
    <row r="69" spans="1:4" x14ac:dyDescent="0.35">
      <c r="A69" s="32" t="str">
        <f>+B7</f>
        <v>SWD-96/02</v>
      </c>
      <c r="B69" s="33">
        <f>+G7/1000</f>
        <v>49.488</v>
      </c>
      <c r="C69" s="33">
        <f>+J7</f>
        <v>8.768320852888877</v>
      </c>
      <c r="D69" s="33">
        <f>+F7</f>
        <v>114.85712114</v>
      </c>
    </row>
    <row r="70" spans="1:4" x14ac:dyDescent="0.35">
      <c r="A70" s="32" t="str">
        <f>+B8</f>
        <v>AVI-96/02</v>
      </c>
      <c r="B70" s="33">
        <f>+G8/1000</f>
        <v>20.315999999999999</v>
      </c>
      <c r="C70" s="33">
        <f>+J8</f>
        <v>8.2465053124941115</v>
      </c>
      <c r="D70" s="33">
        <f>+F8</f>
        <v>39.88667324</v>
      </c>
    </row>
  </sheetData>
  <mergeCells count="7">
    <mergeCell ref="S1:U1"/>
    <mergeCell ref="P1:Q1"/>
    <mergeCell ref="A3:C3"/>
    <mergeCell ref="D1:D2"/>
    <mergeCell ref="F1:F2"/>
    <mergeCell ref="G1:G2"/>
    <mergeCell ref="I1:M1"/>
  </mergeCells>
  <conditionalFormatting sqref="I3:N9">
    <cfRule type="cellIs" dxfId="45" priority="7" operator="greaterThanOrEqual">
      <formula>0</formula>
    </cfRule>
    <cfRule type="cellIs" dxfId="44" priority="8" operator="lessThan">
      <formula>0</formula>
    </cfRule>
  </conditionalFormatting>
  <conditionalFormatting sqref="P4:Q9 S4:U9">
    <cfRule type="cellIs" dxfId="43" priority="11" operator="greaterThanOrEqual">
      <formula>0</formula>
    </cfRule>
    <cfRule type="cellIs" dxfId="42" priority="12" operator="lessThan">
      <formula>0</formula>
    </cfRule>
  </conditionalFormatting>
  <hyperlinks>
    <hyperlink ref="C1" location="GCF_2024!A1" display="Grįžti į pagrindinį puslapį"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heetViews>
  <sheetFormatPr defaultColWidth="8.81640625" defaultRowHeight="15.5" x14ac:dyDescent="0.35"/>
  <cols>
    <col min="1" max="1" width="45.54296875" style="16" customWidth="1"/>
    <col min="2" max="2" width="14.81640625" style="16" bestFit="1" customWidth="1"/>
    <col min="3" max="3" width="78.1796875" style="16" customWidth="1"/>
    <col min="4" max="4" width="13.1796875" style="16" customWidth="1"/>
    <col min="5" max="5" width="16.1796875" style="16" bestFit="1" customWidth="1"/>
    <col min="6" max="6" width="19.453125" style="16" customWidth="1"/>
    <col min="7" max="7" width="13.54296875" style="16" customWidth="1"/>
    <col min="8" max="8" width="1.54296875" style="16" customWidth="1"/>
    <col min="9" max="9" width="16.81640625" style="16" customWidth="1"/>
    <col min="10" max="11" width="15.54296875" style="16" customWidth="1"/>
    <col min="12" max="12" width="13.54296875" style="16" customWidth="1"/>
    <col min="13" max="14" width="15.54296875" style="16" customWidth="1"/>
    <col min="15" max="15" width="1.54296875" style="16" customWidth="1"/>
    <col min="16" max="16" width="19.453125" style="16" customWidth="1"/>
    <col min="17" max="17" width="15.54296875" style="16" customWidth="1"/>
    <col min="18" max="18" width="1.54296875" style="16" customWidth="1"/>
    <col min="19" max="19" width="9.1796875" style="16" customWidth="1"/>
    <col min="20" max="20" width="12.54296875" style="16" customWidth="1"/>
    <col min="21" max="21" width="13"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100"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+GCF_2024!A10</f>
        <v>Tikslinės pensijų fondų dalyvių grupės pensijų fondai, 1989-1995</v>
      </c>
      <c r="B3" s="107">
        <f>+GCF_2024!B10</f>
        <v>0</v>
      </c>
      <c r="C3" s="107">
        <f>+GCF_2024!C10</f>
        <v>0</v>
      </c>
      <c r="D3" s="44"/>
      <c r="E3" s="44"/>
      <c r="F3" s="45"/>
      <c r="G3" s="70" t="s">
        <v>98</v>
      </c>
      <c r="H3" s="45"/>
      <c r="I3" s="67">
        <v>8.610481553583293</v>
      </c>
      <c r="J3" s="67">
        <v>7.9523500910891585</v>
      </c>
      <c r="K3" s="67">
        <v>14.696810013998613</v>
      </c>
      <c r="L3" s="67">
        <v>10.316087447928282</v>
      </c>
      <c r="M3" s="67">
        <v>8.9039090929024667</v>
      </c>
      <c r="N3" s="67">
        <v>16.272016086786937</v>
      </c>
      <c r="O3" s="45"/>
      <c r="P3" s="45"/>
      <c r="Q3" s="45"/>
      <c r="R3" s="45"/>
      <c r="S3" s="45"/>
      <c r="T3" s="45"/>
      <c r="U3" s="45"/>
    </row>
    <row r="4" spans="1:23" customFormat="1" ht="14.5" x14ac:dyDescent="0.35">
      <c r="A4" s="32" t="str">
        <f>+GCF_2024!A11</f>
        <v xml:space="preserve">Luminor investicijų valdymas UAB </v>
      </c>
      <c r="B4" s="32" t="str">
        <f>+GCF_2024!B11</f>
        <v>LMN-89/95</v>
      </c>
      <c r="C4" s="32" t="str">
        <f>+GCF_2024!C11</f>
        <v>Luminor 1989–1995 tikslinės grupės pensijų fondas</v>
      </c>
      <c r="D4" s="66" t="s">
        <v>161</v>
      </c>
      <c r="E4" s="34">
        <v>90</v>
      </c>
      <c r="F4" s="33">
        <v>60.414196880000006</v>
      </c>
      <c r="G4" s="35">
        <v>18922</v>
      </c>
      <c r="H4" s="22"/>
      <c r="I4" s="36">
        <v>9.4199596380444071</v>
      </c>
      <c r="J4" s="36">
        <v>5.3723645651584606</v>
      </c>
      <c r="K4" s="36">
        <v>13.377642410728496</v>
      </c>
      <c r="L4" s="36">
        <v>9.3137390839213907</v>
      </c>
      <c r="M4" s="36">
        <v>7.3169505008144675</v>
      </c>
      <c r="N4" s="36">
        <v>14.888144971921591</v>
      </c>
      <c r="O4" s="22"/>
      <c r="P4" s="36">
        <v>10.943006976476946</v>
      </c>
      <c r="Q4" s="36">
        <v>11.916672170909234</v>
      </c>
      <c r="R4" s="23"/>
      <c r="S4" s="36">
        <v>0.49</v>
      </c>
      <c r="T4" s="36">
        <v>0.71000000000000008</v>
      </c>
      <c r="U4" s="36" t="s">
        <v>91</v>
      </c>
      <c r="V4" s="58"/>
      <c r="W4" s="58"/>
    </row>
    <row r="5" spans="1:23" customFormat="1" ht="14.5" x14ac:dyDescent="0.35">
      <c r="A5" s="32" t="str">
        <f>+GCF_2024!A12</f>
        <v>UAB „SB Asset Management“</v>
      </c>
      <c r="B5" s="32" t="str">
        <f>+GCF_2024!B12</f>
        <v>INV-89/95</v>
      </c>
      <c r="C5" s="32" t="str">
        <f>+GCF_2024!C12</f>
        <v>INVL pensija 1989–1995 Index Plus</v>
      </c>
      <c r="D5" s="66" t="s">
        <v>161</v>
      </c>
      <c r="E5" s="34">
        <v>97</v>
      </c>
      <c r="F5" s="33">
        <v>146.24353772009999</v>
      </c>
      <c r="G5" s="35">
        <v>36626</v>
      </c>
      <c r="H5" s="22"/>
      <c r="I5" s="36">
        <v>8.1441263573543754</v>
      </c>
      <c r="J5" s="36">
        <v>7.6409375453010853</v>
      </c>
      <c r="K5" s="36">
        <v>14.833329786702842</v>
      </c>
      <c r="L5" s="36">
        <v>10.532328404333624</v>
      </c>
      <c r="M5" s="36">
        <v>8.4953354337137021</v>
      </c>
      <c r="N5" s="36">
        <v>16.782548632854489</v>
      </c>
      <c r="O5" s="22"/>
      <c r="P5" s="36">
        <v>10.24063635288304</v>
      </c>
      <c r="Q5" s="36">
        <v>12.892925393682644</v>
      </c>
      <c r="R5" s="23"/>
      <c r="S5" s="36">
        <v>0.5</v>
      </c>
      <c r="T5" s="36">
        <v>1.37</v>
      </c>
      <c r="U5" s="36">
        <v>1.37</v>
      </c>
      <c r="V5" s="58"/>
      <c r="W5" s="58"/>
    </row>
    <row r="6" spans="1:23" customFormat="1" ht="14.5" x14ac:dyDescent="0.35">
      <c r="A6" s="32" t="str">
        <f>+GCF_2024!A13</f>
        <v>UAB „SEB investicijų valdymas“</v>
      </c>
      <c r="B6" s="32" t="str">
        <f>+GCF_2024!B13</f>
        <v>SBN-89/95</v>
      </c>
      <c r="C6" s="32" t="str">
        <f>+GCF_2024!C13</f>
        <v>SEB 1989–1995 metų tikslinės grupės pensijų kaupimo fondas</v>
      </c>
      <c r="D6" s="66" t="s">
        <v>161</v>
      </c>
      <c r="E6" s="34">
        <v>98</v>
      </c>
      <c r="F6" s="33">
        <v>184.13743133000003</v>
      </c>
      <c r="G6" s="35">
        <v>46062</v>
      </c>
      <c r="H6" s="22"/>
      <c r="I6" s="36">
        <v>8.2862640432002976</v>
      </c>
      <c r="J6" s="36">
        <v>6.8928546918258338</v>
      </c>
      <c r="K6" s="36">
        <v>14.40202416865981</v>
      </c>
      <c r="L6" s="36">
        <v>10.762943011395665</v>
      </c>
      <c r="M6" s="36">
        <v>9.9631109762150274</v>
      </c>
      <c r="N6" s="36">
        <v>17.556549487619932</v>
      </c>
      <c r="O6" s="22"/>
      <c r="P6" s="36">
        <v>11.799116467732654</v>
      </c>
      <c r="Q6" s="36">
        <v>13.470593989952571</v>
      </c>
      <c r="R6" s="23"/>
      <c r="S6" s="36">
        <v>0.5</v>
      </c>
      <c r="T6" s="36" t="s">
        <v>91</v>
      </c>
      <c r="U6" s="36">
        <v>0.88</v>
      </c>
      <c r="V6" s="58"/>
      <c r="W6" s="58"/>
    </row>
    <row r="7" spans="1:23" customFormat="1" ht="14.5" x14ac:dyDescent="0.35">
      <c r="A7" s="32" t="str">
        <f>+GCF_2024!A14</f>
        <v>UAB „Swedbank investicijų valdymas“</v>
      </c>
      <c r="B7" s="32" t="str">
        <f>+GCF_2024!B14</f>
        <v>SWD-89/95</v>
      </c>
      <c r="C7" s="32" t="str">
        <f>+GCF_2024!C14</f>
        <v xml:space="preserve">Swedbank pensija 1989–1995 [7] </v>
      </c>
      <c r="D7" s="66" t="s">
        <v>161</v>
      </c>
      <c r="E7" s="34">
        <v>97</v>
      </c>
      <c r="F7" s="33">
        <v>385.96673786000002</v>
      </c>
      <c r="G7" s="35">
        <v>95911</v>
      </c>
      <c r="H7" s="22"/>
      <c r="I7" s="36">
        <v>8.3343684014408161</v>
      </c>
      <c r="J7" s="36">
        <v>8.8546465449245169</v>
      </c>
      <c r="K7" s="36">
        <v>14.952957024353065</v>
      </c>
      <c r="L7" s="36">
        <v>10.189151608214342</v>
      </c>
      <c r="M7" s="36">
        <v>8.8112656363534825</v>
      </c>
      <c r="N7" s="36">
        <v>15.907325595811027</v>
      </c>
      <c r="O7" s="22"/>
      <c r="P7" s="36">
        <v>12.776215764763684</v>
      </c>
      <c r="Q7" s="36">
        <v>13.255328450610021</v>
      </c>
      <c r="R7" s="23"/>
      <c r="S7" s="36">
        <v>0.5</v>
      </c>
      <c r="T7" s="36" t="s">
        <v>91</v>
      </c>
      <c r="U7" s="36">
        <v>0.82230000000000003</v>
      </c>
      <c r="V7" s="58"/>
      <c r="W7" s="58"/>
    </row>
    <row r="8" spans="1:23" customFormat="1" ht="14.5" x14ac:dyDescent="0.35">
      <c r="A8" s="32" t="str">
        <f>+GCF_2024!A15</f>
        <v>Allianz Lietuva gyvybės draudimas UAB</v>
      </c>
      <c r="B8" s="32" t="str">
        <f>+GCF_2024!B15</f>
        <v>AVI-89/95</v>
      </c>
      <c r="C8" s="32" t="str">
        <f>+GCF_2024!C15</f>
        <v>Allianz Y2 1989–1995 tikslinės grupės pensijų fondas</v>
      </c>
      <c r="D8" s="66" t="s">
        <v>161</v>
      </c>
      <c r="E8" s="34">
        <v>90</v>
      </c>
      <c r="F8" s="33">
        <v>114.48829687999999</v>
      </c>
      <c r="G8" s="35">
        <v>33894</v>
      </c>
      <c r="H8" s="22"/>
      <c r="I8" s="36">
        <v>10.038709677419355</v>
      </c>
      <c r="J8" s="36">
        <v>8.3737570791325702</v>
      </c>
      <c r="K8" s="36">
        <v>14.829122220045111</v>
      </c>
      <c r="L8" s="36">
        <v>10.278025961833336</v>
      </c>
      <c r="M8" s="36">
        <v>8.8719815048207362</v>
      </c>
      <c r="N8" s="36">
        <v>15.513607517607152</v>
      </c>
      <c r="O8" s="22"/>
      <c r="P8" s="36">
        <v>11.732258253150867</v>
      </c>
      <c r="Q8" s="36">
        <v>13.043972179970162</v>
      </c>
      <c r="R8" s="23"/>
      <c r="S8" s="36">
        <v>0.5</v>
      </c>
      <c r="T8" s="36">
        <v>0.94</v>
      </c>
      <c r="U8" s="36" t="s">
        <v>91</v>
      </c>
      <c r="V8" s="58"/>
      <c r="W8" s="58"/>
    </row>
    <row r="9" spans="1:23" customFormat="1" ht="27" x14ac:dyDescent="0.35">
      <c r="A9" s="32" t="str">
        <f>+GCF_2024!A16</f>
        <v>Goindex, UAB</v>
      </c>
      <c r="B9" s="32" t="str">
        <f>+GCF_2024!B16</f>
        <v>GOX-89/95</v>
      </c>
      <c r="C9" s="32" t="str">
        <f>+GCF_2024!C16</f>
        <v>Goindex pensija 1989–1995 tikslinės grupės pensijų fondas</v>
      </c>
      <c r="D9" s="66" t="s">
        <v>162</v>
      </c>
      <c r="E9" s="34">
        <v>100</v>
      </c>
      <c r="F9" s="33">
        <v>13.813249131100001</v>
      </c>
      <c r="G9" s="35">
        <v>4333</v>
      </c>
      <c r="H9" s="22"/>
      <c r="I9" s="36">
        <v>10.207001812458261</v>
      </c>
      <c r="J9" s="36" t="s">
        <v>164</v>
      </c>
      <c r="K9" s="36" t="s">
        <v>164</v>
      </c>
      <c r="L9" s="36">
        <v>10.19330504479019</v>
      </c>
      <c r="M9" s="36" t="s">
        <v>164</v>
      </c>
      <c r="N9" s="36" t="s">
        <v>164</v>
      </c>
      <c r="O9" s="22"/>
      <c r="P9" s="36" t="s">
        <v>164</v>
      </c>
      <c r="Q9" s="36" t="s">
        <v>164</v>
      </c>
      <c r="R9" s="23"/>
      <c r="S9" s="36">
        <v>0.44</v>
      </c>
      <c r="T9" s="36">
        <v>0.56000000000000005</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LMN-89/95</v>
      </c>
      <c r="B36" s="33">
        <f>+P4</f>
        <v>10.943006976476946</v>
      </c>
      <c r="C36" s="33">
        <f>+J4</f>
        <v>5.3723645651584606</v>
      </c>
    </row>
    <row r="37" spans="1:3" x14ac:dyDescent="0.35">
      <c r="A37" s="32" t="str">
        <f>+B5</f>
        <v>INV-89/95</v>
      </c>
      <c r="B37" s="33">
        <f>+P5</f>
        <v>10.24063635288304</v>
      </c>
      <c r="C37" s="33">
        <f>+J5</f>
        <v>7.6409375453010853</v>
      </c>
    </row>
    <row r="38" spans="1:3" x14ac:dyDescent="0.35">
      <c r="A38" s="32" t="str">
        <f>+B6</f>
        <v>SBN-89/95</v>
      </c>
      <c r="B38" s="33">
        <f>+P6</f>
        <v>11.799116467732654</v>
      </c>
      <c r="C38" s="33">
        <f>+J6</f>
        <v>6.8928546918258338</v>
      </c>
    </row>
    <row r="39" spans="1:3" x14ac:dyDescent="0.35">
      <c r="A39" s="32" t="str">
        <f>+B7</f>
        <v>SWD-89/95</v>
      </c>
      <c r="B39" s="33">
        <f>+P7</f>
        <v>12.776215764763684</v>
      </c>
      <c r="C39" s="33">
        <f>+J7</f>
        <v>8.8546465449245169</v>
      </c>
    </row>
    <row r="40" spans="1:3" x14ac:dyDescent="0.35">
      <c r="A40" s="32" t="str">
        <f>+B8</f>
        <v>AVI-89/95</v>
      </c>
      <c r="B40" s="33">
        <f>+P8</f>
        <v>11.732258253150867</v>
      </c>
      <c r="C40" s="33">
        <f>+J8</f>
        <v>8.3737570791325702</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LMN-89/95</v>
      </c>
      <c r="B66" s="33">
        <f>+G4/1000</f>
        <v>18.922000000000001</v>
      </c>
      <c r="C66" s="33">
        <f>+J4</f>
        <v>5.3723645651584606</v>
      </c>
      <c r="D66" s="33">
        <f>+F4</f>
        <v>60.414196880000006</v>
      </c>
    </row>
    <row r="67" spans="1:4" x14ac:dyDescent="0.35">
      <c r="A67" s="32" t="str">
        <f>+B5</f>
        <v>INV-89/95</v>
      </c>
      <c r="B67" s="33">
        <f>+G5/1000</f>
        <v>36.625999999999998</v>
      </c>
      <c r="C67" s="33">
        <f>+J5</f>
        <v>7.6409375453010853</v>
      </c>
      <c r="D67" s="33">
        <f>+F5</f>
        <v>146.24353772009999</v>
      </c>
    </row>
    <row r="68" spans="1:4" x14ac:dyDescent="0.35">
      <c r="A68" s="32" t="str">
        <f>+B6</f>
        <v>SBN-89/95</v>
      </c>
      <c r="B68" s="33">
        <f>+G6/1000</f>
        <v>46.061999999999998</v>
      </c>
      <c r="C68" s="33">
        <f>+J6</f>
        <v>6.8928546918258338</v>
      </c>
      <c r="D68" s="33">
        <f>+F6</f>
        <v>184.13743133000003</v>
      </c>
    </row>
    <row r="69" spans="1:4" x14ac:dyDescent="0.35">
      <c r="A69" s="32" t="str">
        <f>+B7</f>
        <v>SWD-89/95</v>
      </c>
      <c r="B69" s="33">
        <f>+G7/1000</f>
        <v>95.911000000000001</v>
      </c>
      <c r="C69" s="33">
        <f>+J7</f>
        <v>8.8546465449245169</v>
      </c>
      <c r="D69" s="33">
        <f>+F7</f>
        <v>385.96673786000002</v>
      </c>
    </row>
    <row r="70" spans="1:4" x14ac:dyDescent="0.35">
      <c r="A70" s="32" t="str">
        <f>+B8</f>
        <v>AVI-89/95</v>
      </c>
      <c r="B70" s="33">
        <f>+G8/1000</f>
        <v>33.893999999999998</v>
      </c>
      <c r="C70" s="33">
        <f>+J8</f>
        <v>8.3737570791325702</v>
      </c>
      <c r="D70" s="33">
        <f>+F8</f>
        <v>114.48829687999999</v>
      </c>
    </row>
  </sheetData>
  <mergeCells count="7">
    <mergeCell ref="S1:U1"/>
    <mergeCell ref="P1:Q1"/>
    <mergeCell ref="A3:C3"/>
    <mergeCell ref="D1:D2"/>
    <mergeCell ref="F1:F2"/>
    <mergeCell ref="G1:G2"/>
    <mergeCell ref="I1:M1"/>
  </mergeCells>
  <conditionalFormatting sqref="I3:N9">
    <cfRule type="cellIs" dxfId="41" priority="9" operator="greaterThanOrEqual">
      <formula>0</formula>
    </cfRule>
    <cfRule type="cellIs" dxfId="40" priority="10" operator="lessThan">
      <formula>0</formula>
    </cfRule>
  </conditionalFormatting>
  <conditionalFormatting sqref="P4:Q9">
    <cfRule type="cellIs" dxfId="39" priority="13" operator="greaterThanOrEqual">
      <formula>0</formula>
    </cfRule>
    <cfRule type="cellIs" dxfId="38" priority="14" operator="lessThan">
      <formula>0</formula>
    </cfRule>
  </conditionalFormatting>
  <conditionalFormatting sqref="S4:U9">
    <cfRule type="cellIs" dxfId="37" priority="15" operator="greaterThanOrEqual">
      <formula>0</formula>
    </cfRule>
    <cfRule type="cellIs" dxfId="36" priority="16" operator="lessThan">
      <formula>0</formula>
    </cfRule>
  </conditionalFormatting>
  <hyperlinks>
    <hyperlink ref="C1" location="GCF_2024!A1" display="Grįžti į pagrindinį puslapį"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heetViews>
  <sheetFormatPr defaultColWidth="8.81640625" defaultRowHeight="15.5" x14ac:dyDescent="0.35"/>
  <cols>
    <col min="1" max="1" width="43.453125" style="16" customWidth="1"/>
    <col min="2" max="2" width="14.81640625" style="16" bestFit="1" customWidth="1"/>
    <col min="3" max="3" width="69.54296875" style="16" customWidth="1"/>
    <col min="4" max="4" width="13.54296875" style="16" customWidth="1"/>
    <col min="5" max="5" width="16.1796875" style="16" bestFit="1" customWidth="1"/>
    <col min="6" max="6" width="19.453125" style="16" customWidth="1"/>
    <col min="7" max="7" width="15.1796875" style="16" customWidth="1"/>
    <col min="8" max="8" width="1.453125" style="16" customWidth="1"/>
    <col min="9" max="9" width="16" style="16" customWidth="1"/>
    <col min="10" max="11" width="18.453125" style="16" customWidth="1"/>
    <col min="12" max="12" width="17.453125" style="16" customWidth="1"/>
    <col min="13" max="13" width="16.81640625" style="16" customWidth="1"/>
    <col min="14" max="14" width="17.453125" style="16" customWidth="1"/>
    <col min="15" max="15" width="1.453125" style="16" customWidth="1"/>
    <col min="16" max="16" width="19.54296875" style="16" customWidth="1"/>
    <col min="17" max="17" width="22.453125" style="16" customWidth="1"/>
    <col min="18" max="18" width="1.453125" style="16" customWidth="1"/>
    <col min="19" max="20" width="8.81640625" style="16"/>
    <col min="21" max="21" width="14.5429687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+GCF_2024!A17</f>
        <v>Tikslinės pensijų fondų dalyvių grupės pensijų fondai, 1982-1988</v>
      </c>
      <c r="B3" s="107"/>
      <c r="C3" s="107"/>
      <c r="D3" s="44"/>
      <c r="E3" s="44"/>
      <c r="F3" s="45"/>
      <c r="G3" s="70" t="s">
        <v>98</v>
      </c>
      <c r="H3" s="45"/>
      <c r="I3" s="67">
        <v>8.5770439369386615</v>
      </c>
      <c r="J3" s="67">
        <v>7.8543104254318106</v>
      </c>
      <c r="K3" s="67">
        <v>14.725251325731666</v>
      </c>
      <c r="L3" s="67">
        <v>10.343092689268929</v>
      </c>
      <c r="M3" s="67">
        <v>8.9575176053356103</v>
      </c>
      <c r="N3" s="67">
        <v>16.363271342393059</v>
      </c>
      <c r="O3" s="45"/>
      <c r="P3" s="45"/>
      <c r="Q3" s="45"/>
      <c r="R3" s="45"/>
      <c r="S3" s="45"/>
      <c r="T3" s="45"/>
      <c r="U3" s="45"/>
    </row>
    <row r="4" spans="1:23" customFormat="1" ht="14.5" x14ac:dyDescent="0.35">
      <c r="A4" s="32" t="str">
        <f>+GCF_2024!A18</f>
        <v xml:space="preserve">Luminor investicijų valdymas UAB </v>
      </c>
      <c r="B4" s="32" t="str">
        <f>+GCF_2024!B18</f>
        <v>LMN-82/88</v>
      </c>
      <c r="C4" s="32" t="str">
        <f>+GCF_2024!C18</f>
        <v>Luminor 1982–1988 tikslinės grupės pensijų fondas</v>
      </c>
      <c r="D4" s="66" t="s">
        <v>161</v>
      </c>
      <c r="E4" s="34">
        <v>90</v>
      </c>
      <c r="F4" s="33">
        <v>117.31881745</v>
      </c>
      <c r="G4" s="35">
        <v>26132</v>
      </c>
      <c r="H4" s="22"/>
      <c r="I4" s="36">
        <v>9.4285340656466552</v>
      </c>
      <c r="J4" s="36">
        <v>5.5212435677058469</v>
      </c>
      <c r="K4" s="36">
        <v>13.322931916670179</v>
      </c>
      <c r="L4" s="36">
        <v>9.3137390839213907</v>
      </c>
      <c r="M4" s="36">
        <v>7.3169505008144675</v>
      </c>
      <c r="N4" s="36">
        <v>14.888144971921591</v>
      </c>
      <c r="O4" s="22"/>
      <c r="P4" s="36">
        <v>10.883093793679285</v>
      </c>
      <c r="Q4" s="36">
        <v>11.916672170909234</v>
      </c>
      <c r="R4" s="23"/>
      <c r="S4" s="36">
        <v>0.49</v>
      </c>
      <c r="T4" s="36">
        <v>0.72</v>
      </c>
      <c r="U4" s="36" t="s">
        <v>91</v>
      </c>
      <c r="V4" s="58"/>
      <c r="W4" s="58"/>
    </row>
    <row r="5" spans="1:23" customFormat="1" ht="14.5" x14ac:dyDescent="0.35">
      <c r="A5" s="32" t="str">
        <f>+GCF_2024!A19</f>
        <v>UAB „SB Asset Management“</v>
      </c>
      <c r="B5" s="32" t="str">
        <f>+GCF_2024!B19</f>
        <v>INV-82/88</v>
      </c>
      <c r="C5" s="32" t="str">
        <f>+GCF_2024!C19</f>
        <v>INVL pensija 1982–1988 Index Plus</v>
      </c>
      <c r="D5" s="66" t="s">
        <v>161</v>
      </c>
      <c r="E5" s="34">
        <v>97</v>
      </c>
      <c r="F5" s="33">
        <v>253.8462096536</v>
      </c>
      <c r="G5" s="35">
        <v>44292</v>
      </c>
      <c r="H5" s="22"/>
      <c r="I5" s="36">
        <v>8.057749259624881</v>
      </c>
      <c r="J5" s="36">
        <v>7.735064115358159</v>
      </c>
      <c r="K5" s="36">
        <v>14.867413264460772</v>
      </c>
      <c r="L5" s="36">
        <v>10.532328404333624</v>
      </c>
      <c r="M5" s="36">
        <v>8.4953354337137021</v>
      </c>
      <c r="N5" s="36">
        <v>16.782548632854489</v>
      </c>
      <c r="O5" s="22"/>
      <c r="P5" s="36">
        <v>10.174667248543075</v>
      </c>
      <c r="Q5" s="36">
        <v>12.892925393682644</v>
      </c>
      <c r="R5" s="23"/>
      <c r="S5" s="36">
        <v>0.5</v>
      </c>
      <c r="T5" s="36">
        <v>1.38</v>
      </c>
      <c r="U5" s="36">
        <v>1.38</v>
      </c>
      <c r="V5" s="58"/>
      <c r="W5" s="58"/>
    </row>
    <row r="6" spans="1:23" customFormat="1" ht="14.5" x14ac:dyDescent="0.35">
      <c r="A6" s="32" t="str">
        <f>+GCF_2024!A20</f>
        <v>UAB „SEB investicijų valdymas“</v>
      </c>
      <c r="B6" s="32" t="str">
        <f>+GCF_2024!B20</f>
        <v>SBN-82/88</v>
      </c>
      <c r="C6" s="32" t="str">
        <f>+GCF_2024!C20</f>
        <v>SEB 1982–1988 metų tikslinės grupės pensijų kaupimo fondas</v>
      </c>
      <c r="D6" s="66" t="s">
        <v>161</v>
      </c>
      <c r="E6" s="34">
        <v>98</v>
      </c>
      <c r="F6" s="33">
        <v>404.37063704000002</v>
      </c>
      <c r="G6" s="35">
        <v>73986</v>
      </c>
      <c r="H6" s="22"/>
      <c r="I6" s="36">
        <v>8.2377735077171046</v>
      </c>
      <c r="J6" s="36">
        <v>6.8457941517000132</v>
      </c>
      <c r="K6" s="36">
        <v>14.402980377335851</v>
      </c>
      <c r="L6" s="36">
        <v>10.762943011395665</v>
      </c>
      <c r="M6" s="36">
        <v>9.9631109762150274</v>
      </c>
      <c r="N6" s="36">
        <v>17.556549487619932</v>
      </c>
      <c r="O6" s="22"/>
      <c r="P6" s="36">
        <v>11.741186147852439</v>
      </c>
      <c r="Q6" s="36">
        <v>13.470593989952571</v>
      </c>
      <c r="R6" s="23"/>
      <c r="S6" s="36">
        <v>0.5</v>
      </c>
      <c r="T6" s="36" t="s">
        <v>91</v>
      </c>
      <c r="U6" s="36">
        <v>0.88</v>
      </c>
      <c r="V6" s="58"/>
      <c r="W6" s="58"/>
    </row>
    <row r="7" spans="1:23" customFormat="1" ht="14.5" x14ac:dyDescent="0.35">
      <c r="A7" s="32" t="str">
        <f>+GCF_2024!A21</f>
        <v>UAB „Swedbank investicijų valdymas“</v>
      </c>
      <c r="B7" s="32" t="str">
        <f>+GCF_2024!B21</f>
        <v>SWD-82/88</v>
      </c>
      <c r="C7" s="32" t="str">
        <f>+GCF_2024!C21</f>
        <v xml:space="preserve">Swedbank pensija 1982–1988 [7] </v>
      </c>
      <c r="D7" s="66" t="s">
        <v>161</v>
      </c>
      <c r="E7" s="34">
        <v>97</v>
      </c>
      <c r="F7" s="33">
        <v>547.78485548000003</v>
      </c>
      <c r="G7" s="35">
        <v>113847</v>
      </c>
      <c r="H7" s="22"/>
      <c r="I7" s="36">
        <v>8.2984486579660288</v>
      </c>
      <c r="J7" s="36">
        <v>9.0033483021246354</v>
      </c>
      <c r="K7" s="36">
        <v>15.18448047306129</v>
      </c>
      <c r="L7" s="36">
        <v>10.189151608214342</v>
      </c>
      <c r="M7" s="36">
        <v>8.8112656363534825</v>
      </c>
      <c r="N7" s="36">
        <v>15.907325595811027</v>
      </c>
      <c r="O7" s="22"/>
      <c r="P7" s="36">
        <v>12.734842279375705</v>
      </c>
      <c r="Q7" s="36">
        <v>13.255328450610021</v>
      </c>
      <c r="R7" s="23"/>
      <c r="S7" s="36">
        <v>0.5</v>
      </c>
      <c r="T7" s="36" t="s">
        <v>91</v>
      </c>
      <c r="U7" s="36">
        <v>0.82509999999999994</v>
      </c>
      <c r="V7" s="58"/>
      <c r="W7" s="58"/>
    </row>
    <row r="8" spans="1:23" customFormat="1" ht="14.5" x14ac:dyDescent="0.35">
      <c r="A8" s="32" t="str">
        <f>+GCF_2024!A22</f>
        <v>Allianz Lietuva gyvybės draudimas UAB</v>
      </c>
      <c r="B8" s="32" t="str">
        <f>+GCF_2024!B22</f>
        <v>AVI-82/88</v>
      </c>
      <c r="C8" s="32" t="str">
        <f>+GCF_2024!C22</f>
        <v>Allianz Y1 1982–1988 tikslinės grupės pensijų fondas</v>
      </c>
      <c r="D8" s="66" t="s">
        <v>161</v>
      </c>
      <c r="E8" s="34">
        <v>90</v>
      </c>
      <c r="F8" s="33">
        <v>195.53420259999999</v>
      </c>
      <c r="G8" s="35">
        <v>47768</v>
      </c>
      <c r="H8" s="22"/>
      <c r="I8" s="36">
        <v>10.105181648060913</v>
      </c>
      <c r="J8" s="36">
        <v>8.2755752904078115</v>
      </c>
      <c r="K8" s="36">
        <v>14.762018919121612</v>
      </c>
      <c r="L8" s="36">
        <v>10.278025961833336</v>
      </c>
      <c r="M8" s="36">
        <v>8.8719815048207362</v>
      </c>
      <c r="N8" s="36">
        <v>15.513607517607152</v>
      </c>
      <c r="O8" s="22"/>
      <c r="P8" s="36">
        <v>11.691744548644721</v>
      </c>
      <c r="Q8" s="36">
        <v>13.043972179970162</v>
      </c>
      <c r="R8" s="23"/>
      <c r="S8" s="36">
        <v>0.5</v>
      </c>
      <c r="T8" s="36">
        <v>0.98</v>
      </c>
      <c r="U8" s="36" t="s">
        <v>91</v>
      </c>
      <c r="V8" s="58"/>
      <c r="W8" s="58"/>
    </row>
    <row r="9" spans="1:23" customFormat="1" ht="14.5" x14ac:dyDescent="0.35">
      <c r="A9" s="32" t="str">
        <f>+GCF_2024!A23</f>
        <v>Goindex, UAB</v>
      </c>
      <c r="B9" s="32" t="str">
        <f>+GCF_2024!B23</f>
        <v>GOX-82/88</v>
      </c>
      <c r="C9" s="32" t="str">
        <f>+GCF_2024!C23</f>
        <v>Goindex pensija 1982–1988 tikslinės grupės pensijų fondas</v>
      </c>
      <c r="D9" s="66" t="s">
        <v>162</v>
      </c>
      <c r="E9" s="34">
        <v>100</v>
      </c>
      <c r="F9" s="33">
        <v>14.132638807999999</v>
      </c>
      <c r="G9" s="35">
        <v>3162</v>
      </c>
      <c r="H9" s="22"/>
      <c r="I9" s="36">
        <v>10.199052132701425</v>
      </c>
      <c r="J9" s="36" t="s">
        <v>164</v>
      </c>
      <c r="K9" s="36" t="s">
        <v>164</v>
      </c>
      <c r="L9" s="36">
        <v>10.19330504479019</v>
      </c>
      <c r="M9" s="36" t="s">
        <v>164</v>
      </c>
      <c r="N9" s="36" t="s">
        <v>164</v>
      </c>
      <c r="O9" s="22"/>
      <c r="P9" s="36" t="s">
        <v>164</v>
      </c>
      <c r="Q9" s="36" t="s">
        <v>164</v>
      </c>
      <c r="R9" s="23"/>
      <c r="S9" s="36">
        <v>0.44</v>
      </c>
      <c r="T9" s="36">
        <v>0.56000000000000005</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LMN-82/88</v>
      </c>
      <c r="B36" s="33">
        <f>+P4</f>
        <v>10.883093793679285</v>
      </c>
      <c r="C36" s="33">
        <f>+J4</f>
        <v>5.5212435677058469</v>
      </c>
    </row>
    <row r="37" spans="1:3" x14ac:dyDescent="0.35">
      <c r="A37" s="32" t="str">
        <f>+B5</f>
        <v>INV-82/88</v>
      </c>
      <c r="B37" s="33">
        <f>+P5</f>
        <v>10.174667248543075</v>
      </c>
      <c r="C37" s="33">
        <f>+J5</f>
        <v>7.735064115358159</v>
      </c>
    </row>
    <row r="38" spans="1:3" x14ac:dyDescent="0.35">
      <c r="A38" s="32" t="str">
        <f>+B6</f>
        <v>SBN-82/88</v>
      </c>
      <c r="B38" s="33">
        <f>+P6</f>
        <v>11.741186147852439</v>
      </c>
      <c r="C38" s="33">
        <f>+J6</f>
        <v>6.8457941517000132</v>
      </c>
    </row>
    <row r="39" spans="1:3" x14ac:dyDescent="0.35">
      <c r="A39" s="32" t="str">
        <f>+B7</f>
        <v>SWD-82/88</v>
      </c>
      <c r="B39" s="33">
        <f>+P7</f>
        <v>12.734842279375705</v>
      </c>
      <c r="C39" s="33">
        <f>+J7</f>
        <v>9.0033483021246354</v>
      </c>
    </row>
    <row r="40" spans="1:3" x14ac:dyDescent="0.35">
      <c r="A40" s="32" t="str">
        <f>+B8</f>
        <v>AVI-82/88</v>
      </c>
      <c r="B40" s="33">
        <f>+P8</f>
        <v>11.691744548644721</v>
      </c>
      <c r="C40" s="33">
        <f>+J8</f>
        <v>8.2755752904078115</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LMN-82/88</v>
      </c>
      <c r="B66" s="33">
        <f>+G4/1000</f>
        <v>26.132000000000001</v>
      </c>
      <c r="C66" s="33">
        <f>+J4</f>
        <v>5.5212435677058469</v>
      </c>
      <c r="D66" s="33">
        <f>+F4</f>
        <v>117.31881745</v>
      </c>
    </row>
    <row r="67" spans="1:4" x14ac:dyDescent="0.35">
      <c r="A67" s="32" t="str">
        <f>+B5</f>
        <v>INV-82/88</v>
      </c>
      <c r="B67" s="33">
        <f>+G5/1000</f>
        <v>44.292000000000002</v>
      </c>
      <c r="C67" s="33">
        <f>+J5</f>
        <v>7.735064115358159</v>
      </c>
      <c r="D67" s="33">
        <f>+F5</f>
        <v>253.8462096536</v>
      </c>
    </row>
    <row r="68" spans="1:4" x14ac:dyDescent="0.35">
      <c r="A68" s="32" t="str">
        <f>+B6</f>
        <v>SBN-82/88</v>
      </c>
      <c r="B68" s="33">
        <f>+G6/1000</f>
        <v>73.986000000000004</v>
      </c>
      <c r="C68" s="33">
        <f>+J6</f>
        <v>6.8457941517000132</v>
      </c>
      <c r="D68" s="33">
        <f>+F6</f>
        <v>404.37063704000002</v>
      </c>
    </row>
    <row r="69" spans="1:4" x14ac:dyDescent="0.35">
      <c r="A69" s="32" t="str">
        <f>+B7</f>
        <v>SWD-82/88</v>
      </c>
      <c r="B69" s="33">
        <f>+G7/1000</f>
        <v>113.84699999999999</v>
      </c>
      <c r="C69" s="33">
        <f>+J7</f>
        <v>9.0033483021246354</v>
      </c>
      <c r="D69" s="33">
        <f>+F7</f>
        <v>547.78485548000003</v>
      </c>
    </row>
    <row r="70" spans="1:4" x14ac:dyDescent="0.35">
      <c r="A70" s="32" t="str">
        <f>+B8</f>
        <v>AVI-82/88</v>
      </c>
      <c r="B70" s="33">
        <f>+G8/1000</f>
        <v>47.768000000000001</v>
      </c>
      <c r="C70" s="33">
        <f>+J8</f>
        <v>8.2755752904078115</v>
      </c>
      <c r="D70" s="33">
        <f>+F8</f>
        <v>195.53420259999999</v>
      </c>
    </row>
  </sheetData>
  <mergeCells count="7">
    <mergeCell ref="S1:U1"/>
    <mergeCell ref="P1:Q1"/>
    <mergeCell ref="A3:C3"/>
    <mergeCell ref="D1:D2"/>
    <mergeCell ref="F1:F2"/>
    <mergeCell ref="G1:G2"/>
    <mergeCell ref="I1:M1"/>
  </mergeCells>
  <conditionalFormatting sqref="I3:N9">
    <cfRule type="cellIs" dxfId="35" priority="1" operator="greaterThanOrEqual">
      <formula>0</formula>
    </cfRule>
    <cfRule type="cellIs" dxfId="34" priority="2" operator="lessThan">
      <formula>0</formula>
    </cfRule>
  </conditionalFormatting>
  <conditionalFormatting sqref="P4:Q9">
    <cfRule type="cellIs" dxfId="33" priority="9" operator="greaterThanOrEqual">
      <formula>0</formula>
    </cfRule>
    <cfRule type="cellIs" dxfId="32" priority="10" operator="lessThan">
      <formula>0</formula>
    </cfRule>
  </conditionalFormatting>
  <conditionalFormatting sqref="S4:U9">
    <cfRule type="cellIs" dxfId="31" priority="15" operator="greaterThanOrEqual">
      <formula>0</formula>
    </cfRule>
    <cfRule type="cellIs" dxfId="30" priority="16" operator="lessThan">
      <formula>0</formula>
    </cfRule>
  </conditionalFormatting>
  <hyperlinks>
    <hyperlink ref="C1" location="GCF_2024!A1" display="Grįžti į pagrindinį puslapį"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heetViews>
  <sheetFormatPr defaultColWidth="8.81640625" defaultRowHeight="15.5" x14ac:dyDescent="0.35"/>
  <cols>
    <col min="1" max="1" width="42.453125" style="16" customWidth="1"/>
    <col min="2" max="2" width="14.81640625" style="16" bestFit="1" customWidth="1"/>
    <col min="3" max="3" width="67.1796875" style="16" customWidth="1"/>
    <col min="4" max="4" width="13.453125" style="16" customWidth="1"/>
    <col min="5" max="5" width="15.1796875" style="16" customWidth="1"/>
    <col min="6" max="6" width="13" style="16" customWidth="1"/>
    <col min="7" max="7" width="14.453125" style="16" customWidth="1"/>
    <col min="8" max="8" width="1.1796875" style="16" customWidth="1"/>
    <col min="9" max="9" width="18.453125" style="16" customWidth="1"/>
    <col min="10" max="11" width="17.453125" style="16" customWidth="1"/>
    <col min="12" max="12" width="18.453125" style="16" customWidth="1"/>
    <col min="13" max="14" width="17.453125" style="16" customWidth="1"/>
    <col min="15" max="15" width="1.1796875" style="16" customWidth="1"/>
    <col min="16" max="17" width="18.453125" style="16" customWidth="1"/>
    <col min="18" max="18" width="1.1796875" style="16" customWidth="1"/>
    <col min="19" max="20" width="8.81640625" style="16"/>
    <col min="21" max="21" width="12.45312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+GCF_2024!A24</f>
        <v>Tikslinės pensijų fondų dalyvių grupės pensijų fondai, 1975-1981</v>
      </c>
      <c r="B3" s="107"/>
      <c r="C3" s="107"/>
      <c r="D3" s="44"/>
      <c r="E3" s="44"/>
      <c r="F3" s="45"/>
      <c r="G3" s="70" t="s">
        <v>98</v>
      </c>
      <c r="H3" s="45"/>
      <c r="I3" s="67">
        <v>8.4923243454722446</v>
      </c>
      <c r="J3" s="67">
        <v>7.8048318669255954</v>
      </c>
      <c r="K3" s="67">
        <v>14.6827109381643</v>
      </c>
      <c r="L3" s="67">
        <v>10.347139422138625</v>
      </c>
      <c r="M3" s="67">
        <v>8.9885568806047065</v>
      </c>
      <c r="N3" s="67">
        <v>16.370226835297128</v>
      </c>
      <c r="O3" s="45"/>
      <c r="P3" s="45"/>
      <c r="Q3" s="45"/>
      <c r="R3" s="45"/>
      <c r="S3" s="45"/>
      <c r="T3" s="45"/>
      <c r="U3" s="45"/>
    </row>
    <row r="4" spans="1:23" customFormat="1" ht="14.5" x14ac:dyDescent="0.35">
      <c r="A4" s="32" t="str">
        <f>+GCF_2024!A25</f>
        <v xml:space="preserve">Luminor investicijų valdymas UAB </v>
      </c>
      <c r="B4" s="32" t="str">
        <f>+GCF_2024!B25</f>
        <v>LMN-75/81</v>
      </c>
      <c r="C4" s="32" t="str">
        <f>+GCF_2024!C25</f>
        <v>Luminor 1975–1981 tikslinės grupės pensijų fondas</v>
      </c>
      <c r="D4" s="66" t="s">
        <v>161</v>
      </c>
      <c r="E4" s="34">
        <v>90</v>
      </c>
      <c r="F4" s="33">
        <v>132.63730889000001</v>
      </c>
      <c r="G4" s="35">
        <v>19508</v>
      </c>
      <c r="H4" s="22"/>
      <c r="I4" s="36">
        <v>9.4129158512720181</v>
      </c>
      <c r="J4" s="36">
        <v>5.6781453279032723</v>
      </c>
      <c r="K4" s="36">
        <v>13.469467815137115</v>
      </c>
      <c r="L4" s="36">
        <v>9.3137390839213907</v>
      </c>
      <c r="M4" s="36">
        <v>7.3169505008144675</v>
      </c>
      <c r="N4" s="36">
        <v>14.888144971921591</v>
      </c>
      <c r="O4" s="23"/>
      <c r="P4" s="36">
        <v>10.905828680902596</v>
      </c>
      <c r="Q4" s="36">
        <v>11.916672170909234</v>
      </c>
      <c r="R4" s="23"/>
      <c r="S4" s="36">
        <v>0.49</v>
      </c>
      <c r="T4" s="36">
        <v>0.72</v>
      </c>
      <c r="U4" s="36" t="s">
        <v>91</v>
      </c>
      <c r="V4" s="58"/>
      <c r="W4" s="58"/>
    </row>
    <row r="5" spans="1:23" customFormat="1" ht="14.5" x14ac:dyDescent="0.35">
      <c r="A5" s="32" t="str">
        <f>+GCF_2024!A26</f>
        <v>UAB „SB Asset Management“</v>
      </c>
      <c r="B5" s="32" t="str">
        <f>+GCF_2024!B26</f>
        <v>INV-75/81</v>
      </c>
      <c r="C5" s="32" t="str">
        <f>+GCF_2024!C26</f>
        <v>INVL pensija 1975–1981 Index Plus</v>
      </c>
      <c r="D5" s="66" t="s">
        <v>161</v>
      </c>
      <c r="E5" s="34">
        <v>97</v>
      </c>
      <c r="F5" s="33">
        <v>255.68835309479999</v>
      </c>
      <c r="G5" s="35">
        <v>27850</v>
      </c>
      <c r="H5" s="22"/>
      <c r="I5" s="36">
        <v>7.9167178479302214</v>
      </c>
      <c r="J5" s="36">
        <v>7.6956918161098065</v>
      </c>
      <c r="K5" s="36">
        <v>14.815518681824113</v>
      </c>
      <c r="L5" s="36">
        <v>10.532328404333624</v>
      </c>
      <c r="M5" s="36">
        <v>8.4953354337137021</v>
      </c>
      <c r="N5" s="36">
        <v>16.782548632854489</v>
      </c>
      <c r="O5" s="23"/>
      <c r="P5" s="36">
        <v>10.126082045548648</v>
      </c>
      <c r="Q5" s="36">
        <v>12.892925393682644</v>
      </c>
      <c r="R5" s="23"/>
      <c r="S5" s="36">
        <v>0.5</v>
      </c>
      <c r="T5" s="36">
        <v>1.39</v>
      </c>
      <c r="U5" s="36">
        <v>1.39</v>
      </c>
      <c r="V5" s="58"/>
      <c r="W5" s="58"/>
    </row>
    <row r="6" spans="1:23" customFormat="1" ht="14.5" x14ac:dyDescent="0.35">
      <c r="A6" s="32" t="str">
        <f>+GCF_2024!A27</f>
        <v>UAB „SEB investicijų valdymas“</v>
      </c>
      <c r="B6" s="32" t="str">
        <f>+GCF_2024!B27</f>
        <v>SBN-75/81</v>
      </c>
      <c r="C6" s="32" t="str">
        <f>+GCF_2024!C27</f>
        <v>SEB 1975–1981 metų tikslinės grupės pensijų kaupimo fondas</v>
      </c>
      <c r="D6" s="66" t="s">
        <v>161</v>
      </c>
      <c r="E6" s="34">
        <v>98</v>
      </c>
      <c r="F6" s="33">
        <v>505.11624323000001</v>
      </c>
      <c r="G6" s="35">
        <v>62799</v>
      </c>
      <c r="H6" s="22"/>
      <c r="I6" s="36">
        <v>8.1809899787427689</v>
      </c>
      <c r="J6" s="36">
        <v>6.8090968918264494</v>
      </c>
      <c r="K6" s="36">
        <v>14.373633812959795</v>
      </c>
      <c r="L6" s="36">
        <v>10.763139565263247</v>
      </c>
      <c r="M6" s="36">
        <v>9.9630213086171473</v>
      </c>
      <c r="N6" s="36">
        <v>17.556670584892942</v>
      </c>
      <c r="O6" s="23"/>
      <c r="P6" s="36">
        <v>11.724379815907305</v>
      </c>
      <c r="Q6" s="36">
        <v>13.470690300510423</v>
      </c>
      <c r="R6" s="23"/>
      <c r="S6" s="36">
        <v>0.5</v>
      </c>
      <c r="T6" s="36" t="s">
        <v>91</v>
      </c>
      <c r="U6" s="36">
        <v>0.87</v>
      </c>
      <c r="V6" s="58"/>
      <c r="W6" s="58"/>
    </row>
    <row r="7" spans="1:23" customFormat="1" ht="14.5" x14ac:dyDescent="0.35">
      <c r="A7" s="32" t="str">
        <f>+GCF_2024!A28</f>
        <v>UAB „Swedbank investicijų valdymas“</v>
      </c>
      <c r="B7" s="32" t="str">
        <f>+GCF_2024!B28</f>
        <v>SWD-75/81</v>
      </c>
      <c r="C7" s="32" t="str">
        <f>+GCF_2024!C28</f>
        <v xml:space="preserve">Swedbank pensija 1975–1981 [7] </v>
      </c>
      <c r="D7" s="66" t="s">
        <v>161</v>
      </c>
      <c r="E7" s="34">
        <v>97</v>
      </c>
      <c r="F7" s="33">
        <v>658.27322794000008</v>
      </c>
      <c r="G7" s="35">
        <v>98543</v>
      </c>
      <c r="H7" s="22"/>
      <c r="I7" s="36">
        <v>8.2402320844392243</v>
      </c>
      <c r="J7" s="36">
        <v>8.9758873155062258</v>
      </c>
      <c r="K7" s="36">
        <v>15.17345987784009</v>
      </c>
      <c r="L7" s="36">
        <v>10.189151608214342</v>
      </c>
      <c r="M7" s="36">
        <v>8.8112656363534825</v>
      </c>
      <c r="N7" s="36">
        <v>15.907325595811027</v>
      </c>
      <c r="O7" s="23"/>
      <c r="P7" s="36">
        <v>12.609514678028191</v>
      </c>
      <c r="Q7" s="36">
        <v>13.255328450610021</v>
      </c>
      <c r="R7" s="23"/>
      <c r="S7" s="36">
        <v>0.5</v>
      </c>
      <c r="T7" s="36" t="s">
        <v>91</v>
      </c>
      <c r="U7" s="36">
        <v>0.83079999999999998</v>
      </c>
      <c r="V7" s="58"/>
      <c r="W7" s="58"/>
    </row>
    <row r="8" spans="1:23" customFormat="1" ht="14.5" x14ac:dyDescent="0.35">
      <c r="A8" s="32" t="str">
        <f>+GCF_2024!A29</f>
        <v>Allianz Lietuva gyvybės draudimas UAB</v>
      </c>
      <c r="B8" s="32" t="str">
        <f>+GCF_2024!B29</f>
        <v>AVI-75/81</v>
      </c>
      <c r="C8" s="32" t="str">
        <f>+GCF_2024!C29</f>
        <v>Allianz X3 1975–1981 tikslinės grupės pensijų fondas</v>
      </c>
      <c r="D8" s="66" t="s">
        <v>161</v>
      </c>
      <c r="E8" s="34">
        <v>90</v>
      </c>
      <c r="F8" s="33">
        <v>237.47193615</v>
      </c>
      <c r="G8" s="35">
        <v>39988</v>
      </c>
      <c r="H8" s="22"/>
      <c r="I8" s="36">
        <v>9.8617271067049206</v>
      </c>
      <c r="J8" s="36">
        <v>7.9819950280184848</v>
      </c>
      <c r="K8" s="36">
        <v>14.514425357510952</v>
      </c>
      <c r="L8" s="36">
        <v>10.278025961833336</v>
      </c>
      <c r="M8" s="36">
        <v>8.8719815048207362</v>
      </c>
      <c r="N8" s="36">
        <v>15.513607517607152</v>
      </c>
      <c r="O8" s="23"/>
      <c r="P8" s="36">
        <v>11.744352519418623</v>
      </c>
      <c r="Q8" s="36">
        <v>13.043972179970162</v>
      </c>
      <c r="R8" s="23"/>
      <c r="S8" s="36">
        <v>0.5</v>
      </c>
      <c r="T8" s="36">
        <v>0.99</v>
      </c>
      <c r="U8" s="36" t="s">
        <v>91</v>
      </c>
      <c r="V8" s="58"/>
      <c r="W8" s="58"/>
    </row>
    <row r="9" spans="1:23" customFormat="1" ht="14.5" x14ac:dyDescent="0.35">
      <c r="A9" s="32" t="str">
        <f>+GCF_2024!A30</f>
        <v>Goindex, UAB</v>
      </c>
      <c r="B9" s="32" t="str">
        <f>+GCF_2024!B30</f>
        <v>GOX-75/81</v>
      </c>
      <c r="C9" s="32" t="str">
        <f>+GCF_2024!C30</f>
        <v>Goindex pensija 1975–1981 tikslinės grupės pensijų fondas</v>
      </c>
      <c r="D9" s="66" t="s">
        <v>162</v>
      </c>
      <c r="E9" s="34">
        <v>100</v>
      </c>
      <c r="F9" s="33">
        <v>13.299993022000001</v>
      </c>
      <c r="G9" s="35">
        <v>1168</v>
      </c>
      <c r="H9" s="22"/>
      <c r="I9" s="36">
        <v>10.227814317033657</v>
      </c>
      <c r="J9" s="36" t="s">
        <v>164</v>
      </c>
      <c r="K9" s="36" t="s">
        <v>164</v>
      </c>
      <c r="L9" s="36">
        <v>10.19330504479019</v>
      </c>
      <c r="M9" s="36" t="s">
        <v>164</v>
      </c>
      <c r="N9" s="36" t="s">
        <v>164</v>
      </c>
      <c r="O9" s="23"/>
      <c r="P9" s="36" t="s">
        <v>164</v>
      </c>
      <c r="Q9" s="36" t="s">
        <v>164</v>
      </c>
      <c r="R9" s="23"/>
      <c r="S9" s="36">
        <v>0.45</v>
      </c>
      <c r="T9" s="36">
        <v>0.56999999999999995</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LMN-75/81</v>
      </c>
      <c r="B36" s="33">
        <f>+P4</f>
        <v>10.905828680902596</v>
      </c>
      <c r="C36" s="33">
        <f>+J4</f>
        <v>5.6781453279032723</v>
      </c>
    </row>
    <row r="37" spans="1:3" x14ac:dyDescent="0.35">
      <c r="A37" s="32" t="str">
        <f>+B5</f>
        <v>INV-75/81</v>
      </c>
      <c r="B37" s="33">
        <f>+P5</f>
        <v>10.126082045548648</v>
      </c>
      <c r="C37" s="33">
        <f>+J5</f>
        <v>7.6956918161098065</v>
      </c>
    </row>
    <row r="38" spans="1:3" x14ac:dyDescent="0.35">
      <c r="A38" s="32" t="str">
        <f>+B6</f>
        <v>SBN-75/81</v>
      </c>
      <c r="B38" s="33">
        <f>+P6</f>
        <v>11.724379815907305</v>
      </c>
      <c r="C38" s="33">
        <f>+J6</f>
        <v>6.8090968918264494</v>
      </c>
    </row>
    <row r="39" spans="1:3" x14ac:dyDescent="0.35">
      <c r="A39" s="32" t="str">
        <f>+B7</f>
        <v>SWD-75/81</v>
      </c>
      <c r="B39" s="33">
        <f>+P7</f>
        <v>12.609514678028191</v>
      </c>
      <c r="C39" s="33">
        <f>+J7</f>
        <v>8.9758873155062258</v>
      </c>
    </row>
    <row r="40" spans="1:3" x14ac:dyDescent="0.35">
      <c r="A40" s="32" t="str">
        <f>+B8</f>
        <v>AVI-75/81</v>
      </c>
      <c r="B40" s="33">
        <f>+P8</f>
        <v>11.744352519418623</v>
      </c>
      <c r="C40" s="33">
        <f>+J8</f>
        <v>7.9819950280184848</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INV-75/81</v>
      </c>
      <c r="B66" s="33">
        <f>+G5/1000</f>
        <v>27.85</v>
      </c>
      <c r="C66" s="33">
        <f>+J5</f>
        <v>7.6956918161098065</v>
      </c>
      <c r="D66" s="33">
        <f>+F5</f>
        <v>255.68835309479999</v>
      </c>
    </row>
    <row r="67" spans="1:4" x14ac:dyDescent="0.35">
      <c r="A67" s="32" t="str">
        <f>+B4</f>
        <v>LMN-75/81</v>
      </c>
      <c r="B67" s="33">
        <f>+G4/1000</f>
        <v>19.507999999999999</v>
      </c>
      <c r="C67" s="33">
        <f>+J4</f>
        <v>5.6781453279032723</v>
      </c>
      <c r="D67" s="33">
        <f>+F4</f>
        <v>132.63730889000001</v>
      </c>
    </row>
    <row r="68" spans="1:4" x14ac:dyDescent="0.35">
      <c r="A68" s="32" t="str">
        <f>+B6</f>
        <v>SBN-75/81</v>
      </c>
      <c r="B68" s="33">
        <f>+G6/1000</f>
        <v>62.798999999999999</v>
      </c>
      <c r="C68" s="33">
        <f>+J6</f>
        <v>6.8090968918264494</v>
      </c>
      <c r="D68" s="33">
        <f>+F6</f>
        <v>505.11624323000001</v>
      </c>
    </row>
    <row r="69" spans="1:4" x14ac:dyDescent="0.35">
      <c r="A69" s="32" t="str">
        <f>+B7</f>
        <v>SWD-75/81</v>
      </c>
      <c r="B69" s="33">
        <f>+G7/1000</f>
        <v>98.543000000000006</v>
      </c>
      <c r="C69" s="33">
        <f>+J7</f>
        <v>8.9758873155062258</v>
      </c>
      <c r="D69" s="33">
        <f>+F7</f>
        <v>658.27322794000008</v>
      </c>
    </row>
    <row r="70" spans="1:4" x14ac:dyDescent="0.35">
      <c r="A70" s="32" t="str">
        <f>+B8</f>
        <v>AVI-75/81</v>
      </c>
      <c r="B70" s="33">
        <f>+G8/1000</f>
        <v>39.988</v>
      </c>
      <c r="C70" s="33">
        <f>+J8</f>
        <v>7.9819950280184848</v>
      </c>
      <c r="D70" s="33">
        <f>+F8</f>
        <v>237.47193615</v>
      </c>
    </row>
  </sheetData>
  <mergeCells count="7">
    <mergeCell ref="S1:U1"/>
    <mergeCell ref="P1:Q1"/>
    <mergeCell ref="A3:C3"/>
    <mergeCell ref="D1:D2"/>
    <mergeCell ref="F1:F2"/>
    <mergeCell ref="G1:G2"/>
    <mergeCell ref="I1:M1"/>
  </mergeCells>
  <conditionalFormatting sqref="I3:N9">
    <cfRule type="cellIs" dxfId="29" priority="5" operator="greaterThanOrEqual">
      <formula>0</formula>
    </cfRule>
    <cfRule type="cellIs" dxfId="28" priority="6" operator="lessThan">
      <formula>0</formula>
    </cfRule>
  </conditionalFormatting>
  <conditionalFormatting sqref="P4:Q9">
    <cfRule type="cellIs" dxfId="27" priority="3" operator="greaterThanOrEqual">
      <formula>0</formula>
    </cfRule>
    <cfRule type="cellIs" dxfId="26" priority="4" operator="lessThan">
      <formula>0</formula>
    </cfRule>
  </conditionalFormatting>
  <conditionalFormatting sqref="S4:U9">
    <cfRule type="cellIs" dxfId="25" priority="9" operator="greaterThanOrEqual">
      <formula>0</formula>
    </cfRule>
    <cfRule type="cellIs" dxfId="24" priority="10" operator="lessThan">
      <formula>0</formula>
    </cfRule>
  </conditionalFormatting>
  <hyperlinks>
    <hyperlink ref="C1" location="GCF_2024!A1" display="Grįžti į pagrindinį puslapį"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heetViews>
  <sheetFormatPr defaultColWidth="8.81640625" defaultRowHeight="15.5" x14ac:dyDescent="0.35"/>
  <cols>
    <col min="1" max="1" width="44.81640625" style="16" customWidth="1"/>
    <col min="2" max="2" width="14.81640625" style="16" bestFit="1" customWidth="1"/>
    <col min="3" max="3" width="68.453125" style="16" customWidth="1"/>
    <col min="4" max="4" width="13.453125" style="16" customWidth="1"/>
    <col min="5" max="5" width="17.54296875" style="16" customWidth="1"/>
    <col min="6" max="6" width="17" style="16" customWidth="1"/>
    <col min="7" max="7" width="13.453125" style="16" customWidth="1"/>
    <col min="8" max="8" width="1.81640625" style="16" customWidth="1"/>
    <col min="9" max="9" width="16.54296875" style="16" customWidth="1"/>
    <col min="10" max="11" width="17" style="16" customWidth="1"/>
    <col min="12" max="12" width="18.54296875" style="16" customWidth="1"/>
    <col min="13" max="13" width="17.54296875" style="16" customWidth="1"/>
    <col min="14" max="14" width="18.1796875" style="16" customWidth="1"/>
    <col min="15" max="15" width="1.81640625" style="16" customWidth="1"/>
    <col min="16" max="16" width="17.81640625" style="16" customWidth="1"/>
    <col min="17" max="17" width="16.453125" style="16" customWidth="1"/>
    <col min="18" max="18" width="1.81640625" style="16" customWidth="1"/>
    <col min="19" max="19" width="8.81640625" style="16"/>
    <col min="20" max="20" width="10.54296875" style="16" customWidth="1"/>
    <col min="21" max="21" width="12.5429687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+GCF_2024!A31</f>
        <v>Tikslinės pensijų fondų dalyvių grupės pensijų fondai, 1968-1974</v>
      </c>
      <c r="B3" s="107"/>
      <c r="C3" s="107"/>
      <c r="D3" s="44"/>
      <c r="E3" s="44"/>
      <c r="F3" s="45"/>
      <c r="G3" s="70" t="s">
        <v>98</v>
      </c>
      <c r="H3" s="45"/>
      <c r="I3" s="67">
        <v>6.4744883649681739</v>
      </c>
      <c r="J3" s="67">
        <v>6.1724513302038329</v>
      </c>
      <c r="K3" s="67">
        <v>12.755031565818461</v>
      </c>
      <c r="L3" s="67">
        <v>7.41242109651603</v>
      </c>
      <c r="M3" s="67">
        <v>6.5195628324685062</v>
      </c>
      <c r="N3" s="67">
        <v>13.640129031469407</v>
      </c>
      <c r="O3" s="45"/>
      <c r="P3" s="45"/>
      <c r="Q3" s="45"/>
      <c r="R3" s="45"/>
      <c r="S3" s="45"/>
      <c r="T3" s="45"/>
      <c r="U3" s="45"/>
    </row>
    <row r="4" spans="1:23" customFormat="1" ht="14.5" x14ac:dyDescent="0.35">
      <c r="A4" s="32" t="str">
        <f>+GCF_2024!A32</f>
        <v xml:space="preserve">Luminor investicijų valdymas UAB </v>
      </c>
      <c r="B4" s="32" t="str">
        <f>+GCF_2024!B32</f>
        <v>LMN-68/74</v>
      </c>
      <c r="C4" s="32" t="str">
        <f>+GCF_2024!C32</f>
        <v>Luminor 1968–1974 tikslinės grupės pensijų fondas</v>
      </c>
      <c r="D4" s="66" t="s">
        <v>161</v>
      </c>
      <c r="E4" s="34">
        <v>70</v>
      </c>
      <c r="F4" s="33">
        <v>127.33493951999999</v>
      </c>
      <c r="G4" s="35">
        <v>18136</v>
      </c>
      <c r="H4" s="22"/>
      <c r="I4" s="36">
        <v>7.4022623536415866</v>
      </c>
      <c r="J4" s="36">
        <v>4.525846431528624</v>
      </c>
      <c r="K4" s="36">
        <v>12.441957479891986</v>
      </c>
      <c r="L4" s="36">
        <v>7.1692940804052085</v>
      </c>
      <c r="M4" s="36">
        <v>5.6637983605854592</v>
      </c>
      <c r="N4" s="36">
        <v>13.551549725574063</v>
      </c>
      <c r="O4" s="23"/>
      <c r="P4" s="36">
        <v>10.135717964510134</v>
      </c>
      <c r="Q4" s="36">
        <v>11.193314977902483</v>
      </c>
      <c r="R4" s="23"/>
      <c r="S4" s="36">
        <v>0.49</v>
      </c>
      <c r="T4" s="36">
        <v>0.72</v>
      </c>
      <c r="U4" s="36" t="s">
        <v>91</v>
      </c>
      <c r="V4" s="58"/>
      <c r="W4" s="58"/>
    </row>
    <row r="5" spans="1:23" customFormat="1" ht="14.5" x14ac:dyDescent="0.35">
      <c r="A5" s="32" t="str">
        <f>+GCF_2024!A33</f>
        <v>UAB „SB Asset Management“</v>
      </c>
      <c r="B5" s="32" t="str">
        <f>+GCF_2024!B33</f>
        <v>INV-68/74</v>
      </c>
      <c r="C5" s="32" t="str">
        <f>+GCF_2024!C33</f>
        <v>INVL pensija 1968–1974 Index Plus</v>
      </c>
      <c r="D5" s="66" t="s">
        <v>161</v>
      </c>
      <c r="E5" s="34">
        <v>67.58</v>
      </c>
      <c r="F5" s="33">
        <v>206.05183324800001</v>
      </c>
      <c r="G5" s="35">
        <v>23225</v>
      </c>
      <c r="H5" s="22"/>
      <c r="I5" s="36">
        <v>5.6007345225603355</v>
      </c>
      <c r="J5" s="36">
        <v>5.589096636041968</v>
      </c>
      <c r="K5" s="36">
        <v>12.035906286879673</v>
      </c>
      <c r="L5" s="36">
        <v>7.3755918956503574</v>
      </c>
      <c r="M5" s="36">
        <v>5.1068913393758963</v>
      </c>
      <c r="N5" s="36">
        <v>12.883910916660879</v>
      </c>
      <c r="O5" s="23"/>
      <c r="P5" s="36">
        <v>8.4786354779863231</v>
      </c>
      <c r="Q5" s="36">
        <v>11.327649279882369</v>
      </c>
      <c r="R5" s="23"/>
      <c r="S5" s="36">
        <v>0.5</v>
      </c>
      <c r="T5" s="36">
        <v>1.23</v>
      </c>
      <c r="U5" s="36">
        <v>1.23</v>
      </c>
      <c r="V5" s="58"/>
      <c r="W5" s="58"/>
    </row>
    <row r="6" spans="1:23" customFormat="1" ht="14.5" x14ac:dyDescent="0.35">
      <c r="A6" s="32" t="str">
        <f>+GCF_2024!A34</f>
        <v>UAB „SEB investicijų valdymas“</v>
      </c>
      <c r="B6" s="32" t="str">
        <f>+GCF_2024!B34</f>
        <v>SBN-68/74</v>
      </c>
      <c r="C6" s="32" t="str">
        <f>+GCF_2024!C34</f>
        <v>SEB 1968–1974 metų tikslinės grupės pensijų kaupimo fondas</v>
      </c>
      <c r="D6" s="66" t="s">
        <v>161</v>
      </c>
      <c r="E6" s="34">
        <v>68.099999999999994</v>
      </c>
      <c r="F6" s="33">
        <v>441.73316404000002</v>
      </c>
      <c r="G6" s="35">
        <v>53381</v>
      </c>
      <c r="H6" s="22"/>
      <c r="I6" s="36">
        <v>6.0819544984488161</v>
      </c>
      <c r="J6" s="36">
        <v>5.3733379146198468</v>
      </c>
      <c r="K6" s="36">
        <v>12.416588913149763</v>
      </c>
      <c r="L6" s="36">
        <v>7.590157760185634</v>
      </c>
      <c r="M6" s="36">
        <v>7.4217017940442886</v>
      </c>
      <c r="N6" s="36">
        <v>14.46662347323684</v>
      </c>
      <c r="O6" s="23"/>
      <c r="P6" s="36">
        <v>10.23274402280895</v>
      </c>
      <c r="Q6" s="36">
        <v>11.659737546680724</v>
      </c>
      <c r="R6" s="23"/>
      <c r="S6" s="36">
        <v>0.5</v>
      </c>
      <c r="T6" s="36" t="s">
        <v>91</v>
      </c>
      <c r="U6" s="36">
        <v>0.79</v>
      </c>
      <c r="V6" s="58"/>
      <c r="W6" s="58"/>
    </row>
    <row r="7" spans="1:23" customFormat="1" ht="14.5" x14ac:dyDescent="0.35">
      <c r="A7" s="32" t="str">
        <f>+GCF_2024!A35</f>
        <v>UAB „Swedbank investicijų valdymas“</v>
      </c>
      <c r="B7" s="32" t="str">
        <f>+GCF_2024!B35</f>
        <v>SWD-68/74</v>
      </c>
      <c r="C7" s="32" t="str">
        <f>+GCF_2024!C35</f>
        <v xml:space="preserve">Swedbank pensija 1968–1974 [7] </v>
      </c>
      <c r="D7" s="66" t="s">
        <v>161</v>
      </c>
      <c r="E7" s="34">
        <v>70</v>
      </c>
      <c r="F7" s="33">
        <v>653.53135449000001</v>
      </c>
      <c r="G7" s="35">
        <v>95871</v>
      </c>
      <c r="H7" s="22"/>
      <c r="I7" s="36">
        <v>6.3253973319716605</v>
      </c>
      <c r="J7" s="36">
        <v>7.2765452859069768</v>
      </c>
      <c r="K7" s="36">
        <v>13.607162913795756</v>
      </c>
      <c r="L7" s="36">
        <v>7.1908911803492348</v>
      </c>
      <c r="M7" s="36">
        <v>6.385349257718631</v>
      </c>
      <c r="N7" s="36">
        <v>13.720486453659841</v>
      </c>
      <c r="O7" s="23"/>
      <c r="P7" s="36">
        <v>10.922328686519014</v>
      </c>
      <c r="Q7" s="36">
        <v>11.900738743298765</v>
      </c>
      <c r="R7" s="23"/>
      <c r="S7" s="36">
        <v>0.5</v>
      </c>
      <c r="T7" s="36" t="s">
        <v>91</v>
      </c>
      <c r="U7" s="36">
        <v>0.78720000000000001</v>
      </c>
      <c r="V7" s="58"/>
      <c r="W7" s="58"/>
    </row>
    <row r="8" spans="1:23" customFormat="1" ht="14.5" x14ac:dyDescent="0.35">
      <c r="A8" s="32" t="str">
        <f>+GCF_2024!A36</f>
        <v>Allianz Lietuva gyvybės draudimas UAB</v>
      </c>
      <c r="B8" s="32" t="str">
        <f>+GCF_2024!B36</f>
        <v>AVI-68/74</v>
      </c>
      <c r="C8" s="32" t="str">
        <f>+GCF_2024!C36</f>
        <v>Allianz X2 1968–1974 tikslinės grupės pensijų fondas</v>
      </c>
      <c r="D8" s="66" t="s">
        <v>161</v>
      </c>
      <c r="E8" s="34">
        <v>70</v>
      </c>
      <c r="F8" s="33">
        <v>247.72351412999998</v>
      </c>
      <c r="G8" s="35">
        <v>39466</v>
      </c>
      <c r="H8" s="22"/>
      <c r="I8" s="36">
        <v>7.7101980407357829</v>
      </c>
      <c r="J8" s="36">
        <v>6.0162550900284106</v>
      </c>
      <c r="K8" s="36">
        <v>11.869565124932269</v>
      </c>
      <c r="L8" s="36">
        <v>7.8355212450002432</v>
      </c>
      <c r="M8" s="36">
        <v>6.8798853069400812</v>
      </c>
      <c r="N8" s="36">
        <v>12.628893859789958</v>
      </c>
      <c r="O8" s="23"/>
      <c r="P8" s="36">
        <v>10.389296676185756</v>
      </c>
      <c r="Q8" s="36">
        <v>11.325991100700346</v>
      </c>
      <c r="R8" s="23"/>
      <c r="S8" s="36">
        <v>0.5</v>
      </c>
      <c r="T8" s="36">
        <v>0.87</v>
      </c>
      <c r="U8" s="36" t="s">
        <v>91</v>
      </c>
      <c r="V8" s="58"/>
      <c r="W8" s="58"/>
    </row>
    <row r="9" spans="1:23" customFormat="1" ht="14.5" x14ac:dyDescent="0.35">
      <c r="A9" s="32" t="str">
        <f>+GCF_2024!A37</f>
        <v>Goindex, UAB</v>
      </c>
      <c r="B9" s="32" t="str">
        <f>+GCF_2024!B37</f>
        <v>GOX-68/74</v>
      </c>
      <c r="C9" s="32" t="str">
        <f>+GCF_2024!C37</f>
        <v>Goindex pensija 1968–1974 tikslinės grupės pensijų fondas</v>
      </c>
      <c r="D9" s="66" t="s">
        <v>162</v>
      </c>
      <c r="E9" s="34">
        <v>100</v>
      </c>
      <c r="F9" s="33">
        <v>7.2070002797999999</v>
      </c>
      <c r="G9" s="35">
        <v>758</v>
      </c>
      <c r="H9" s="22"/>
      <c r="I9" s="36">
        <v>10.167714884695989</v>
      </c>
      <c r="J9" s="36" t="s">
        <v>164</v>
      </c>
      <c r="K9" s="36" t="s">
        <v>164</v>
      </c>
      <c r="L9" s="36">
        <v>10.19330504479019</v>
      </c>
      <c r="M9" s="36" t="s">
        <v>164</v>
      </c>
      <c r="N9" s="36" t="s">
        <v>164</v>
      </c>
      <c r="O9" s="23"/>
      <c r="P9" s="36" t="s">
        <v>164</v>
      </c>
      <c r="Q9" s="36" t="s">
        <v>164</v>
      </c>
      <c r="R9" s="23"/>
      <c r="S9" s="36">
        <v>0.45</v>
      </c>
      <c r="T9" s="36">
        <v>0.56999999999999995</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LMN-68/74</v>
      </c>
      <c r="B36" s="33">
        <f>+P4</f>
        <v>10.135717964510134</v>
      </c>
      <c r="C36" s="33">
        <f>+J4</f>
        <v>4.525846431528624</v>
      </c>
    </row>
    <row r="37" spans="1:3" x14ac:dyDescent="0.35">
      <c r="A37" s="32" t="str">
        <f>+B5</f>
        <v>INV-68/74</v>
      </c>
      <c r="B37" s="33">
        <f>+P5</f>
        <v>8.4786354779863231</v>
      </c>
      <c r="C37" s="33">
        <f>+J5</f>
        <v>5.589096636041968</v>
      </c>
    </row>
    <row r="38" spans="1:3" x14ac:dyDescent="0.35">
      <c r="A38" s="32" t="str">
        <f>+B6</f>
        <v>SBN-68/74</v>
      </c>
      <c r="B38" s="33">
        <f>+P6</f>
        <v>10.23274402280895</v>
      </c>
      <c r="C38" s="33">
        <f>+J6</f>
        <v>5.3733379146198468</v>
      </c>
    </row>
    <row r="39" spans="1:3" x14ac:dyDescent="0.35">
      <c r="A39" s="32" t="str">
        <f>+B7</f>
        <v>SWD-68/74</v>
      </c>
      <c r="B39" s="33">
        <f>+P7</f>
        <v>10.922328686519014</v>
      </c>
      <c r="C39" s="33">
        <f>+J7</f>
        <v>7.2765452859069768</v>
      </c>
    </row>
    <row r="40" spans="1:3" x14ac:dyDescent="0.35">
      <c r="A40" s="32" t="str">
        <f>+B8</f>
        <v>AVI-68/74</v>
      </c>
      <c r="B40" s="33">
        <f>+P8</f>
        <v>10.389296676185756</v>
      </c>
      <c r="C40" s="33">
        <f>+J8</f>
        <v>6.0162550900284106</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INV-68/74</v>
      </c>
      <c r="B66" s="33">
        <f>+G5/1000</f>
        <v>23.225000000000001</v>
      </c>
      <c r="C66" s="33">
        <f>+J5</f>
        <v>5.589096636041968</v>
      </c>
      <c r="D66" s="33">
        <f>+F5</f>
        <v>206.05183324800001</v>
      </c>
    </row>
    <row r="67" spans="1:4" x14ac:dyDescent="0.35">
      <c r="A67" s="32" t="str">
        <f>+B4</f>
        <v>LMN-68/74</v>
      </c>
      <c r="B67" s="33">
        <f>+G4/1000</f>
        <v>18.135999999999999</v>
      </c>
      <c r="C67" s="33">
        <f>+J4</f>
        <v>4.525846431528624</v>
      </c>
      <c r="D67" s="33">
        <f>+F4</f>
        <v>127.33493951999999</v>
      </c>
    </row>
    <row r="68" spans="1:4" x14ac:dyDescent="0.35">
      <c r="A68" s="32" t="str">
        <f>+B6</f>
        <v>SBN-68/74</v>
      </c>
      <c r="B68" s="33">
        <f>+G6/1000</f>
        <v>53.381</v>
      </c>
      <c r="C68" s="33">
        <f>+J6</f>
        <v>5.3733379146198468</v>
      </c>
      <c r="D68" s="33">
        <f>+F6</f>
        <v>441.73316404000002</v>
      </c>
    </row>
    <row r="69" spans="1:4" x14ac:dyDescent="0.35">
      <c r="A69" s="32" t="str">
        <f>+B7</f>
        <v>SWD-68/74</v>
      </c>
      <c r="B69" s="33">
        <f>+G7/1000</f>
        <v>95.870999999999995</v>
      </c>
      <c r="C69" s="33">
        <f>+J7</f>
        <v>7.2765452859069768</v>
      </c>
      <c r="D69" s="33">
        <f>+F7</f>
        <v>653.53135449000001</v>
      </c>
    </row>
    <row r="70" spans="1:4" x14ac:dyDescent="0.35">
      <c r="A70" s="32" t="str">
        <f>+B8</f>
        <v>AVI-68/74</v>
      </c>
      <c r="B70" s="33">
        <f>+G8/1000</f>
        <v>39.466000000000001</v>
      </c>
      <c r="C70" s="33">
        <f>+J8</f>
        <v>6.0162550900284106</v>
      </c>
      <c r="D70" s="33">
        <f>+F8</f>
        <v>247.72351412999998</v>
      </c>
    </row>
  </sheetData>
  <mergeCells count="7">
    <mergeCell ref="S1:U1"/>
    <mergeCell ref="P1:Q1"/>
    <mergeCell ref="A3:C3"/>
    <mergeCell ref="D1:D2"/>
    <mergeCell ref="F1:F2"/>
    <mergeCell ref="G1:G2"/>
    <mergeCell ref="I1:M1"/>
  </mergeCells>
  <conditionalFormatting sqref="I3:N9">
    <cfRule type="cellIs" dxfId="23" priority="5" operator="greaterThanOrEqual">
      <formula>0</formula>
    </cfRule>
    <cfRule type="cellIs" dxfId="22" priority="6" operator="lessThan">
      <formula>0</formula>
    </cfRule>
  </conditionalFormatting>
  <conditionalFormatting sqref="P4:Q9">
    <cfRule type="cellIs" dxfId="21" priority="3" operator="greaterThanOrEqual">
      <formula>0</formula>
    </cfRule>
    <cfRule type="cellIs" dxfId="20" priority="4" operator="lessThan">
      <formula>0</formula>
    </cfRule>
  </conditionalFormatting>
  <conditionalFormatting sqref="S4:U9">
    <cfRule type="cellIs" dxfId="19" priority="9" operator="greaterThanOrEqual">
      <formula>0</formula>
    </cfRule>
    <cfRule type="cellIs" dxfId="18" priority="10" operator="lessThan">
      <formula>0</formula>
    </cfRule>
  </conditionalFormatting>
  <hyperlinks>
    <hyperlink ref="C1" location="GCF_2024!A1" display="Grįžti į pagrindinį puslapį"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453125" style="16" customWidth="1"/>
    <col min="9" max="9" width="17.453125" style="16" customWidth="1"/>
    <col min="10" max="11" width="17" style="16" customWidth="1"/>
    <col min="12" max="12" width="18.453125" style="16" customWidth="1"/>
    <col min="13" max="14" width="17.1796875" style="16" customWidth="1"/>
    <col min="15" max="15" width="1.453125" style="16" customWidth="1"/>
    <col min="16" max="16" width="16" style="16" customWidth="1"/>
    <col min="17" max="17" width="18.81640625" style="16" customWidth="1"/>
    <col min="18" max="18" width="1.453125" style="16" customWidth="1"/>
    <col min="19" max="19" width="8.81640625" style="16"/>
    <col min="20" max="20" width="11" style="16" customWidth="1"/>
    <col min="21" max="21" width="13.45312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+GCF_2024!A38</f>
        <v>Tikslinės pensijų fondų dalyvių grupės pensijų fondai, 1961-1967</v>
      </c>
      <c r="B3" s="107"/>
      <c r="C3" s="107"/>
      <c r="D3" s="44"/>
      <c r="E3" s="44"/>
      <c r="F3" s="45"/>
      <c r="G3" s="70" t="s">
        <v>98</v>
      </c>
      <c r="H3" s="45"/>
      <c r="I3" s="67">
        <v>3.7874461444060215</v>
      </c>
      <c r="J3" s="67">
        <v>2.5910162954335205</v>
      </c>
      <c r="K3" s="67">
        <v>7.270811192178277</v>
      </c>
      <c r="L3" s="67">
        <v>3.6306909304939659</v>
      </c>
      <c r="M3" s="67">
        <v>2.0674013312370723</v>
      </c>
      <c r="N3" s="67">
        <v>7.0667675473958003</v>
      </c>
      <c r="O3" s="45"/>
      <c r="P3" s="45"/>
      <c r="Q3" s="45"/>
      <c r="R3" s="45"/>
      <c r="S3" s="45"/>
      <c r="T3" s="45"/>
      <c r="U3" s="45"/>
    </row>
    <row r="4" spans="1:23" customFormat="1" x14ac:dyDescent="0.35">
      <c r="A4" s="32" t="str">
        <f>+GCF_2024!A39</f>
        <v xml:space="preserve">Luminor investicijų valdymas UAB </v>
      </c>
      <c r="B4" s="32" t="str">
        <f>+GCF_2024!B39</f>
        <v>LMN-61/67</v>
      </c>
      <c r="C4" s="32" t="str">
        <f>+GCF_2024!C39</f>
        <v>Luminor 1961–1967 tikslinės grupės pensijų fondas</v>
      </c>
      <c r="D4" s="66" t="s">
        <v>161</v>
      </c>
      <c r="E4" s="34">
        <v>35</v>
      </c>
      <c r="F4" s="33">
        <v>99.669389319999993</v>
      </c>
      <c r="G4" s="35">
        <v>16476</v>
      </c>
      <c r="H4" s="22"/>
      <c r="I4" s="36">
        <v>3.9173182627544989</v>
      </c>
      <c r="J4" s="36">
        <v>1.2812436560754037</v>
      </c>
      <c r="K4" s="36">
        <v>7.1555792221918546</v>
      </c>
      <c r="L4" s="36">
        <v>3.7745681897878747</v>
      </c>
      <c r="M4" s="36">
        <v>2.2013064067656352</v>
      </c>
      <c r="N4" s="36">
        <v>7.6847714033068337</v>
      </c>
      <c r="O4" s="23"/>
      <c r="P4" s="36">
        <v>8.2441942516104447</v>
      </c>
      <c r="Q4" s="36">
        <v>8.7639625024927241</v>
      </c>
      <c r="R4" s="23"/>
      <c r="S4" s="36">
        <v>0.49</v>
      </c>
      <c r="T4" s="36">
        <v>0.71000000000000008</v>
      </c>
      <c r="U4" s="36" t="s">
        <v>91</v>
      </c>
      <c r="V4" s="16"/>
      <c r="W4" s="58"/>
    </row>
    <row r="5" spans="1:23" customFormat="1" x14ac:dyDescent="0.35">
      <c r="A5" s="32" t="str">
        <f>+GCF_2024!A40</f>
        <v>UAB „SB Asset Management“</v>
      </c>
      <c r="B5" s="32" t="str">
        <f>+GCF_2024!B40</f>
        <v>INV-61/67</v>
      </c>
      <c r="C5" s="32" t="str">
        <f>+GCF_2024!C40</f>
        <v>INVL pensija 1961–1967 Index Plus</v>
      </c>
      <c r="D5" s="66" t="s">
        <v>161</v>
      </c>
      <c r="E5" s="34">
        <v>31.75</v>
      </c>
      <c r="F5" s="33">
        <v>127.96628257430001</v>
      </c>
      <c r="G5" s="35">
        <v>17483</v>
      </c>
      <c r="H5" s="22"/>
      <c r="I5" s="36">
        <v>3.4071550255536431</v>
      </c>
      <c r="J5" s="36">
        <v>2.5152040019012167</v>
      </c>
      <c r="K5" s="36">
        <v>7.2288751528194473</v>
      </c>
      <c r="L5" s="36">
        <v>3.772976407076345</v>
      </c>
      <c r="M5" s="36">
        <v>0.27148396142804287</v>
      </c>
      <c r="N5" s="36">
        <v>6.0313681967163912</v>
      </c>
      <c r="O5" s="23"/>
      <c r="P5" s="36">
        <v>6.543290199809185</v>
      </c>
      <c r="Q5" s="36">
        <v>9.1948908096542361</v>
      </c>
      <c r="R5" s="23"/>
      <c r="S5" s="36">
        <v>0.5</v>
      </c>
      <c r="T5" s="36">
        <v>0.86</v>
      </c>
      <c r="U5" s="36">
        <v>0.86</v>
      </c>
      <c r="V5" s="16"/>
      <c r="W5" s="58"/>
    </row>
    <row r="6" spans="1:23" customFormat="1" x14ac:dyDescent="0.35">
      <c r="A6" s="32" t="str">
        <f>+GCF_2024!A41</f>
        <v>UAB „SEB investicijų valdymas“</v>
      </c>
      <c r="B6" s="32" t="str">
        <f>+GCF_2024!B41</f>
        <v>SBN-61/67</v>
      </c>
      <c r="C6" s="32" t="str">
        <f>+GCF_2024!C41</f>
        <v>SEB 1961–1967 metų tikslinės grupės pensijų kaupimo fondas</v>
      </c>
      <c r="D6" s="66" t="s">
        <v>161</v>
      </c>
      <c r="E6" s="34">
        <v>35.299999999999997</v>
      </c>
      <c r="F6" s="33">
        <v>330.01760195999998</v>
      </c>
      <c r="G6" s="35">
        <v>46740</v>
      </c>
      <c r="H6" s="22"/>
      <c r="I6" s="36">
        <v>3.637204284503337</v>
      </c>
      <c r="J6" s="36">
        <v>2.216325180786094</v>
      </c>
      <c r="K6" s="36">
        <v>7.3394633208642812</v>
      </c>
      <c r="L6" s="36">
        <v>3.8565897536459781</v>
      </c>
      <c r="M6" s="36">
        <v>3.2347263773341961</v>
      </c>
      <c r="N6" s="36">
        <v>8.3280450249654248</v>
      </c>
      <c r="O6" s="23"/>
      <c r="P6" s="36">
        <v>7.5189060535146766</v>
      </c>
      <c r="Q6" s="36">
        <v>8.5809557533404419</v>
      </c>
      <c r="R6" s="23"/>
      <c r="S6" s="36">
        <v>0.5</v>
      </c>
      <c r="T6" s="36" t="s">
        <v>91</v>
      </c>
      <c r="U6" s="36">
        <v>0.7</v>
      </c>
      <c r="V6" s="16"/>
      <c r="W6" s="58"/>
    </row>
    <row r="7" spans="1:23" customFormat="1" x14ac:dyDescent="0.35">
      <c r="A7" s="32" t="str">
        <f>+GCF_2024!A42</f>
        <v>UAB „Swedbank investicijų valdymas“</v>
      </c>
      <c r="B7" s="32" t="str">
        <f>+GCF_2024!B42</f>
        <v>SWD-61/67</v>
      </c>
      <c r="C7" s="32" t="str">
        <f>+GCF_2024!C42</f>
        <v xml:space="preserve">Swedbank pensija 1961–1967 [7] </v>
      </c>
      <c r="D7" s="66" t="s">
        <v>161</v>
      </c>
      <c r="E7" s="34">
        <v>35</v>
      </c>
      <c r="F7" s="33">
        <v>490.24865923999999</v>
      </c>
      <c r="G7" s="35">
        <v>84077</v>
      </c>
      <c r="H7" s="22"/>
      <c r="I7" s="36">
        <v>3.6986817325800558</v>
      </c>
      <c r="J7" s="36">
        <v>3.3728935072843802</v>
      </c>
      <c r="K7" s="36">
        <v>8.0866857563612236</v>
      </c>
      <c r="L7" s="36">
        <v>3.3993064791716154</v>
      </c>
      <c r="M7" s="36">
        <v>1.3815619745920715</v>
      </c>
      <c r="N7" s="36">
        <v>6.8890347647417194</v>
      </c>
      <c r="O7" s="23"/>
      <c r="P7" s="36">
        <v>7.7532156390170854</v>
      </c>
      <c r="Q7" s="36">
        <v>9.3558994233442281</v>
      </c>
      <c r="R7" s="23"/>
      <c r="S7" s="36">
        <v>0.5</v>
      </c>
      <c r="T7" s="36" t="s">
        <v>91</v>
      </c>
      <c r="U7" s="36">
        <v>0.59660000000000002</v>
      </c>
      <c r="V7" s="16"/>
      <c r="W7" s="58"/>
    </row>
    <row r="8" spans="1:23" customFormat="1" x14ac:dyDescent="0.35">
      <c r="A8" s="32" t="str">
        <f>+GCF_2024!A43</f>
        <v>Allianz Lietuva gyvybės draudimas UAB</v>
      </c>
      <c r="B8" s="32" t="str">
        <f>+GCF_2024!B43</f>
        <v>AVI-61/67</v>
      </c>
      <c r="C8" s="32" t="str">
        <f>+GCF_2024!C43</f>
        <v>Allianz X1 1961–1967 tikslinės grupės pensijų fondas</v>
      </c>
      <c r="D8" s="66" t="s">
        <v>161</v>
      </c>
      <c r="E8" s="34">
        <v>35</v>
      </c>
      <c r="F8" s="33">
        <v>212.80373196000002</v>
      </c>
      <c r="G8" s="35">
        <v>37095</v>
      </c>
      <c r="H8" s="22"/>
      <c r="I8" s="36">
        <v>4.3863348797975599</v>
      </c>
      <c r="J8" s="36">
        <v>2.0298704260492961</v>
      </c>
      <c r="K8" s="36">
        <v>5.3639540182069956</v>
      </c>
      <c r="L8" s="36">
        <v>3.6604715503908203</v>
      </c>
      <c r="M8" s="36">
        <v>2.8543454492104825</v>
      </c>
      <c r="N8" s="36">
        <v>5.8533942253864213</v>
      </c>
      <c r="O8" s="23"/>
      <c r="P8" s="36">
        <v>6.8044766374924741</v>
      </c>
      <c r="Q8" s="36">
        <v>6.9208848578003117</v>
      </c>
      <c r="R8" s="23"/>
      <c r="S8" s="36">
        <v>0.5</v>
      </c>
      <c r="T8" s="36">
        <v>0.7</v>
      </c>
      <c r="U8" s="36" t="s">
        <v>91</v>
      </c>
      <c r="V8" s="16"/>
      <c r="W8" s="58"/>
    </row>
    <row r="9" spans="1:23" customFormat="1" ht="27" x14ac:dyDescent="0.35">
      <c r="A9" s="32" t="str">
        <f>+GCF_2024!A44</f>
        <v>Goindex, UAB</v>
      </c>
      <c r="B9" s="32" t="str">
        <f>+GCF_2024!B44</f>
        <v>GOX-61/67</v>
      </c>
      <c r="C9" s="32" t="str">
        <f>+GCF_2024!C44</f>
        <v>Goindex pensija 1961–1967 tikslinės grupės pensijų fondas</v>
      </c>
      <c r="D9" s="66" t="s">
        <v>162</v>
      </c>
      <c r="E9" s="34">
        <v>40</v>
      </c>
      <c r="F9" s="33">
        <v>2.6189978369000002</v>
      </c>
      <c r="G9" s="35">
        <v>301</v>
      </c>
      <c r="H9" s="22"/>
      <c r="I9" s="36">
        <v>4.3118835133865607</v>
      </c>
      <c r="J9" s="36" t="s">
        <v>164</v>
      </c>
      <c r="K9" s="36" t="s">
        <v>164</v>
      </c>
      <c r="L9" s="36">
        <v>4.3824328120610545</v>
      </c>
      <c r="M9" s="36" t="s">
        <v>164</v>
      </c>
      <c r="N9" s="36" t="s">
        <v>164</v>
      </c>
      <c r="O9" s="23"/>
      <c r="P9" s="36" t="s">
        <v>164</v>
      </c>
      <c r="Q9" s="36" t="s">
        <v>164</v>
      </c>
      <c r="R9" s="23"/>
      <c r="S9" s="36">
        <v>0.45</v>
      </c>
      <c r="T9" s="36">
        <v>0.6</v>
      </c>
      <c r="U9" s="36" t="s">
        <v>91</v>
      </c>
      <c r="V9" s="16"/>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LMN-61/67</v>
      </c>
      <c r="B36" s="33">
        <f>+P4</f>
        <v>8.2441942516104447</v>
      </c>
      <c r="C36" s="33">
        <f>+J4</f>
        <v>1.2812436560754037</v>
      </c>
    </row>
    <row r="37" spans="1:3" x14ac:dyDescent="0.35">
      <c r="A37" s="32" t="str">
        <f>+B5</f>
        <v>INV-61/67</v>
      </c>
      <c r="B37" s="33">
        <f>+P5</f>
        <v>6.543290199809185</v>
      </c>
      <c r="C37" s="33">
        <f>+J5</f>
        <v>2.5152040019012167</v>
      </c>
    </row>
    <row r="38" spans="1:3" x14ac:dyDescent="0.35">
      <c r="A38" s="32" t="str">
        <f>+B6</f>
        <v>SBN-61/67</v>
      </c>
      <c r="B38" s="33">
        <f>+P6</f>
        <v>7.5189060535146766</v>
      </c>
      <c r="C38" s="33">
        <f>+J6</f>
        <v>2.216325180786094</v>
      </c>
    </row>
    <row r="39" spans="1:3" x14ac:dyDescent="0.35">
      <c r="A39" s="32" t="str">
        <f>+B7</f>
        <v>SWD-61/67</v>
      </c>
      <c r="B39" s="33">
        <f>+P7</f>
        <v>7.7532156390170854</v>
      </c>
      <c r="C39" s="33">
        <f>+J7</f>
        <v>3.3728935072843802</v>
      </c>
    </row>
    <row r="40" spans="1:3" x14ac:dyDescent="0.35">
      <c r="A40" s="32" t="str">
        <f>+B8</f>
        <v>AVI-61/67</v>
      </c>
      <c r="B40" s="33">
        <f>+P8</f>
        <v>6.8044766374924741</v>
      </c>
      <c r="C40" s="33">
        <f>+J8</f>
        <v>2.0298704260492961</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LMN-61/67</v>
      </c>
      <c r="B66" s="33">
        <f>+G4/1000</f>
        <v>16.475999999999999</v>
      </c>
      <c r="C66" s="33">
        <f>+J4</f>
        <v>1.2812436560754037</v>
      </c>
      <c r="D66" s="33">
        <f>+F4</f>
        <v>99.669389319999993</v>
      </c>
    </row>
    <row r="67" spans="1:4" x14ac:dyDescent="0.35">
      <c r="A67" s="32" t="str">
        <f>+B5</f>
        <v>INV-61/67</v>
      </c>
      <c r="B67" s="33">
        <f>+G5/1000</f>
        <v>17.483000000000001</v>
      </c>
      <c r="C67" s="33">
        <f>+J5</f>
        <v>2.5152040019012167</v>
      </c>
      <c r="D67" s="33">
        <f>+F5</f>
        <v>127.96628257430001</v>
      </c>
    </row>
    <row r="68" spans="1:4" x14ac:dyDescent="0.35">
      <c r="A68" s="32" t="str">
        <f>+B6</f>
        <v>SBN-61/67</v>
      </c>
      <c r="B68" s="33">
        <f>+G6/1000</f>
        <v>46.74</v>
      </c>
      <c r="C68" s="33">
        <f>+J6</f>
        <v>2.216325180786094</v>
      </c>
      <c r="D68" s="33">
        <f>+F6</f>
        <v>330.01760195999998</v>
      </c>
    </row>
    <row r="69" spans="1:4" x14ac:dyDescent="0.35">
      <c r="A69" s="32" t="str">
        <f>+B7</f>
        <v>SWD-61/67</v>
      </c>
      <c r="B69" s="33">
        <f>+G7/1000</f>
        <v>84.076999999999998</v>
      </c>
      <c r="C69" s="33">
        <f>+J7</f>
        <v>3.3728935072843802</v>
      </c>
      <c r="D69" s="33">
        <f>+F7</f>
        <v>490.24865923999999</v>
      </c>
    </row>
    <row r="70" spans="1:4" x14ac:dyDescent="0.35">
      <c r="A70" s="32" t="str">
        <f>+B8</f>
        <v>AVI-61/67</v>
      </c>
      <c r="B70" s="33">
        <f>+G8/1000</f>
        <v>37.094999999999999</v>
      </c>
      <c r="C70" s="33">
        <f>+J8</f>
        <v>2.0298704260492961</v>
      </c>
      <c r="D70" s="33">
        <f>+F8</f>
        <v>212.80373196000002</v>
      </c>
    </row>
  </sheetData>
  <mergeCells count="7">
    <mergeCell ref="S1:U1"/>
    <mergeCell ref="P1:Q1"/>
    <mergeCell ref="A3:C3"/>
    <mergeCell ref="D1:D2"/>
    <mergeCell ref="F1:F2"/>
    <mergeCell ref="G1:G2"/>
    <mergeCell ref="I1:M1"/>
  </mergeCells>
  <conditionalFormatting sqref="I3:N9">
    <cfRule type="cellIs" dxfId="17" priority="5" operator="greaterThanOrEqual">
      <formula>0</formula>
    </cfRule>
    <cfRule type="cellIs" dxfId="16" priority="6" operator="lessThan">
      <formula>0</formula>
    </cfRule>
  </conditionalFormatting>
  <conditionalFormatting sqref="P4:Q9">
    <cfRule type="cellIs" dxfId="15" priority="3" operator="greaterThanOrEqual">
      <formula>0</formula>
    </cfRule>
    <cfRule type="cellIs" dxfId="14" priority="4" operator="lessThan">
      <formula>0</formula>
    </cfRule>
  </conditionalFormatting>
  <conditionalFormatting sqref="S4:U9">
    <cfRule type="cellIs" dxfId="13" priority="9" operator="greaterThanOrEqual">
      <formula>0</formula>
    </cfRule>
    <cfRule type="cellIs" dxfId="12" priority="10" operator="lessThan">
      <formula>0</formula>
    </cfRule>
  </conditionalFormatting>
  <hyperlinks>
    <hyperlink ref="C1" location="GCF_2024!A1" display="Grįžti į pagrindinį puslapį"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heetViews>
  <sheetFormatPr defaultColWidth="8.81640625" defaultRowHeight="15.5" x14ac:dyDescent="0.35"/>
  <cols>
    <col min="1" max="1" width="41.8164062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54296875" style="16" customWidth="1"/>
    <col min="9" max="9" width="18.453125" style="16" customWidth="1"/>
    <col min="10" max="11" width="17.54296875" style="16" customWidth="1"/>
    <col min="12" max="12" width="18" style="16" customWidth="1"/>
    <col min="13" max="14" width="19.1796875" style="16" customWidth="1"/>
    <col min="15" max="15" width="1.54296875" style="16" customWidth="1"/>
    <col min="16" max="16" width="23.453125" style="16" customWidth="1"/>
    <col min="17" max="17" width="21" style="16" customWidth="1"/>
    <col min="18" max="18" width="1.54296875" style="16" customWidth="1"/>
    <col min="19" max="19" width="8.81640625" style="16"/>
    <col min="20" max="21" width="11.453125" style="16" customWidth="1"/>
    <col min="22" max="16384" width="8.81640625" style="16"/>
  </cols>
  <sheetData>
    <row r="1" spans="1:23"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3" ht="29.15" customHeight="1" x14ac:dyDescent="0.35">
      <c r="A3" s="107" t="str">
        <f>+GCF_2024!A45</f>
        <v>Tikslinės pensijų fondų dalyvių grupės pensijų fondai, 1954-1960</v>
      </c>
      <c r="B3" s="107"/>
      <c r="C3" s="107"/>
      <c r="D3" s="44"/>
      <c r="E3" s="44"/>
      <c r="F3" s="45"/>
      <c r="G3" s="70" t="s">
        <v>98</v>
      </c>
      <c r="H3" s="45"/>
      <c r="I3" s="67">
        <v>2.060443352866359</v>
      </c>
      <c r="J3" s="67">
        <v>-0.3046592285222488</v>
      </c>
      <c r="K3" s="67">
        <v>2.3214776760970524</v>
      </c>
      <c r="L3" s="67">
        <v>1.5344658751155413</v>
      </c>
      <c r="M3" s="67">
        <v>-1.098718178567722</v>
      </c>
      <c r="N3" s="67">
        <v>1.6638587744899962</v>
      </c>
      <c r="O3" s="45"/>
      <c r="P3" s="45"/>
      <c r="Q3" s="45"/>
      <c r="R3" s="45"/>
      <c r="S3" s="45"/>
      <c r="T3" s="45"/>
      <c r="U3" s="45"/>
    </row>
    <row r="4" spans="1:23" customFormat="1" ht="14.5" x14ac:dyDescent="0.35">
      <c r="A4" s="32" t="str">
        <f>+GCF_2024!A46</f>
        <v xml:space="preserve">Luminor investicijų valdymas UAB </v>
      </c>
      <c r="B4" s="32" t="str">
        <f>+GCF_2024!B46</f>
        <v>LMN-54/60</v>
      </c>
      <c r="C4" s="32" t="str">
        <f>+GCF_2024!C46</f>
        <v>Luminor 1954–1960 tikslinės grupės pensijų fondas</v>
      </c>
      <c r="D4" s="66" t="s">
        <v>161</v>
      </c>
      <c r="E4" s="34">
        <v>10</v>
      </c>
      <c r="F4" s="33">
        <v>17.966132179999999</v>
      </c>
      <c r="G4" s="35">
        <v>3316</v>
      </c>
      <c r="H4" s="22"/>
      <c r="I4" s="36">
        <v>1.6427104722792629</v>
      </c>
      <c r="J4" s="36">
        <v>-1.2767607555109639</v>
      </c>
      <c r="K4" s="36">
        <v>1.9890449893815942</v>
      </c>
      <c r="L4" s="36">
        <v>1.2237400232306239</v>
      </c>
      <c r="M4" s="36">
        <v>-0.92290259592614499</v>
      </c>
      <c r="N4" s="36">
        <v>2.2222930320686229</v>
      </c>
      <c r="O4" s="23"/>
      <c r="P4" s="36">
        <v>6.3820683917885619</v>
      </c>
      <c r="Q4" s="36">
        <v>6.8903115603580982</v>
      </c>
      <c r="R4" s="23"/>
      <c r="S4" s="36">
        <v>0.49</v>
      </c>
      <c r="T4" s="36">
        <v>0.71000000000000008</v>
      </c>
      <c r="U4" s="36" t="s">
        <v>91</v>
      </c>
      <c r="V4" s="58"/>
      <c r="W4" s="58"/>
    </row>
    <row r="5" spans="1:23" customFormat="1" ht="14.5" x14ac:dyDescent="0.35">
      <c r="A5" s="32" t="str">
        <f>+GCF_2024!A47</f>
        <v>UAB „SB Asset Management“</v>
      </c>
      <c r="B5" s="32" t="str">
        <f>+GCF_2024!B47</f>
        <v>INV-54/60</v>
      </c>
      <c r="C5" s="32" t="str">
        <f>+GCF_2024!C47</f>
        <v>INVL pensija 1954–1960 Index Plus</v>
      </c>
      <c r="D5" s="66" t="s">
        <v>161</v>
      </c>
      <c r="E5" s="34">
        <v>10</v>
      </c>
      <c r="F5" s="33">
        <v>17.295014675999997</v>
      </c>
      <c r="G5" s="35">
        <v>2704</v>
      </c>
      <c r="H5" s="22"/>
      <c r="I5" s="36">
        <v>2.0752984389347917</v>
      </c>
      <c r="J5" s="36">
        <v>0.19567754157325812</v>
      </c>
      <c r="K5" s="36">
        <v>2.3366500168682469</v>
      </c>
      <c r="L5" s="36">
        <v>1.9708745799029037</v>
      </c>
      <c r="M5" s="36">
        <v>-2.2440788336752893</v>
      </c>
      <c r="N5" s="36">
        <v>0.52306265348065484</v>
      </c>
      <c r="O5" s="23"/>
      <c r="P5" s="36">
        <v>4.9859361129482078</v>
      </c>
      <c r="Q5" s="36">
        <v>7.0020174037696004</v>
      </c>
      <c r="R5" s="23"/>
      <c r="S5" s="36">
        <v>0.5</v>
      </c>
      <c r="T5" s="36">
        <v>0.54</v>
      </c>
      <c r="U5" s="36">
        <v>0.54</v>
      </c>
      <c r="V5" s="58"/>
      <c r="W5" s="58"/>
    </row>
    <row r="6" spans="1:23" customFormat="1" ht="14.5" x14ac:dyDescent="0.35">
      <c r="A6" s="32" t="str">
        <f>+GCF_2024!A48</f>
        <v>UAB „SEB investicijų valdymas“</v>
      </c>
      <c r="B6" s="32" t="str">
        <f>+GCF_2024!B48</f>
        <v>SBN-54/60</v>
      </c>
      <c r="C6" s="69" t="str">
        <f>+GCF_2024!C48</f>
        <v>SEB 1954–1960 metų tikslinės grupės pensijų kaupimo fondas</v>
      </c>
      <c r="D6" s="66" t="s">
        <v>161</v>
      </c>
      <c r="E6" s="34">
        <v>18.5</v>
      </c>
      <c r="F6" s="33">
        <v>54.67931162</v>
      </c>
      <c r="G6" s="35">
        <v>8486</v>
      </c>
      <c r="H6" s="22"/>
      <c r="I6" s="36">
        <v>2.4003664681630843</v>
      </c>
      <c r="J6" s="36">
        <v>-0.30235844849877402</v>
      </c>
      <c r="K6" s="36">
        <v>2.3683494880393008</v>
      </c>
      <c r="L6" s="36">
        <v>2.0120269753129083</v>
      </c>
      <c r="M6" s="36">
        <v>0.22090373005148045</v>
      </c>
      <c r="N6" s="36">
        <v>2.8007298084767873</v>
      </c>
      <c r="O6" s="23"/>
      <c r="P6" s="36">
        <v>5.6311419064153796</v>
      </c>
      <c r="Q6" s="36">
        <v>6.5202836527840295</v>
      </c>
      <c r="R6" s="23"/>
      <c r="S6" s="36">
        <v>0.5</v>
      </c>
      <c r="T6" s="36">
        <v>0.68</v>
      </c>
      <c r="U6" s="36" t="s">
        <v>91</v>
      </c>
      <c r="V6" s="58"/>
      <c r="W6" s="58"/>
    </row>
    <row r="7" spans="1:23" customFormat="1" ht="14.5" x14ac:dyDescent="0.35">
      <c r="A7" s="32" t="str">
        <f>+GCF_2024!A49</f>
        <v>UAB „Swedbank investicijų valdymas“</v>
      </c>
      <c r="B7" s="32" t="str">
        <f>+GCF_2024!B49</f>
        <v>SWD-54/60</v>
      </c>
      <c r="C7" s="32" t="str">
        <f>+GCF_2024!C49</f>
        <v>Swedbank pensija 1954–1960</v>
      </c>
      <c r="D7" s="66" t="s">
        <v>161</v>
      </c>
      <c r="E7" s="34">
        <v>15</v>
      </c>
      <c r="F7" s="33">
        <v>77.4060013</v>
      </c>
      <c r="G7" s="35">
        <v>12155</v>
      </c>
      <c r="H7" s="22"/>
      <c r="I7" s="36">
        <v>1.7585638395310355</v>
      </c>
      <c r="J7" s="36">
        <v>-0.45487607121007523</v>
      </c>
      <c r="K7" s="36">
        <v>2.4189751251640468</v>
      </c>
      <c r="L7" s="36">
        <v>1.2803352705196724</v>
      </c>
      <c r="M7" s="36">
        <v>-2.6778005586454379</v>
      </c>
      <c r="N7" s="36">
        <v>0.67218895469172146</v>
      </c>
      <c r="O7" s="23"/>
      <c r="P7" s="36">
        <v>5.1894731762154755</v>
      </c>
      <c r="Q7" s="36">
        <v>7.8054796562391671</v>
      </c>
      <c r="R7" s="23"/>
      <c r="S7" s="36">
        <v>0.5</v>
      </c>
      <c r="T7" s="36" t="s">
        <v>91</v>
      </c>
      <c r="U7" s="36">
        <v>0.52249999999999996</v>
      </c>
      <c r="V7" s="58"/>
      <c r="W7" s="58"/>
    </row>
    <row r="8" spans="1:23" customFormat="1" ht="14.5" x14ac:dyDescent="0.35">
      <c r="A8" s="32" t="str">
        <f>+GCF_2024!A50</f>
        <v>Allianz Lietuva gyvybės draudimas UAB</v>
      </c>
      <c r="B8" s="32" t="str">
        <f>+GCF_2024!B50</f>
        <v>AVI-54/60</v>
      </c>
      <c r="C8" s="32" t="str">
        <f>+GCF_2024!C50</f>
        <v>Allianz B 1954–1960 tikslinės grupės pensijų fondas</v>
      </c>
      <c r="D8" s="66" t="s">
        <v>161</v>
      </c>
      <c r="E8" s="34">
        <v>15</v>
      </c>
      <c r="F8" s="33">
        <v>41.270464780000005</v>
      </c>
      <c r="G8" s="35">
        <v>7277</v>
      </c>
      <c r="H8" s="22"/>
      <c r="I8" s="36">
        <v>2.3598001110494149</v>
      </c>
      <c r="J8" s="36">
        <v>0.18754392221285165</v>
      </c>
      <c r="K8" s="36">
        <v>2.21487159909044</v>
      </c>
      <c r="L8" s="36">
        <v>1.3307698039008997</v>
      </c>
      <c r="M8" s="36">
        <v>0.51804913677944153</v>
      </c>
      <c r="N8" s="36">
        <v>2.2525376740505587</v>
      </c>
      <c r="O8" s="23"/>
      <c r="P8" s="36">
        <v>4.2249905869467845</v>
      </c>
      <c r="Q8" s="36">
        <v>3.9725045732203847</v>
      </c>
      <c r="R8" s="23"/>
      <c r="S8" s="36">
        <v>0.5</v>
      </c>
      <c r="T8" s="36">
        <v>0.6</v>
      </c>
      <c r="U8" s="36" t="s">
        <v>91</v>
      </c>
      <c r="V8" s="58"/>
      <c r="W8" s="58"/>
    </row>
    <row r="9" spans="1:23" customFormat="1" ht="14.5" x14ac:dyDescent="0.35">
      <c r="A9" s="32" t="str">
        <f>+GCF_2024!A51</f>
        <v>Goindex, UAB</v>
      </c>
      <c r="B9" s="32" t="str">
        <f>+GCF_2024!B51</f>
        <v>GOX-54/60</v>
      </c>
      <c r="C9" s="32" t="str">
        <f>+GCF_2024!C51</f>
        <v>Goindex pensija 1954–1960 tikslinės grupės pensijų fondas</v>
      </c>
      <c r="D9" s="66" t="s">
        <v>162</v>
      </c>
      <c r="E9" s="34">
        <v>0</v>
      </c>
      <c r="F9" s="33">
        <v>0.14459590429999999</v>
      </c>
      <c r="G9" s="35">
        <v>19</v>
      </c>
      <c r="H9" s="22"/>
      <c r="I9" s="36">
        <v>-0.19372336303757898</v>
      </c>
      <c r="J9" s="36" t="s">
        <v>164</v>
      </c>
      <c r="K9" s="36" t="s">
        <v>164</v>
      </c>
      <c r="L9" s="36">
        <v>2.8675205505646062E-2</v>
      </c>
      <c r="M9" s="36" t="s">
        <v>164</v>
      </c>
      <c r="N9" s="36" t="s">
        <v>164</v>
      </c>
      <c r="O9" s="23"/>
      <c r="P9" s="36" t="s">
        <v>164</v>
      </c>
      <c r="Q9" s="36" t="s">
        <v>164</v>
      </c>
      <c r="R9" s="23"/>
      <c r="S9" s="36">
        <v>0.45</v>
      </c>
      <c r="T9" s="36">
        <v>0.59</v>
      </c>
      <c r="U9" s="36" t="s">
        <v>91</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2024-03-29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LMN-54/60</v>
      </c>
      <c r="B36" s="33">
        <f>+P4</f>
        <v>6.3820683917885619</v>
      </c>
      <c r="C36" s="33">
        <f>+J4</f>
        <v>-1.2767607555109639</v>
      </c>
    </row>
    <row r="37" spans="1:3" x14ac:dyDescent="0.35">
      <c r="A37" s="32" t="str">
        <f>+B5</f>
        <v>INV-54/60</v>
      </c>
      <c r="B37" s="33">
        <f>+P5</f>
        <v>4.9859361129482078</v>
      </c>
      <c r="C37" s="33">
        <f>+J5</f>
        <v>0.19567754157325812</v>
      </c>
    </row>
    <row r="38" spans="1:3" x14ac:dyDescent="0.35">
      <c r="A38" s="32" t="str">
        <f>+B6</f>
        <v>SBN-54/60</v>
      </c>
      <c r="B38" s="33">
        <f>+P6</f>
        <v>5.6311419064153796</v>
      </c>
      <c r="C38" s="33">
        <f>+J6</f>
        <v>-0.30235844849877402</v>
      </c>
    </row>
    <row r="39" spans="1:3" x14ac:dyDescent="0.35">
      <c r="A39" s="32" t="str">
        <f>+B7</f>
        <v>SWD-54/60</v>
      </c>
      <c r="B39" s="33">
        <f>+P7</f>
        <v>5.1894731762154755</v>
      </c>
      <c r="C39" s="33">
        <f>+J7</f>
        <v>-0.45487607121007523</v>
      </c>
    </row>
    <row r="40" spans="1:3" x14ac:dyDescent="0.35">
      <c r="A40" s="32" t="str">
        <f>+B8</f>
        <v>AVI-54/60</v>
      </c>
      <c r="B40" s="33">
        <f>+P8</f>
        <v>4.2249905869467845</v>
      </c>
      <c r="C40" s="33">
        <f>+J8</f>
        <v>0.18754392221285165</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LMN-54/60</v>
      </c>
      <c r="B66" s="33">
        <f>+G4/1000</f>
        <v>3.3159999999999998</v>
      </c>
      <c r="C66" s="33">
        <f>+J4</f>
        <v>-1.2767607555109639</v>
      </c>
      <c r="D66" s="33">
        <f>+F4</f>
        <v>17.966132179999999</v>
      </c>
    </row>
    <row r="67" spans="1:4" x14ac:dyDescent="0.35">
      <c r="A67" s="32" t="str">
        <f>+B5</f>
        <v>INV-54/60</v>
      </c>
      <c r="B67" s="33">
        <f>+G5/1000</f>
        <v>2.7040000000000002</v>
      </c>
      <c r="C67" s="33">
        <f>+J5</f>
        <v>0.19567754157325812</v>
      </c>
      <c r="D67" s="33">
        <f>+F5</f>
        <v>17.295014675999997</v>
      </c>
    </row>
    <row r="68" spans="1:4" x14ac:dyDescent="0.35">
      <c r="A68" s="32" t="str">
        <f>+B6</f>
        <v>SBN-54/60</v>
      </c>
      <c r="B68" s="33">
        <f>+G6/1000</f>
        <v>8.4860000000000007</v>
      </c>
      <c r="C68" s="33">
        <f>+J6</f>
        <v>-0.30235844849877402</v>
      </c>
      <c r="D68" s="33">
        <f>+F6</f>
        <v>54.67931162</v>
      </c>
    </row>
    <row r="69" spans="1:4" x14ac:dyDescent="0.35">
      <c r="A69" s="32" t="str">
        <f>+B7</f>
        <v>SWD-54/60</v>
      </c>
      <c r="B69" s="33">
        <f>+G7/1000</f>
        <v>12.154999999999999</v>
      </c>
      <c r="C69" s="33">
        <f>+J7</f>
        <v>-0.45487607121007523</v>
      </c>
      <c r="D69" s="33">
        <f>+F7</f>
        <v>77.4060013</v>
      </c>
    </row>
    <row r="70" spans="1:4" x14ac:dyDescent="0.35">
      <c r="A70" s="32" t="str">
        <f>+B8</f>
        <v>AVI-54/60</v>
      </c>
      <c r="B70" s="33">
        <f>+G8/1000</f>
        <v>7.2770000000000001</v>
      </c>
      <c r="C70" s="33">
        <f>+J8</f>
        <v>0.18754392221285165</v>
      </c>
      <c r="D70" s="33">
        <f>+F8</f>
        <v>41.270464780000005</v>
      </c>
    </row>
  </sheetData>
  <mergeCells count="7">
    <mergeCell ref="S1:U1"/>
    <mergeCell ref="P1:Q1"/>
    <mergeCell ref="A3:C3"/>
    <mergeCell ref="D1:D2"/>
    <mergeCell ref="F1:F2"/>
    <mergeCell ref="G1:G2"/>
    <mergeCell ref="I1:M1"/>
  </mergeCells>
  <conditionalFormatting sqref="I3:N9">
    <cfRule type="cellIs" dxfId="11" priority="5" operator="greaterThanOrEqual">
      <formula>0</formula>
    </cfRule>
    <cfRule type="cellIs" dxfId="10" priority="6" operator="lessThan">
      <formula>0</formula>
    </cfRule>
  </conditionalFormatting>
  <conditionalFormatting sqref="P4:Q9">
    <cfRule type="cellIs" dxfId="9" priority="3" operator="greaterThanOrEqual">
      <formula>0</formula>
    </cfRule>
    <cfRule type="cellIs" dxfId="8" priority="4" operator="lessThan">
      <formula>0</formula>
    </cfRule>
  </conditionalFormatting>
  <conditionalFormatting sqref="S4:U9">
    <cfRule type="cellIs" dxfId="7" priority="9" operator="greaterThanOrEqual">
      <formula>0</formula>
    </cfRule>
    <cfRule type="cellIs" dxfId="6" priority="10" operator="lessThan">
      <formula>0</formula>
    </cfRule>
  </conditionalFormatting>
  <hyperlinks>
    <hyperlink ref="C1" location="GCF_2024!A1" display="Grįžti į pagrindinį puslapį" xr:uid="{00000000-0004-0000-0700-000000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50" style="16" customWidth="1"/>
    <col min="4" max="4" width="16" style="16" customWidth="1"/>
    <col min="5" max="5" width="16.1796875" style="16" bestFit="1" customWidth="1"/>
    <col min="6" max="6" width="19.453125" style="16" customWidth="1"/>
    <col min="7" max="7" width="12.453125" style="16" customWidth="1"/>
    <col min="8" max="8" width="3.453125" style="16" customWidth="1"/>
    <col min="9" max="9" width="17.54296875" style="16" customWidth="1"/>
    <col min="10" max="10" width="18.1796875" style="16" customWidth="1"/>
    <col min="11" max="11" width="17.81640625" style="16" customWidth="1"/>
    <col min="12" max="12" width="15" style="16" customWidth="1"/>
    <col min="13" max="13" width="18.1796875" style="16" customWidth="1"/>
    <col min="14" max="14" width="18.54296875" style="16" customWidth="1"/>
    <col min="15" max="15" width="3.453125" style="16" customWidth="1"/>
    <col min="16" max="16" width="17.54296875" style="16" customWidth="1"/>
    <col min="17" max="17" width="17.1796875" style="16" customWidth="1"/>
    <col min="18" max="18" width="3.453125" style="16" customWidth="1"/>
    <col min="19" max="19" width="11" style="16" customWidth="1"/>
    <col min="20" max="20" width="11.1796875" style="16" customWidth="1"/>
    <col min="21" max="21" width="12.453125" style="16" customWidth="1"/>
    <col min="22" max="16384" width="8.81640625" style="16"/>
  </cols>
  <sheetData>
    <row r="1" spans="1:21" ht="22.4" customHeight="1" x14ac:dyDescent="0.35">
      <c r="A1" s="25">
        <f>+GCF_2024!A1</f>
        <v>45382</v>
      </c>
      <c r="B1" s="26"/>
      <c r="C1" s="86" t="s">
        <v>76</v>
      </c>
      <c r="D1" s="102" t="s">
        <v>90</v>
      </c>
      <c r="E1" s="31" t="s">
        <v>75</v>
      </c>
      <c r="F1" s="102" t="s">
        <v>100</v>
      </c>
      <c r="G1" s="102" t="s">
        <v>71</v>
      </c>
      <c r="H1" s="28"/>
      <c r="I1" s="100" t="s">
        <v>72</v>
      </c>
      <c r="J1" s="106">
        <v>0</v>
      </c>
      <c r="K1" s="106"/>
      <c r="L1" s="106">
        <v>0</v>
      </c>
      <c r="M1" s="106">
        <v>0</v>
      </c>
      <c r="N1" s="88"/>
      <c r="O1" s="29"/>
      <c r="P1" s="104" t="s">
        <v>97</v>
      </c>
      <c r="Q1" s="105">
        <v>0</v>
      </c>
      <c r="R1" s="29"/>
      <c r="S1" s="100" t="s">
        <v>166</v>
      </c>
      <c r="T1" s="106">
        <v>0</v>
      </c>
      <c r="U1" s="106">
        <v>0</v>
      </c>
    </row>
    <row r="2" spans="1:21"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99</v>
      </c>
      <c r="F2" s="103">
        <v>0</v>
      </c>
      <c r="G2" s="103">
        <v>0</v>
      </c>
      <c r="H2" s="28"/>
      <c r="I2" s="64" t="s">
        <v>92</v>
      </c>
      <c r="J2" s="24" t="s">
        <v>156</v>
      </c>
      <c r="K2" s="24" t="s">
        <v>157</v>
      </c>
      <c r="L2" s="24" t="s">
        <v>94</v>
      </c>
      <c r="M2" s="24" t="s">
        <v>158</v>
      </c>
      <c r="N2" s="24" t="s">
        <v>159</v>
      </c>
      <c r="O2" s="30"/>
      <c r="P2" s="24" t="s">
        <v>111</v>
      </c>
      <c r="Q2" s="24" t="s">
        <v>112</v>
      </c>
      <c r="R2" s="30"/>
      <c r="S2" s="24" t="s">
        <v>149</v>
      </c>
      <c r="T2" s="24" t="s">
        <v>150</v>
      </c>
      <c r="U2" s="24" t="s">
        <v>151</v>
      </c>
    </row>
    <row r="3" spans="1:21" ht="29.15" customHeight="1" x14ac:dyDescent="0.35">
      <c r="A3" s="107" t="str">
        <f>+GCF_2024!A52</f>
        <v>Pensijų turto išsaugojimo pensijų fondai</v>
      </c>
      <c r="B3" s="107"/>
      <c r="C3" s="107"/>
      <c r="D3" s="44"/>
      <c r="E3" s="44"/>
      <c r="F3" s="45"/>
      <c r="G3" s="70" t="s">
        <v>98</v>
      </c>
      <c r="H3" s="45"/>
      <c r="I3" s="67">
        <v>1.7945126804002889</v>
      </c>
      <c r="J3" s="67">
        <v>-0.33450881680553707</v>
      </c>
      <c r="K3" s="67">
        <v>1.901692084208209</v>
      </c>
      <c r="L3" s="67">
        <v>1.2337393145903337</v>
      </c>
      <c r="M3" s="67">
        <v>-1.3006149261371724</v>
      </c>
      <c r="N3" s="67">
        <v>1.0316834378786672</v>
      </c>
      <c r="O3" s="45"/>
      <c r="P3" s="45"/>
      <c r="Q3" s="45"/>
      <c r="R3" s="45"/>
      <c r="S3" s="45"/>
      <c r="T3" s="45"/>
      <c r="U3" s="45"/>
    </row>
    <row r="4" spans="1:21" customFormat="1" ht="14.5" x14ac:dyDescent="0.35">
      <c r="A4" s="32" t="str">
        <f>+GCF_2024!A53</f>
        <v xml:space="preserve">Luminor investicijų valdymas UAB </v>
      </c>
      <c r="B4" s="32" t="str">
        <f>+GCF_2024!B53</f>
        <v>LMN-TIPF</v>
      </c>
      <c r="C4" s="32" t="str">
        <f>+GCF_2024!C53</f>
        <v>Luminor turto išsaugojimo fondas</v>
      </c>
      <c r="D4" s="66" t="s">
        <v>161</v>
      </c>
      <c r="E4" s="34">
        <v>10</v>
      </c>
      <c r="F4" s="33">
        <v>8.6755345100000003</v>
      </c>
      <c r="G4" s="35">
        <v>2363</v>
      </c>
      <c r="H4" s="22"/>
      <c r="I4" s="36">
        <v>1.1894484412469986</v>
      </c>
      <c r="J4" s="36">
        <v>-0.95471222531506861</v>
      </c>
      <c r="K4" s="36">
        <v>1.0483332289540126</v>
      </c>
      <c r="L4" s="36">
        <v>0.71026715709365806</v>
      </c>
      <c r="M4" s="36">
        <v>-0.38885865802686936</v>
      </c>
      <c r="N4" s="36">
        <v>1.3740093872165238</v>
      </c>
      <c r="O4" s="23"/>
      <c r="P4" s="36">
        <v>4.6735311577836764</v>
      </c>
      <c r="Q4" s="36">
        <v>4.8465881799853845</v>
      </c>
      <c r="R4" s="23"/>
      <c r="S4" s="36">
        <v>0.19</v>
      </c>
      <c r="T4" s="36">
        <v>0.35000000000000003</v>
      </c>
      <c r="U4" s="36" t="s">
        <v>91</v>
      </c>
    </row>
    <row r="5" spans="1:21" customFormat="1" ht="14.5" x14ac:dyDescent="0.35">
      <c r="A5" s="32" t="str">
        <f>+GCF_2024!A54</f>
        <v>UAB „SB Asset Management“</v>
      </c>
      <c r="B5" s="32" t="str">
        <f>+GCF_2024!B54</f>
        <v>INV-TIPF</v>
      </c>
      <c r="C5" s="32" t="str">
        <f>+GCF_2024!C54</f>
        <v>INVL pensijų turto išsaugojimo fondas</v>
      </c>
      <c r="D5" s="66" t="s">
        <v>161</v>
      </c>
      <c r="E5" s="34">
        <v>17</v>
      </c>
      <c r="F5" s="33">
        <v>10.4704210249</v>
      </c>
      <c r="G5" s="35">
        <v>1991</v>
      </c>
      <c r="H5" s="22"/>
      <c r="I5" s="36">
        <v>2.1108416419653331</v>
      </c>
      <c r="J5" s="36">
        <v>0.25048728444545532</v>
      </c>
      <c r="K5" s="36">
        <v>2.7499497802666806</v>
      </c>
      <c r="L5" s="36">
        <v>1.9983522502538209</v>
      </c>
      <c r="M5" s="36">
        <v>-0.40236420872609147</v>
      </c>
      <c r="N5" s="36">
        <v>2.6197581684388016</v>
      </c>
      <c r="O5" s="23"/>
      <c r="P5" s="36">
        <v>4.3913568230274045</v>
      </c>
      <c r="Q5" s="36">
        <v>4.6389796005277582</v>
      </c>
      <c r="R5" s="23"/>
      <c r="S5" s="36">
        <v>0.2</v>
      </c>
      <c r="T5" s="36">
        <v>0.3</v>
      </c>
      <c r="U5" s="36">
        <v>0.3</v>
      </c>
    </row>
    <row r="6" spans="1:21" customFormat="1" ht="14.5" x14ac:dyDescent="0.35">
      <c r="A6" s="32" t="str">
        <f>+GCF_2024!A55</f>
        <v>UAB „SEB investicijų valdymas“</v>
      </c>
      <c r="B6" s="32" t="str">
        <f>+GCF_2024!B55</f>
        <v>SBN-TIPF</v>
      </c>
      <c r="C6" s="32" t="str">
        <f>+GCF_2024!C55</f>
        <v>SEB turto išsaugojimo pensijų kaupimo fondas</v>
      </c>
      <c r="D6" s="66" t="s">
        <v>161</v>
      </c>
      <c r="E6" s="34">
        <v>15</v>
      </c>
      <c r="F6" s="33">
        <v>40.61919177</v>
      </c>
      <c r="G6" s="35">
        <v>5630</v>
      </c>
      <c r="H6" s="22"/>
      <c r="I6" s="36">
        <v>1.8741258741258759</v>
      </c>
      <c r="J6" s="36">
        <v>-0.24590263184445238</v>
      </c>
      <c r="K6" s="36">
        <v>2.1341684359550861</v>
      </c>
      <c r="L6" s="36">
        <v>1.3654304737009904</v>
      </c>
      <c r="M6" s="36">
        <v>-0.57989567365299699</v>
      </c>
      <c r="N6" s="36">
        <v>1.8225586261438664</v>
      </c>
      <c r="O6" s="23"/>
      <c r="P6" s="36">
        <v>4.9432855707281176</v>
      </c>
      <c r="Q6" s="36">
        <v>5.9970478346794698</v>
      </c>
      <c r="R6" s="23"/>
      <c r="S6" s="36">
        <v>0.2</v>
      </c>
      <c r="T6" s="36">
        <v>0.32</v>
      </c>
      <c r="U6" s="36" t="s">
        <v>91</v>
      </c>
    </row>
    <row r="7" spans="1:21" customFormat="1" ht="14.5" x14ac:dyDescent="0.35">
      <c r="A7" s="32" t="str">
        <f>+GCF_2024!A56</f>
        <v>UAB „Swedbank investicijų valdymas“</v>
      </c>
      <c r="B7" s="32" t="str">
        <f>+GCF_2024!B56</f>
        <v>SWD-TIPF</v>
      </c>
      <c r="C7" s="32" t="str">
        <f>+GCF_2024!C56</f>
        <v>Swedbank turto išsaugojimo pensijų fondas</v>
      </c>
      <c r="D7" s="66" t="s">
        <v>161</v>
      </c>
      <c r="E7" s="34">
        <v>15</v>
      </c>
      <c r="F7" s="33">
        <v>52.474123609999999</v>
      </c>
      <c r="G7" s="35">
        <v>6885</v>
      </c>
      <c r="H7" s="22"/>
      <c r="I7" s="36">
        <v>1.7290799815071756</v>
      </c>
      <c r="J7" s="36">
        <v>2.7282649589377428E-2</v>
      </c>
      <c r="K7" s="36">
        <v>2.3648795556395319</v>
      </c>
      <c r="L7" s="36">
        <v>1.2802046765066244</v>
      </c>
      <c r="M7" s="36">
        <v>-2.6778478766189551</v>
      </c>
      <c r="N7" s="36">
        <v>9.5802040271442124E-2</v>
      </c>
      <c r="O7" s="23"/>
      <c r="P7" s="36">
        <v>5.2969705831025617</v>
      </c>
      <c r="Q7" s="36">
        <v>7.8055058525768439</v>
      </c>
      <c r="R7" s="23"/>
      <c r="S7" s="36">
        <v>0.2</v>
      </c>
      <c r="T7" s="36" t="s">
        <v>91</v>
      </c>
      <c r="U7" s="36">
        <v>0.22639999999999999</v>
      </c>
    </row>
    <row r="8" spans="1:21" customFormat="1" ht="14.5" x14ac:dyDescent="0.35">
      <c r="A8" s="32" t="str">
        <f>+GCF_2024!A57</f>
        <v>Allianz Lietuva gyvybės draudimas UAB</v>
      </c>
      <c r="B8" s="32" t="str">
        <f>+GCF_2024!B57</f>
        <v>AVI-TIPF</v>
      </c>
      <c r="C8" s="69" t="str">
        <f>+GCF_2024!C57</f>
        <v>Allianz S turto išsaugojimo pensijų fondas</v>
      </c>
      <c r="D8" s="66" t="s">
        <v>161</v>
      </c>
      <c r="E8" s="34">
        <v>10</v>
      </c>
      <c r="F8" s="33">
        <v>23.489563969999999</v>
      </c>
      <c r="G8" s="35">
        <v>5891</v>
      </c>
      <c r="H8" s="22"/>
      <c r="I8" s="36">
        <v>1.9175926836463741</v>
      </c>
      <c r="J8" s="36">
        <v>-1.3276460747667862</v>
      </c>
      <c r="K8" s="36">
        <v>0.40202060430125641</v>
      </c>
      <c r="L8" s="36">
        <v>0.75472505125306899</v>
      </c>
      <c r="M8" s="36">
        <v>-0.20740508957978188</v>
      </c>
      <c r="N8" s="36">
        <v>0.92044993714646139</v>
      </c>
      <c r="O8" s="23"/>
      <c r="P8" s="36">
        <v>3.9770742131084633</v>
      </c>
      <c r="Q8" s="36">
        <v>3.4997270887927479</v>
      </c>
      <c r="R8" s="23"/>
      <c r="S8" s="36">
        <v>0.2</v>
      </c>
      <c r="T8" s="36">
        <v>0.33</v>
      </c>
      <c r="U8" s="36" t="s">
        <v>91</v>
      </c>
    </row>
    <row r="9" spans="1:21" customFormat="1" ht="14.5" x14ac:dyDescent="0.35">
      <c r="A9" s="32" t="str">
        <f>+GCF_2024!A58</f>
        <v>Goindex, UAB</v>
      </c>
      <c r="B9" s="32" t="str">
        <f>+GCF_2024!B58</f>
        <v>GOX-TIPF</v>
      </c>
      <c r="C9" s="69" t="str">
        <f>+GCF_2024!C58</f>
        <v>Goindex turto išsaugojimo pensijų fondas</v>
      </c>
      <c r="D9" s="66" t="s">
        <v>162</v>
      </c>
      <c r="E9" s="34">
        <v>0</v>
      </c>
      <c r="F9" s="33">
        <v>0.36708741449999999</v>
      </c>
      <c r="G9" s="35">
        <v>26</v>
      </c>
      <c r="H9" s="22"/>
      <c r="I9" s="36">
        <v>-0.26014066865788221</v>
      </c>
      <c r="J9" s="36" t="s">
        <v>164</v>
      </c>
      <c r="K9" s="36" t="s">
        <v>164</v>
      </c>
      <c r="L9" s="36">
        <v>-0.15436565364207455</v>
      </c>
      <c r="M9" s="36" t="s">
        <v>164</v>
      </c>
      <c r="N9" s="36" t="s">
        <v>164</v>
      </c>
      <c r="O9" s="23"/>
      <c r="P9" s="36" t="s">
        <v>164</v>
      </c>
      <c r="Q9" s="36" t="s">
        <v>164</v>
      </c>
      <c r="R9" s="23"/>
      <c r="S9" s="36">
        <v>0.18</v>
      </c>
      <c r="T9" s="36">
        <v>0.34</v>
      </c>
      <c r="U9" s="36" t="s">
        <v>91</v>
      </c>
    </row>
    <row r="10" spans="1:21" x14ac:dyDescent="0.35">
      <c r="A10" s="17"/>
      <c r="B10" s="17"/>
      <c r="C10" s="17"/>
      <c r="D10" s="17"/>
      <c r="E10" s="17"/>
      <c r="F10" s="17"/>
      <c r="G10" s="17"/>
      <c r="H10" s="17"/>
      <c r="I10" s="17"/>
      <c r="J10" s="17"/>
      <c r="K10" s="17"/>
      <c r="L10" s="17"/>
      <c r="M10" s="17"/>
      <c r="N10" s="17"/>
      <c r="O10" s="17"/>
      <c r="P10" s="17"/>
      <c r="Q10" s="17"/>
      <c r="R10" s="17"/>
    </row>
    <row r="11" spans="1:21"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1" s="55" customFormat="1" ht="13.5" x14ac:dyDescent="0.3">
      <c r="A12" s="49" t="str">
        <f>+GCF_2024!A63</f>
        <v>[1] Apskaitos vieneto vertės pokytis. Juo atsižvelgiama į atskaitymus nuo turto.</v>
      </c>
      <c r="B12" s="53"/>
      <c r="C12" s="53"/>
    </row>
    <row r="13" spans="1:21"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1"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1" s="55" customFormat="1" ht="13.5" x14ac:dyDescent="0.3">
      <c r="A15" s="53" t="str">
        <f>+GCF_2024!A66</f>
        <v>[4] Svertiniam vidurkiui apskaičiuoti naudotas 2024-03-29 dienos fondų grynųjų aktyvų dydis.</v>
      </c>
      <c r="B15" s="54"/>
      <c r="C15" s="54"/>
    </row>
    <row r="16" spans="1:21"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x14ac:dyDescent="0.35">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x14ac:dyDescent="0.35">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x14ac:dyDescent="0.35">
      <c r="A21" s="56" t="str">
        <f>+GCF_2024!A72</f>
        <v>[10] Apskaičiuota taikant geometrinį vidurkį.</v>
      </c>
    </row>
    <row r="22" spans="1:5" x14ac:dyDescent="0.35">
      <c r="A22" s="56" t="str">
        <f>+GCF_2024!A73</f>
        <v>[11] Goindex, UAB valdomi pensijų fondai įsteigti 2022-07-05.</v>
      </c>
    </row>
    <row r="23" spans="1:5" x14ac:dyDescent="0.35">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LMN-TIPF</v>
      </c>
      <c r="B36" s="33">
        <f>+P4</f>
        <v>4.6735311577836764</v>
      </c>
      <c r="C36" s="33">
        <f>+J4</f>
        <v>-0.95471222531506861</v>
      </c>
    </row>
    <row r="37" spans="1:3" x14ac:dyDescent="0.35">
      <c r="A37" s="32" t="str">
        <f>+B5</f>
        <v>INV-TIPF</v>
      </c>
      <c r="B37" s="33">
        <f>+P5</f>
        <v>4.3913568230274045</v>
      </c>
      <c r="C37" s="33">
        <f>+J5</f>
        <v>0.25048728444545532</v>
      </c>
    </row>
    <row r="38" spans="1:3" x14ac:dyDescent="0.35">
      <c r="A38" s="32" t="str">
        <f>+B6</f>
        <v>SBN-TIPF</v>
      </c>
      <c r="B38" s="33">
        <f>+P6</f>
        <v>4.9432855707281176</v>
      </c>
      <c r="C38" s="33">
        <f>+J6</f>
        <v>-0.24590263184445238</v>
      </c>
    </row>
    <row r="39" spans="1:3" x14ac:dyDescent="0.35">
      <c r="A39" s="32" t="str">
        <f>+B7</f>
        <v>SWD-TIPF</v>
      </c>
      <c r="B39" s="33">
        <f>+P7</f>
        <v>5.2969705831025617</v>
      </c>
      <c r="C39" s="33">
        <f>+J7</f>
        <v>2.7282649589377428E-2</v>
      </c>
    </row>
    <row r="40" spans="1:3" x14ac:dyDescent="0.35">
      <c r="A40" s="32" t="str">
        <f>+B8</f>
        <v>AVI-TIPF</v>
      </c>
      <c r="B40" s="33">
        <f>+P8</f>
        <v>3.9770742131084633</v>
      </c>
      <c r="C40" s="33">
        <f>+J8</f>
        <v>-1.3276460747667862</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LMN-TIPF</v>
      </c>
      <c r="B66" s="33">
        <f>+G4/1000</f>
        <v>2.363</v>
      </c>
      <c r="C66" s="33">
        <f>+J4</f>
        <v>-0.95471222531506861</v>
      </c>
      <c r="D66" s="33">
        <f>+F4</f>
        <v>8.6755345100000003</v>
      </c>
    </row>
    <row r="67" spans="1:4" x14ac:dyDescent="0.35">
      <c r="A67" s="32" t="str">
        <f>+B5</f>
        <v>INV-TIPF</v>
      </c>
      <c r="B67" s="33">
        <f>+G5/1000</f>
        <v>1.9910000000000001</v>
      </c>
      <c r="C67" s="33">
        <f>+J5</f>
        <v>0.25048728444545532</v>
      </c>
      <c r="D67" s="33">
        <f>+F5</f>
        <v>10.4704210249</v>
      </c>
    </row>
    <row r="68" spans="1:4" x14ac:dyDescent="0.35">
      <c r="A68" s="32" t="str">
        <f>+B6</f>
        <v>SBN-TIPF</v>
      </c>
      <c r="B68" s="33">
        <f>+G6/1000</f>
        <v>5.63</v>
      </c>
      <c r="C68" s="33">
        <f>+J6</f>
        <v>-0.24590263184445238</v>
      </c>
      <c r="D68" s="33">
        <f>+F6</f>
        <v>40.61919177</v>
      </c>
    </row>
    <row r="69" spans="1:4" x14ac:dyDescent="0.35">
      <c r="A69" s="32" t="str">
        <f>+B7</f>
        <v>SWD-TIPF</v>
      </c>
      <c r="B69" s="33">
        <f>+G7/1000</f>
        <v>6.8849999999999998</v>
      </c>
      <c r="C69" s="33">
        <f>+J7</f>
        <v>2.7282649589377428E-2</v>
      </c>
      <c r="D69" s="33">
        <f>+F7</f>
        <v>52.474123609999999</v>
      </c>
    </row>
    <row r="70" spans="1:4" x14ac:dyDescent="0.35">
      <c r="A70" s="32" t="str">
        <f>+B8</f>
        <v>AVI-TIPF</v>
      </c>
      <c r="B70" s="33">
        <f>+G8/1000</f>
        <v>5.891</v>
      </c>
      <c r="C70" s="33">
        <f>+J8</f>
        <v>-1.3276460747667862</v>
      </c>
      <c r="D70" s="33">
        <f>+F8</f>
        <v>23.489563969999999</v>
      </c>
    </row>
  </sheetData>
  <mergeCells count="7">
    <mergeCell ref="S1:U1"/>
    <mergeCell ref="P1:Q1"/>
    <mergeCell ref="A3:C3"/>
    <mergeCell ref="D1:D2"/>
    <mergeCell ref="F1:F2"/>
    <mergeCell ref="G1:G2"/>
    <mergeCell ref="I1:M1"/>
  </mergeCells>
  <conditionalFormatting sqref="I3:N9">
    <cfRule type="cellIs" dxfId="5" priority="5" operator="greaterThanOrEqual">
      <formula>0</formula>
    </cfRule>
    <cfRule type="cellIs" dxfId="4" priority="6" operator="lessThan">
      <formula>0</formula>
    </cfRule>
  </conditionalFormatting>
  <conditionalFormatting sqref="P4:Q9">
    <cfRule type="cellIs" dxfId="3" priority="3" operator="greaterThanOrEqual">
      <formula>0</formula>
    </cfRule>
    <cfRule type="cellIs" dxfId="2" priority="4" operator="lessThan">
      <formula>0</formula>
    </cfRule>
  </conditionalFormatting>
  <conditionalFormatting sqref="S4:U9">
    <cfRule type="cellIs" dxfId="1" priority="9" operator="greaterThanOrEqual">
      <formula>0</formula>
    </cfRule>
    <cfRule type="cellIs" dxfId="0" priority="10" operator="lessThan">
      <formula>0</formula>
    </cfRule>
  </conditionalFormatting>
  <hyperlinks>
    <hyperlink ref="C1" location="GCF_2024!A1" display="Grįžti į pagrindinį puslapį" xr:uid="{00000000-0004-0000-0800-000000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4.9989318521683403E-2"/>
  </sheetPr>
  <dimension ref="A1:O69"/>
  <sheetViews>
    <sheetView showGridLines="0" zoomScale="70" zoomScaleNormal="7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102" t="s">
        <v>74</v>
      </c>
      <c r="B1" s="100" t="s">
        <v>80</v>
      </c>
      <c r="C1" s="106"/>
      <c r="D1" s="106"/>
      <c r="E1" s="106"/>
      <c r="F1" s="106"/>
      <c r="G1" s="106"/>
      <c r="O1" s="19"/>
    </row>
    <row r="2" spans="1:15" ht="59.15" customHeight="1" x14ac:dyDescent="0.25">
      <c r="A2" s="103" t="s">
        <v>74</v>
      </c>
      <c r="B2" s="24" t="s">
        <v>88</v>
      </c>
      <c r="C2" s="24" t="s">
        <v>160</v>
      </c>
      <c r="D2" s="24" t="s">
        <v>89</v>
      </c>
      <c r="E2" s="24" t="s">
        <v>36</v>
      </c>
      <c r="F2" s="24" t="s">
        <v>116</v>
      </c>
      <c r="G2" s="24" t="s">
        <v>131</v>
      </c>
      <c r="H2" s="86" t="s">
        <v>76</v>
      </c>
    </row>
    <row r="3" spans="1:15" x14ac:dyDescent="0.25">
      <c r="A3" s="57">
        <v>20</v>
      </c>
      <c r="B3" s="34">
        <v>98</v>
      </c>
      <c r="C3" s="34">
        <v>97</v>
      </c>
      <c r="D3" s="34">
        <v>97</v>
      </c>
      <c r="E3" s="34">
        <v>90</v>
      </c>
      <c r="F3" s="34">
        <v>90</v>
      </c>
      <c r="G3" s="34">
        <v>100</v>
      </c>
    </row>
    <row r="4" spans="1:15" x14ac:dyDescent="0.25">
      <c r="A4" s="57">
        <v>21</v>
      </c>
      <c r="B4" s="34">
        <v>98</v>
      </c>
      <c r="C4" s="34">
        <v>97</v>
      </c>
      <c r="D4" s="34">
        <v>97</v>
      </c>
      <c r="E4" s="34">
        <v>90</v>
      </c>
      <c r="F4" s="34">
        <v>90</v>
      </c>
      <c r="G4" s="34">
        <v>100</v>
      </c>
    </row>
    <row r="5" spans="1:15" x14ac:dyDescent="0.25">
      <c r="A5" s="57">
        <v>22</v>
      </c>
      <c r="B5" s="34">
        <v>98</v>
      </c>
      <c r="C5" s="34">
        <v>97</v>
      </c>
      <c r="D5" s="34">
        <v>97</v>
      </c>
      <c r="E5" s="34">
        <v>90</v>
      </c>
      <c r="F5" s="34">
        <v>90</v>
      </c>
      <c r="G5" s="34">
        <v>100</v>
      </c>
    </row>
    <row r="6" spans="1:15" x14ac:dyDescent="0.25">
      <c r="A6" s="57">
        <v>23</v>
      </c>
      <c r="B6" s="34">
        <v>98</v>
      </c>
      <c r="C6" s="34">
        <v>97</v>
      </c>
      <c r="D6" s="34">
        <v>97</v>
      </c>
      <c r="E6" s="34">
        <v>90</v>
      </c>
      <c r="F6" s="34">
        <v>90</v>
      </c>
      <c r="G6" s="34">
        <v>100</v>
      </c>
    </row>
    <row r="7" spans="1:15" x14ac:dyDescent="0.25">
      <c r="A7" s="57">
        <v>24</v>
      </c>
      <c r="B7" s="34">
        <v>98</v>
      </c>
      <c r="C7" s="34">
        <v>97</v>
      </c>
      <c r="D7" s="34">
        <v>97</v>
      </c>
      <c r="E7" s="34">
        <v>90</v>
      </c>
      <c r="F7" s="34">
        <v>90</v>
      </c>
      <c r="G7" s="34">
        <v>100</v>
      </c>
    </row>
    <row r="8" spans="1:15" x14ac:dyDescent="0.25">
      <c r="A8" s="57">
        <v>25</v>
      </c>
      <c r="B8" s="34">
        <v>98</v>
      </c>
      <c r="C8" s="34">
        <v>97</v>
      </c>
      <c r="D8" s="34">
        <v>97</v>
      </c>
      <c r="E8" s="34">
        <v>90</v>
      </c>
      <c r="F8" s="34">
        <v>90</v>
      </c>
      <c r="G8" s="34">
        <v>100</v>
      </c>
    </row>
    <row r="9" spans="1:15" x14ac:dyDescent="0.25">
      <c r="A9" s="57">
        <v>26</v>
      </c>
      <c r="B9" s="34">
        <v>98</v>
      </c>
      <c r="C9" s="34">
        <v>97</v>
      </c>
      <c r="D9" s="34">
        <v>97</v>
      </c>
      <c r="E9" s="34">
        <v>90</v>
      </c>
      <c r="F9" s="34">
        <v>90</v>
      </c>
      <c r="G9" s="34">
        <v>100</v>
      </c>
    </row>
    <row r="10" spans="1:15" x14ac:dyDescent="0.25">
      <c r="A10" s="57">
        <v>27</v>
      </c>
      <c r="B10" s="34">
        <v>98</v>
      </c>
      <c r="C10" s="34">
        <v>97</v>
      </c>
      <c r="D10" s="34">
        <v>97</v>
      </c>
      <c r="E10" s="34">
        <v>90</v>
      </c>
      <c r="F10" s="34">
        <v>90</v>
      </c>
      <c r="G10" s="34">
        <v>100</v>
      </c>
    </row>
    <row r="11" spans="1:15" x14ac:dyDescent="0.25">
      <c r="A11" s="57">
        <v>28</v>
      </c>
      <c r="B11" s="34">
        <v>98</v>
      </c>
      <c r="C11" s="34">
        <v>97</v>
      </c>
      <c r="D11" s="34">
        <v>97</v>
      </c>
      <c r="E11" s="34">
        <v>90</v>
      </c>
      <c r="F11" s="34">
        <v>90</v>
      </c>
      <c r="G11" s="34">
        <v>100</v>
      </c>
    </row>
    <row r="12" spans="1:15" x14ac:dyDescent="0.25">
      <c r="A12" s="57">
        <v>29</v>
      </c>
      <c r="B12" s="34">
        <v>98</v>
      </c>
      <c r="C12" s="34">
        <v>97</v>
      </c>
      <c r="D12" s="34">
        <v>97</v>
      </c>
      <c r="E12" s="34">
        <v>90</v>
      </c>
      <c r="F12" s="34">
        <v>90</v>
      </c>
      <c r="G12" s="34">
        <v>100</v>
      </c>
    </row>
    <row r="13" spans="1:15" x14ac:dyDescent="0.25">
      <c r="A13" s="57">
        <v>30</v>
      </c>
      <c r="B13" s="34">
        <v>98</v>
      </c>
      <c r="C13" s="34">
        <v>97</v>
      </c>
      <c r="D13" s="34">
        <v>97</v>
      </c>
      <c r="E13" s="34">
        <v>90</v>
      </c>
      <c r="F13" s="34">
        <v>90</v>
      </c>
      <c r="G13" s="34">
        <v>100</v>
      </c>
    </row>
    <row r="14" spans="1:15" x14ac:dyDescent="0.25">
      <c r="A14" s="57">
        <v>31</v>
      </c>
      <c r="B14" s="34">
        <v>98</v>
      </c>
      <c r="C14" s="34">
        <v>97</v>
      </c>
      <c r="D14" s="34">
        <v>97</v>
      </c>
      <c r="E14" s="34">
        <v>90</v>
      </c>
      <c r="F14" s="34">
        <v>90</v>
      </c>
      <c r="G14" s="34">
        <v>100</v>
      </c>
    </row>
    <row r="15" spans="1:15" x14ac:dyDescent="0.25">
      <c r="A15" s="57">
        <v>32</v>
      </c>
      <c r="B15" s="34">
        <v>98</v>
      </c>
      <c r="C15" s="34">
        <v>97</v>
      </c>
      <c r="D15" s="34">
        <v>97</v>
      </c>
      <c r="E15" s="34">
        <v>90</v>
      </c>
      <c r="F15" s="34">
        <v>90</v>
      </c>
      <c r="G15" s="34">
        <v>100</v>
      </c>
    </row>
    <row r="16" spans="1:15" x14ac:dyDescent="0.25">
      <c r="A16" s="57">
        <v>33</v>
      </c>
      <c r="B16" s="34">
        <v>98</v>
      </c>
      <c r="C16" s="34">
        <v>97</v>
      </c>
      <c r="D16" s="34">
        <v>97</v>
      </c>
      <c r="E16" s="34">
        <v>90</v>
      </c>
      <c r="F16" s="34">
        <v>90</v>
      </c>
      <c r="G16" s="34">
        <v>100</v>
      </c>
    </row>
    <row r="17" spans="1:7" x14ac:dyDescent="0.25">
      <c r="A17" s="57">
        <v>34</v>
      </c>
      <c r="B17" s="34">
        <v>98</v>
      </c>
      <c r="C17" s="34">
        <v>97</v>
      </c>
      <c r="D17" s="34">
        <v>97</v>
      </c>
      <c r="E17" s="34">
        <v>90</v>
      </c>
      <c r="F17" s="34">
        <v>90</v>
      </c>
      <c r="G17" s="34">
        <v>100</v>
      </c>
    </row>
    <row r="18" spans="1:7" x14ac:dyDescent="0.25">
      <c r="A18" s="57">
        <v>35</v>
      </c>
      <c r="B18" s="34">
        <v>98</v>
      </c>
      <c r="C18" s="34">
        <v>97</v>
      </c>
      <c r="D18" s="34">
        <v>97</v>
      </c>
      <c r="E18" s="34">
        <v>90</v>
      </c>
      <c r="F18" s="34">
        <v>90</v>
      </c>
      <c r="G18" s="34">
        <v>100</v>
      </c>
    </row>
    <row r="19" spans="1:7" x14ac:dyDescent="0.25">
      <c r="A19" s="57">
        <v>36</v>
      </c>
      <c r="B19" s="34">
        <v>98</v>
      </c>
      <c r="C19" s="34">
        <v>97</v>
      </c>
      <c r="D19" s="34">
        <v>97</v>
      </c>
      <c r="E19" s="34">
        <v>90</v>
      </c>
      <c r="F19" s="34">
        <v>90</v>
      </c>
      <c r="G19" s="34">
        <v>100</v>
      </c>
    </row>
    <row r="20" spans="1:7" x14ac:dyDescent="0.25">
      <c r="A20" s="57">
        <v>37</v>
      </c>
      <c r="B20" s="34">
        <v>98</v>
      </c>
      <c r="C20" s="34">
        <v>97</v>
      </c>
      <c r="D20" s="34">
        <v>97</v>
      </c>
      <c r="E20" s="34">
        <v>90</v>
      </c>
      <c r="F20" s="34">
        <v>90</v>
      </c>
      <c r="G20" s="34">
        <v>100</v>
      </c>
    </row>
    <row r="21" spans="1:7" x14ac:dyDescent="0.25">
      <c r="A21" s="57">
        <v>38</v>
      </c>
      <c r="B21" s="34">
        <v>98</v>
      </c>
      <c r="C21" s="34">
        <v>97</v>
      </c>
      <c r="D21" s="34">
        <v>97</v>
      </c>
      <c r="E21" s="34">
        <v>90</v>
      </c>
      <c r="F21" s="34">
        <v>90</v>
      </c>
      <c r="G21" s="34">
        <v>100</v>
      </c>
    </row>
    <row r="22" spans="1:7" x14ac:dyDescent="0.25">
      <c r="A22" s="57">
        <v>39</v>
      </c>
      <c r="B22" s="34">
        <v>98</v>
      </c>
      <c r="C22" s="34">
        <v>97</v>
      </c>
      <c r="D22" s="34">
        <v>97</v>
      </c>
      <c r="E22" s="34">
        <v>90</v>
      </c>
      <c r="F22" s="34">
        <v>90</v>
      </c>
      <c r="G22" s="34">
        <v>100</v>
      </c>
    </row>
    <row r="23" spans="1:7" x14ac:dyDescent="0.25">
      <c r="A23" s="57">
        <v>40</v>
      </c>
      <c r="B23" s="34">
        <v>98</v>
      </c>
      <c r="C23" s="34">
        <v>97</v>
      </c>
      <c r="D23" s="34">
        <v>97</v>
      </c>
      <c r="E23" s="34">
        <v>90</v>
      </c>
      <c r="F23" s="34">
        <v>90</v>
      </c>
      <c r="G23" s="34">
        <v>100</v>
      </c>
    </row>
    <row r="24" spans="1:7" x14ac:dyDescent="0.25">
      <c r="A24" s="57">
        <v>41</v>
      </c>
      <c r="B24" s="34">
        <v>98</v>
      </c>
      <c r="C24" s="34">
        <v>97</v>
      </c>
      <c r="D24" s="34">
        <v>97</v>
      </c>
      <c r="E24" s="34">
        <v>90</v>
      </c>
      <c r="F24" s="34">
        <v>90</v>
      </c>
      <c r="G24" s="34">
        <v>100</v>
      </c>
    </row>
    <row r="25" spans="1:7" x14ac:dyDescent="0.25">
      <c r="A25" s="57">
        <v>42</v>
      </c>
      <c r="B25" s="34">
        <v>98</v>
      </c>
      <c r="C25" s="34">
        <v>97</v>
      </c>
      <c r="D25" s="34">
        <v>97</v>
      </c>
      <c r="E25" s="34">
        <v>90</v>
      </c>
      <c r="F25" s="34">
        <v>90</v>
      </c>
      <c r="G25" s="34">
        <v>100</v>
      </c>
    </row>
    <row r="26" spans="1:7" x14ac:dyDescent="0.25">
      <c r="A26" s="57">
        <v>43</v>
      </c>
      <c r="B26" s="34">
        <v>98</v>
      </c>
      <c r="C26" s="34">
        <v>97</v>
      </c>
      <c r="D26" s="34">
        <v>97</v>
      </c>
      <c r="E26" s="34">
        <v>90</v>
      </c>
      <c r="F26" s="34">
        <v>90</v>
      </c>
      <c r="G26" s="34">
        <v>100</v>
      </c>
    </row>
    <row r="27" spans="1:7" x14ac:dyDescent="0.25">
      <c r="A27" s="57">
        <v>44</v>
      </c>
      <c r="B27" s="34">
        <v>98</v>
      </c>
      <c r="C27" s="34">
        <v>97</v>
      </c>
      <c r="D27" s="34">
        <v>97</v>
      </c>
      <c r="E27" s="34">
        <v>90</v>
      </c>
      <c r="F27" s="34">
        <v>90</v>
      </c>
      <c r="G27" s="34">
        <v>100</v>
      </c>
    </row>
    <row r="28" spans="1:7" x14ac:dyDescent="0.25">
      <c r="A28" s="57">
        <v>45</v>
      </c>
      <c r="B28" s="34">
        <v>98</v>
      </c>
      <c r="C28" s="34">
        <v>97</v>
      </c>
      <c r="D28" s="34">
        <v>97</v>
      </c>
      <c r="E28" s="34">
        <v>90</v>
      </c>
      <c r="F28" s="34">
        <v>90</v>
      </c>
      <c r="G28" s="34">
        <v>100</v>
      </c>
    </row>
    <row r="29" spans="1:7" x14ac:dyDescent="0.25">
      <c r="A29" s="57">
        <v>46</v>
      </c>
      <c r="B29" s="34">
        <v>98</v>
      </c>
      <c r="C29" s="34">
        <v>97</v>
      </c>
      <c r="D29" s="34">
        <v>97</v>
      </c>
      <c r="E29" s="34">
        <v>90</v>
      </c>
      <c r="F29" s="34">
        <v>90</v>
      </c>
      <c r="G29" s="34">
        <v>100</v>
      </c>
    </row>
    <row r="30" spans="1:7" x14ac:dyDescent="0.25">
      <c r="A30" s="57">
        <v>47</v>
      </c>
      <c r="B30" s="34">
        <v>98</v>
      </c>
      <c r="C30" s="34">
        <v>97</v>
      </c>
      <c r="D30" s="34">
        <v>97</v>
      </c>
      <c r="E30" s="34">
        <v>90</v>
      </c>
      <c r="F30" s="34">
        <v>90</v>
      </c>
      <c r="G30" s="34">
        <v>100</v>
      </c>
    </row>
    <row r="31" spans="1:7" x14ac:dyDescent="0.25">
      <c r="A31" s="57">
        <v>48</v>
      </c>
      <c r="B31" s="34">
        <v>92.9</v>
      </c>
      <c r="C31" s="34">
        <v>91.88</v>
      </c>
      <c r="D31" s="34">
        <v>95</v>
      </c>
      <c r="E31" s="34">
        <v>90</v>
      </c>
      <c r="F31" s="34">
        <v>90</v>
      </c>
      <c r="G31" s="34">
        <v>100</v>
      </c>
    </row>
    <row r="32" spans="1:7" x14ac:dyDescent="0.25">
      <c r="A32" s="57">
        <v>49</v>
      </c>
      <c r="B32" s="34">
        <v>87.9</v>
      </c>
      <c r="C32" s="34">
        <v>86.77</v>
      </c>
      <c r="D32" s="34">
        <v>90</v>
      </c>
      <c r="E32" s="34">
        <v>90</v>
      </c>
      <c r="F32" s="34">
        <v>90</v>
      </c>
      <c r="G32" s="34">
        <v>100</v>
      </c>
    </row>
    <row r="33" spans="1:7" x14ac:dyDescent="0.25">
      <c r="A33" s="57">
        <v>50</v>
      </c>
      <c r="B33" s="34">
        <v>82.899999999999991</v>
      </c>
      <c r="C33" s="34">
        <v>81.64</v>
      </c>
      <c r="D33" s="34">
        <v>85</v>
      </c>
      <c r="E33" s="34">
        <v>85</v>
      </c>
      <c r="F33" s="34">
        <v>85</v>
      </c>
      <c r="G33" s="34">
        <v>100</v>
      </c>
    </row>
    <row r="34" spans="1:7" x14ac:dyDescent="0.25">
      <c r="A34" s="57">
        <v>51</v>
      </c>
      <c r="B34" s="34">
        <v>78</v>
      </c>
      <c r="C34" s="34">
        <v>76.530000000000015</v>
      </c>
      <c r="D34" s="34">
        <v>80</v>
      </c>
      <c r="E34" s="34">
        <v>80</v>
      </c>
      <c r="F34" s="34">
        <v>80</v>
      </c>
      <c r="G34" s="34">
        <v>100</v>
      </c>
    </row>
    <row r="35" spans="1:7" x14ac:dyDescent="0.25">
      <c r="A35" s="57">
        <v>52</v>
      </c>
      <c r="B35" s="34">
        <v>73.099999999999994</v>
      </c>
      <c r="C35" s="34">
        <v>71.41</v>
      </c>
      <c r="D35" s="34">
        <v>75</v>
      </c>
      <c r="E35" s="34">
        <v>75</v>
      </c>
      <c r="F35" s="34">
        <v>75</v>
      </c>
      <c r="G35" s="34">
        <v>100</v>
      </c>
    </row>
    <row r="36" spans="1:7" x14ac:dyDescent="0.25">
      <c r="A36" s="57">
        <v>53</v>
      </c>
      <c r="B36" s="34">
        <v>68.099999999999994</v>
      </c>
      <c r="C36" s="34">
        <v>66.3</v>
      </c>
      <c r="D36" s="34">
        <v>70</v>
      </c>
      <c r="E36" s="34">
        <v>70</v>
      </c>
      <c r="F36" s="34">
        <v>70</v>
      </c>
      <c r="G36" s="34">
        <v>100</v>
      </c>
    </row>
    <row r="37" spans="1:7" x14ac:dyDescent="0.25">
      <c r="A37" s="57">
        <v>54</v>
      </c>
      <c r="B37" s="34">
        <v>63.3</v>
      </c>
      <c r="C37" s="34">
        <v>61.18</v>
      </c>
      <c r="D37" s="34">
        <v>65</v>
      </c>
      <c r="E37" s="34">
        <v>65</v>
      </c>
      <c r="F37" s="34">
        <v>65</v>
      </c>
      <c r="G37" s="34">
        <v>100</v>
      </c>
    </row>
    <row r="38" spans="1:7" x14ac:dyDescent="0.25">
      <c r="A38" s="57">
        <v>55</v>
      </c>
      <c r="B38" s="34">
        <v>58.5</v>
      </c>
      <c r="C38" s="34">
        <v>56.06</v>
      </c>
      <c r="D38" s="34">
        <v>60</v>
      </c>
      <c r="E38" s="34">
        <v>60</v>
      </c>
      <c r="F38" s="34">
        <v>60</v>
      </c>
      <c r="G38" s="34">
        <v>90</v>
      </c>
    </row>
    <row r="39" spans="1:7" x14ac:dyDescent="0.25">
      <c r="A39" s="57">
        <v>56</v>
      </c>
      <c r="B39" s="34">
        <v>53.800000000000004</v>
      </c>
      <c r="C39" s="34">
        <v>50.94</v>
      </c>
      <c r="D39" s="34">
        <v>55.000000000000007</v>
      </c>
      <c r="E39" s="34">
        <v>55.000000000000007</v>
      </c>
      <c r="F39" s="34">
        <v>55.000000000000007</v>
      </c>
      <c r="G39" s="34">
        <v>80</v>
      </c>
    </row>
    <row r="40" spans="1:7" x14ac:dyDescent="0.25">
      <c r="A40" s="57">
        <v>57</v>
      </c>
      <c r="B40" s="34">
        <v>49.1</v>
      </c>
      <c r="C40" s="34">
        <v>45.82</v>
      </c>
      <c r="D40" s="34">
        <v>50</v>
      </c>
      <c r="E40" s="34">
        <v>50</v>
      </c>
      <c r="F40" s="34">
        <v>50</v>
      </c>
      <c r="G40" s="34">
        <v>70</v>
      </c>
    </row>
    <row r="41" spans="1:7" x14ac:dyDescent="0.25">
      <c r="A41" s="57">
        <v>58</v>
      </c>
      <c r="B41" s="34">
        <v>44.4</v>
      </c>
      <c r="C41" s="34">
        <v>40.71</v>
      </c>
      <c r="D41" s="34">
        <v>45</v>
      </c>
      <c r="E41" s="34">
        <v>45</v>
      </c>
      <c r="F41" s="34">
        <v>45</v>
      </c>
      <c r="G41" s="34">
        <v>60</v>
      </c>
    </row>
    <row r="42" spans="1:7" x14ac:dyDescent="0.25">
      <c r="A42" s="57">
        <v>59</v>
      </c>
      <c r="B42" s="34">
        <v>39.800000000000004</v>
      </c>
      <c r="C42" s="34">
        <v>35.589999999999996</v>
      </c>
      <c r="D42" s="34">
        <v>40</v>
      </c>
      <c r="E42" s="34">
        <v>40</v>
      </c>
      <c r="F42" s="34">
        <v>40</v>
      </c>
      <c r="G42" s="34">
        <v>50</v>
      </c>
    </row>
    <row r="43" spans="1:7" x14ac:dyDescent="0.25">
      <c r="A43" s="57">
        <v>60</v>
      </c>
      <c r="B43" s="34">
        <v>35.299999999999997</v>
      </c>
      <c r="C43" s="34">
        <v>30.470000000000002</v>
      </c>
      <c r="D43" s="34">
        <v>35</v>
      </c>
      <c r="E43" s="34">
        <v>35</v>
      </c>
      <c r="F43" s="34">
        <v>35</v>
      </c>
      <c r="G43" s="34">
        <v>40</v>
      </c>
    </row>
    <row r="44" spans="1:7" x14ac:dyDescent="0.25">
      <c r="A44" s="57">
        <v>61</v>
      </c>
      <c r="B44" s="34">
        <v>30.8</v>
      </c>
      <c r="C44" s="34">
        <v>25.35</v>
      </c>
      <c r="D44" s="34">
        <v>30</v>
      </c>
      <c r="E44" s="34">
        <v>30</v>
      </c>
      <c r="F44" s="34">
        <v>30</v>
      </c>
      <c r="G44" s="34">
        <v>30</v>
      </c>
    </row>
    <row r="45" spans="1:7" x14ac:dyDescent="0.25">
      <c r="A45" s="57">
        <v>62</v>
      </c>
      <c r="B45" s="34">
        <v>26.6</v>
      </c>
      <c r="C45" s="34">
        <v>20.239999999999998</v>
      </c>
      <c r="D45" s="34">
        <v>25</v>
      </c>
      <c r="E45" s="34">
        <v>25</v>
      </c>
      <c r="F45" s="34">
        <v>25</v>
      </c>
      <c r="G45" s="34">
        <v>20</v>
      </c>
    </row>
    <row r="46" spans="1:7" x14ac:dyDescent="0.25">
      <c r="A46" s="57">
        <v>63</v>
      </c>
      <c r="B46" s="34">
        <v>22.400000000000002</v>
      </c>
      <c r="C46" s="34">
        <v>15.120000000000001</v>
      </c>
      <c r="D46" s="34">
        <v>20</v>
      </c>
      <c r="E46" s="34">
        <v>20</v>
      </c>
      <c r="F46" s="34">
        <v>20</v>
      </c>
      <c r="G46" s="34">
        <v>10</v>
      </c>
    </row>
    <row r="47" spans="1:7" x14ac:dyDescent="0.25">
      <c r="A47" s="57">
        <v>64</v>
      </c>
      <c r="B47" s="34">
        <v>18.5</v>
      </c>
      <c r="C47" s="34">
        <v>10</v>
      </c>
      <c r="D47" s="34">
        <v>15</v>
      </c>
      <c r="E47" s="34">
        <v>15</v>
      </c>
      <c r="F47" s="34">
        <v>15</v>
      </c>
      <c r="G47" s="34">
        <v>0</v>
      </c>
    </row>
    <row r="48" spans="1:7" x14ac:dyDescent="0.25">
      <c r="A48" s="57">
        <v>65</v>
      </c>
      <c r="B48" s="34">
        <v>18.5</v>
      </c>
      <c r="C48" s="34">
        <v>10</v>
      </c>
      <c r="D48" s="34">
        <v>15</v>
      </c>
      <c r="E48" s="34">
        <v>10</v>
      </c>
      <c r="F48" s="34">
        <v>15</v>
      </c>
      <c r="G48" s="34">
        <v>0</v>
      </c>
    </row>
    <row r="49" spans="1:7" x14ac:dyDescent="0.25">
      <c r="A49" s="57">
        <v>66</v>
      </c>
      <c r="B49" s="34">
        <v>18.5</v>
      </c>
      <c r="C49" s="34">
        <v>10</v>
      </c>
      <c r="D49" s="34">
        <v>15</v>
      </c>
      <c r="E49" s="34">
        <v>10</v>
      </c>
      <c r="F49" s="34">
        <v>15</v>
      </c>
      <c r="G49" s="34">
        <v>0</v>
      </c>
    </row>
    <row r="50" spans="1:7" x14ac:dyDescent="0.25">
      <c r="A50" s="57">
        <v>67</v>
      </c>
      <c r="B50" s="34">
        <v>18.5</v>
      </c>
      <c r="C50" s="34">
        <v>10</v>
      </c>
      <c r="D50" s="34">
        <v>15</v>
      </c>
      <c r="E50" s="34">
        <v>10</v>
      </c>
      <c r="F50" s="34">
        <v>15</v>
      </c>
      <c r="G50" s="34">
        <v>0</v>
      </c>
    </row>
    <row r="51" spans="1:7" x14ac:dyDescent="0.25">
      <c r="A51" s="57">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4!A1" display="Grįžti į pagrindinį puslapį" xr:uid="{00000000-0004-0000-09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GCF_2024</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2026-06-12T10:34:18Z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2026-05-12T10:52:43Z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25717de7-1999-4364-8c72-4e6d85e116e7</vt:lpwstr>
  </property>
  <property fmtid="{D5CDD505-2E9C-101B-9397-08002B2CF9AE}" pid="8" name="MSIP_Label_e5564178-1ca1-4992-b45e-fdaf9919e704_ContentBits">
    <vt:lpwstr>0</vt:lpwstr>
  </property>
  <property fmtid="{D5CDD505-2E9C-101B-9397-08002B2CF9AE}" pid="9" name="MSIP_Label_e5564178-1ca1-4992-b45e-fdaf9919e704_Tag">
    <vt:lpwstr>10, 0, 1, 1</vt:lpwstr>
  </property>
</Properties>
</file>