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B2A4E6-FA7F-4883-A9DF-3320491E3021}" xr6:coauthVersionLast="47" xr6:coauthVersionMax="47" xr10:uidLastSave="{00000000-0000-0000-0000-000000000000}"/>
  <bookViews>
    <workbookView xWindow="-110" yWindow="-110" windowWidth="19420" windowHeight="11500" tabRatio="844" xr2:uid="{00000000-000D-0000-FFFF-FFFF00000000}"/>
  </bookViews>
  <sheets>
    <sheet name="2025-12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<sst xmlns="http://schemas.openxmlformats.org/spreadsheetml/2006/main" count="235" uniqueCount="110">
  <si>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</si>
  <si>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</si>
  <si>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</si>
  <si>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</si>
  <si>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</si>
  <si>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</si>
  <si>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</si>
  <si>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</si>
  <si>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</si>
  <si>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</si>
  <si>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</si>
  <si>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</si>
  <si>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</si>
  <si>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</si>
  <si>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</si>
  <si>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</si>
  <si>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</si>
  <si>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</si>
  <si>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</si>
  <si>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</si>
  <si>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</si>
  <si>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</si>
  <si>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</si>
  <si>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</si>
  <si>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</si>
  <si>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</si>
  <si>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</si>
  <si>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</si>
  <si>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</si>
  <si>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</si>
  <si>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</si>
  <si>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</si>
  <si>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</si>
  <si>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</si>
  <si>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</si>
  <si>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</si>
  <si>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</si>
  <si>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</si>
  <si>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</si>
  <si>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</si>
  <si>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</si>
  <si>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</si>
  <si>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</si>
  <si>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</si>
  <si>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</si>
  <si>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</si>
  <si>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</si>
  <si>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</si>
  <si>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</si>
  <si>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</si>
  <si>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</si>
  <si>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</si>
  <si>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</si>
  <si>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</si>
  <si>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</si>
  <si>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</si>
  <si>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</si>
  <si>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</si>
  <si>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</si>
  <si>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</si>
  <si>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</si>
  <si>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</si>
  <si>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</si>
  <si>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</si>
  <si>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</si>
  <si>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</si>
  <si>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</si>
  <si>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</si>
  <si>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</si>
  <si>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</si>
  <si>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</si>
  <si>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</si>
  <si>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</si>
  <si>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</si>
  <si>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</si>
  <si>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</si>
  <si>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</si>
  <si>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</si>
  <si>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</si>
  <si>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</si>
  <si>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</si>
  <si>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</si>
  <si>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</si>
  <si>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</si>
  <si>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</si>
  <si>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</si>
  <si>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</si>
  <si>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</si>
  <si>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</si>
  <si>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</si>
  <si>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</si>
  <si>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S058</t>
  </si>
  <si>
    <t>Artea Stabilus 58+</t>
  </si>
  <si>
    <t>Artea Subalansuotas 47+</t>
  </si>
  <si>
    <t>Artea Ambicingas Active 16+</t>
  </si>
  <si>
    <t>Artea Ambicingas 16+</t>
  </si>
  <si>
    <t>Artea Ambicingas Index 16+</t>
  </si>
  <si>
    <t>UAB Artea Asset Management</t>
  </si>
  <si>
    <t>12 m. 2 mėn.</t>
  </si>
  <si>
    <t xml:space="preserve">21 m. </t>
  </si>
  <si>
    <t>21 m. 2 mėn.</t>
  </si>
  <si>
    <t>18 m. 3 mėn.</t>
  </si>
  <si>
    <t>6 m. 1 mėn.</t>
  </si>
  <si>
    <t>3 m. 8 mėn.</t>
  </si>
  <si>
    <t>5 m. 10 mėn.</t>
  </si>
  <si>
    <t>3 m. 5 mėn.</t>
  </si>
  <si>
    <t>1 m. 2 mėn.</t>
  </si>
  <si>
    <t>3 m. 11 mėn.</t>
  </si>
  <si>
    <t>4 m. 7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</si>
  <si>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2025-12-31 </t>
    </r>
    <r>
      <rPr>
        <sz val="10"/>
        <rFont val="Verdana"/>
        <family val="2"/>
        <charset val="186"/>
      </rPr>
      <t>dienos fondų grynųjų aktyvų dydis.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</si>
</sst>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yy\ &quot;m.&quot;\ mm\ &quot;mėn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7" fontId="3" fillId="0" borderId="0" xfId="2" applyNumberFormat="1" applyFont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2" borderId="2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Border="1" applyAlignment="1">
      <alignment horizontal="left" vertical="center"/>
    </xf>
    <xf numFmtId="2" fontId="11" fillId="2" borderId="0" xfId="0" applyNumberFormat="1" applyFont="1" applyFill="1" applyAlignment="1">
      <alignment horizontal="left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99FFCC"/>
      <color rgb="FF9C5BCD"/>
      <color rgb="FFFCAF17"/>
      <color rgb="FFFFFFC1"/>
      <color rgb="FFE31C48"/>
      <color rgb="FF903F98"/>
      <color rgb="FF00B07D"/>
      <color rgb="FF009900"/>
      <color rgb="FF99FF99"/>
      <color rgb="FFC9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103.06044800000001</c:v>
                </c:pt>
                <c:pt idx="1">
                  <c:v>209.407636</c:v>
                </c:pt>
                <c:pt idx="2">
                  <c:v>123.163951</c:v>
                </c:pt>
                <c:pt idx="3">
                  <c:v>73.356070000000003</c:v>
                </c:pt>
                <c:pt idx="4">
                  <c:v>19.236792000000001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Artea Asset Management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33492</c:v>
                </c:pt>
                <c:pt idx="1">
                  <c:v>43376</c:v>
                </c:pt>
                <c:pt idx="2">
                  <c:v>32248</c:v>
                </c:pt>
                <c:pt idx="3">
                  <c:v>68783</c:v>
                </c:pt>
                <c:pt idx="4">
                  <c:v>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'Papildoma informacija'!$A$23:$A$44</c15:sqref>
                  </c15:fullRef>
                </c:ext>
              </c:extLst>
              <c:f>('Papildoma informacija'!$A$23,'Papildoma informacija'!$A$25:$A$44)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'Papildoma informacija'!$C$23:$C$44</c15:sqref>
                  </c15:fullRef>
                </c:ext>
              </c:extLst>
              <c:f>('Papildoma informacija'!$C$23,'Papildoma informacija'!$C$25:$C$44)</c:f>
              <c:numCache>
                <c:formatCode>_-* #\ ##0\ _€_-;\-* #\ ##0\ _€_-;_-* "-"??\ _€_-;_-@_-</c:formatCode>
                <c:ptCount val="21"/>
                <c:pt idx="0">
                  <c:v>3586</c:v>
                </c:pt>
                <c:pt idx="1">
                  <c:v>5887</c:v>
                </c:pt>
                <c:pt idx="2">
                  <c:v>7403</c:v>
                </c:pt>
                <c:pt idx="3">
                  <c:v>21670</c:v>
                </c:pt>
                <c:pt idx="4">
                  <c:v>4830</c:v>
                </c:pt>
                <c:pt idx="5">
                  <c:v>3331</c:v>
                </c:pt>
                <c:pt idx="6">
                  <c:v>22511</c:v>
                </c:pt>
                <c:pt idx="7">
                  <c:v>6059</c:v>
                </c:pt>
                <c:pt idx="8">
                  <c:v>1591</c:v>
                </c:pt>
                <c:pt idx="9">
                  <c:v>3926</c:v>
                </c:pt>
                <c:pt idx="10">
                  <c:v>2704</c:v>
                </c:pt>
                <c:pt idx="11">
                  <c:v>18829</c:v>
                </c:pt>
                <c:pt idx="12">
                  <c:v>6789</c:v>
                </c:pt>
                <c:pt idx="13">
                  <c:v>222</c:v>
                </c:pt>
                <c:pt idx="14">
                  <c:v>1307</c:v>
                </c:pt>
                <c:pt idx="15">
                  <c:v>2686</c:v>
                </c:pt>
                <c:pt idx="16">
                  <c:v>16885</c:v>
                </c:pt>
                <c:pt idx="17">
                  <c:v>3741</c:v>
                </c:pt>
                <c:pt idx="18">
                  <c:v>43942</c:v>
                </c:pt>
                <c:pt idx="19">
                  <c:v>6067</c:v>
                </c:pt>
                <c:pt idx="20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'Papildoma informacija'!$A$23:$A$44</c15:sqref>
                  </c15:fullRef>
                </c:ext>
              </c:extLst>
              <c:f>('Papildoma informacija'!$A$23,'Papildoma informacija'!$A$25:$A$44)</c:f>
              <c:strCache>
                <c:ptCount val="21"/>
                <c:pt idx="0">
                  <c:v>Artea Stabilus 58+</c:v>
                </c:pt>
                <c:pt idx="1">
                  <c:v>Artea Subalansuotas 47+</c:v>
                </c:pt>
                <c:pt idx="2">
                  <c:v>Artea Ambicingas Active 16+</c:v>
                </c:pt>
                <c:pt idx="3">
                  <c:v>Artea Ambicingas 16+</c:v>
                </c:pt>
                <c:pt idx="4">
                  <c:v>Artea Ambicingas Index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'Papildoma informacija'!$B$23:$B$44</c15:sqref>
                  </c15:fullRef>
                </c:ext>
              </c:extLst>
              <c:f>('Papildoma informacija'!$B$23,'Papildoma informacija'!$B$25:$B$44)</c:f>
              <c:numCache>
                <c:formatCode>0.00</c:formatCode>
                <c:ptCount val="21"/>
                <c:pt idx="0">
                  <c:v>15.416467000000001</c:v>
                </c:pt>
                <c:pt idx="1">
                  <c:v>34.983016999999997</c:v>
                </c:pt>
                <c:pt idx="2">
                  <c:v>24.832063000000002</c:v>
                </c:pt>
                <c:pt idx="3">
                  <c:v>123.546077</c:v>
                </c:pt>
                <c:pt idx="4">
                  <c:v>10.630012000000001</c:v>
                </c:pt>
                <c:pt idx="5">
                  <c:v>9.6096459999999997</c:v>
                </c:pt>
                <c:pt idx="6">
                  <c:v>63.617860999999998</c:v>
                </c:pt>
                <c:pt idx="7">
                  <c:v>23.879805000000001</c:v>
                </c:pt>
                <c:pt idx="8">
                  <c:v>5.9531359999999998</c:v>
                </c:pt>
                <c:pt idx="9">
                  <c:v>8.357856</c:v>
                </c:pt>
                <c:pt idx="10">
                  <c:v>11.470839</c:v>
                </c:pt>
                <c:pt idx="11">
                  <c:v>86.172417999999993</c:v>
                </c:pt>
                <c:pt idx="12">
                  <c:v>17.162838000000001</c:v>
                </c:pt>
                <c:pt idx="13">
                  <c:v>1.121302</c:v>
                </c:pt>
                <c:pt idx="14">
                  <c:v>4.6702180000000002</c:v>
                </c:pt>
                <c:pt idx="15">
                  <c:v>3.1263529999999999</c:v>
                </c:pt>
                <c:pt idx="16">
                  <c:v>14.128446</c:v>
                </c:pt>
                <c:pt idx="17">
                  <c:v>16.429956000000001</c:v>
                </c:pt>
                <c:pt idx="18">
                  <c:v>33.879795000000001</c:v>
                </c:pt>
                <c:pt idx="19">
                  <c:v>17.063006000000001</c:v>
                </c:pt>
                <c:pt idx="20">
                  <c:v>2.1737860000000002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77058</xdr:rowOff>
    </xdr:from>
    <xdr:to>
      <xdr:col>16</xdr:col>
      <xdr:colOff>77922</xdr:colOff>
      <xdr:row>47</xdr:row>
      <xdr:rowOff>173869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42"/>
  <sheetViews>
    <sheetView showGridLines="0" tabSelected="1" zoomScale="70" zoomScaleNormal="70" workbookViewId="0"/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2.42578125" style="1" customWidth="1"/>
    <col min="8" max="8" width="2" style="1" customWidth="1"/>
    <col min="9" max="9" width="16.570312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8">
        <v>46022</v>
      </c>
      <c r="B1" s="18"/>
      <c r="C1" s="19"/>
      <c r="D1" s="20"/>
      <c r="E1" s="21"/>
      <c r="F1" s="21"/>
      <c r="G1" s="21"/>
      <c r="H1" s="21"/>
      <c r="I1" s="76" t="s">
        <v>17</v>
      </c>
      <c r="J1" s="77"/>
      <c r="K1" s="77"/>
      <c r="L1" s="77"/>
      <c r="M1" s="77"/>
      <c r="N1" s="78"/>
      <c r="O1" s="21"/>
      <c r="P1" s="75" t="s">
        <v>51</v>
      </c>
      <c r="Q1" s="75"/>
      <c r="R1" s="21"/>
      <c r="S1" s="79" t="s">
        <v>53</v>
      </c>
      <c r="T1" s="80"/>
    </row>
    <row r="2" spans="1:21" ht="63.75" x14ac:dyDescent="0.2">
      <c r="A2" s="22" t="s">
        <v>0</v>
      </c>
      <c r="B2" s="22" t="s">
        <v>1</v>
      </c>
      <c r="C2" s="22" t="s">
        <v>2</v>
      </c>
      <c r="D2" s="23" t="s">
        <v>35</v>
      </c>
      <c r="E2" s="23" t="s">
        <v>24</v>
      </c>
      <c r="F2" s="23" t="s">
        <v>56</v>
      </c>
      <c r="G2" s="24" t="s">
        <v>7</v>
      </c>
      <c r="H2" s="21"/>
      <c r="I2" s="24" t="s">
        <v>47</v>
      </c>
      <c r="J2" s="66" t="s">
        <v>87</v>
      </c>
      <c r="K2" s="24" t="s">
        <v>49</v>
      </c>
      <c r="L2" s="24" t="s">
        <v>59</v>
      </c>
      <c r="M2" s="24" t="s">
        <v>60</v>
      </c>
      <c r="N2" s="58" t="s">
        <v>61</v>
      </c>
      <c r="O2" s="21"/>
      <c r="P2" s="24" t="s">
        <v>29</v>
      </c>
      <c r="Q2" s="24" t="s">
        <v>30</v>
      </c>
      <c r="R2" s="21"/>
      <c r="S2" s="24" t="s">
        <v>31</v>
      </c>
      <c r="T2" s="24" t="s">
        <v>32</v>
      </c>
    </row>
    <row r="3" spans="1:21" s="26" customFormat="1" x14ac:dyDescent="0.2">
      <c r="A3" s="25" t="s">
        <v>6</v>
      </c>
      <c r="B3" s="25"/>
      <c r="C3" s="25"/>
      <c r="E3" s="27"/>
      <c r="G3" s="50" t="s">
        <v>55</v>
      </c>
      <c r="I3" s="28">
        <v>3.5574556392073022</v>
      </c>
      <c r="J3" s="28">
        <v>3.5574556392073022</v>
      </c>
      <c r="K3" s="28">
        <v>5.274744312402877</v>
      </c>
      <c r="L3" s="28">
        <v>0.245259866317242</v>
      </c>
      <c r="M3" s="28">
        <v>1.0716058502167027</v>
      </c>
      <c r="N3" s="28">
        <v>1.9738058273880255</v>
      </c>
      <c r="P3" s="28">
        <v>5.3467655074284002</v>
      </c>
      <c r="Q3" s="28">
        <v>-0.1824621282958418</v>
      </c>
      <c r="S3" s="6"/>
      <c r="T3" s="6"/>
      <c r="U3" s="6"/>
    </row>
    <row r="4" spans="1:21" x14ac:dyDescent="0.2">
      <c r="A4" s="29" t="s">
        <v>3</v>
      </c>
      <c r="B4" s="29" t="s">
        <v>15</v>
      </c>
      <c r="C4" s="29" t="s">
        <v>88</v>
      </c>
      <c r="D4" s="69" t="s">
        <v>98</v>
      </c>
      <c r="E4" s="31">
        <v>0</v>
      </c>
      <c r="F4" s="30">
        <v>9.6096459999999997</v>
      </c>
      <c r="G4" s="32">
        <v>3331</v>
      </c>
      <c r="H4" s="33"/>
      <c r="I4" s="34">
        <v>3.6444141689373266</v>
      </c>
      <c r="J4" s="34">
        <v>3.6444141689373266</v>
      </c>
      <c r="K4" s="34">
        <v>4.7833048702008441</v>
      </c>
      <c r="L4" s="34">
        <v>0.15848986644524388</v>
      </c>
      <c r="M4" s="34">
        <v>0.26000581500482678</v>
      </c>
      <c r="N4" s="34" t="s">
        <v>40</v>
      </c>
      <c r="O4" s="33"/>
      <c r="P4" s="34">
        <v>5.0373265187858784</v>
      </c>
      <c r="Q4" s="34">
        <v>0.61579250592200818</v>
      </c>
      <c r="R4" s="33"/>
      <c r="S4" s="34">
        <v>3.4552980499059722</v>
      </c>
      <c r="T4" s="34">
        <v>2.5890259399160982</v>
      </c>
    </row>
    <row r="5" spans="1:21" x14ac:dyDescent="0.2">
      <c r="A5" s="29" t="s">
        <v>97</v>
      </c>
      <c r="B5" s="29" t="s">
        <v>13</v>
      </c>
      <c r="C5" s="29" t="s">
        <v>92</v>
      </c>
      <c r="D5" s="69" t="s">
        <v>99</v>
      </c>
      <c r="E5" s="31">
        <v>0</v>
      </c>
      <c r="F5" s="30">
        <v>15.416467000000001</v>
      </c>
      <c r="G5" s="32">
        <v>3586</v>
      </c>
      <c r="H5" s="33"/>
      <c r="I5" s="34">
        <v>3.951537744641187</v>
      </c>
      <c r="J5" s="34">
        <v>3.951537744641187</v>
      </c>
      <c r="K5" s="34">
        <v>5.7563164777605591</v>
      </c>
      <c r="L5" s="34">
        <v>0.45808439989294403</v>
      </c>
      <c r="M5" s="34">
        <v>1.5753263980760712</v>
      </c>
      <c r="N5" s="34">
        <v>2.4026574216134522</v>
      </c>
      <c r="O5" s="33"/>
      <c r="P5" s="34">
        <v>5.5971480511814331</v>
      </c>
      <c r="Q5" s="34">
        <v>-1.196234867390511</v>
      </c>
      <c r="R5" s="33"/>
      <c r="S5" s="34">
        <v>4.0798040282238954</v>
      </c>
      <c r="T5" s="34">
        <v>3.6902687881022094</v>
      </c>
    </row>
    <row r="6" spans="1:21" x14ac:dyDescent="0.2">
      <c r="A6" s="29" t="s">
        <v>23</v>
      </c>
      <c r="B6" s="29" t="s">
        <v>8</v>
      </c>
      <c r="C6" s="29" t="s">
        <v>46</v>
      </c>
      <c r="D6" s="69" t="s">
        <v>100</v>
      </c>
      <c r="E6" s="31" t="s">
        <v>25</v>
      </c>
      <c r="F6" s="30">
        <v>11.470839</v>
      </c>
      <c r="G6" s="32">
        <v>2704</v>
      </c>
      <c r="H6" s="33"/>
      <c r="I6" s="34">
        <v>2.9549718574108708</v>
      </c>
      <c r="J6" s="34">
        <v>2.9549718574108708</v>
      </c>
      <c r="K6" s="34">
        <v>5.0392268994781331</v>
      </c>
      <c r="L6" s="34">
        <v>3.1921206741403196E-2</v>
      </c>
      <c r="M6" s="34">
        <v>1.0745348276592237</v>
      </c>
      <c r="N6" s="34">
        <v>1.3974420191021908</v>
      </c>
      <c r="O6" s="33"/>
      <c r="P6" s="34">
        <v>5.2694899843657828</v>
      </c>
      <c r="Q6" s="34">
        <v>0.51128394599389004</v>
      </c>
      <c r="R6" s="33"/>
      <c r="S6" s="34">
        <v>4.3870288080831372</v>
      </c>
      <c r="T6" s="34">
        <v>3.666882535492221</v>
      </c>
    </row>
    <row r="7" spans="1:21" x14ac:dyDescent="0.2">
      <c r="A7" s="6"/>
      <c r="B7" s="6"/>
      <c r="C7" s="6"/>
      <c r="D7" s="70"/>
      <c r="E7" s="36"/>
      <c r="F7" s="35"/>
      <c r="G7" s="37"/>
      <c r="H7" s="33"/>
      <c r="I7" s="38"/>
      <c r="J7" s="38"/>
      <c r="K7" s="38"/>
      <c r="L7" s="38"/>
      <c r="M7" s="38"/>
      <c r="N7" s="38"/>
      <c r="O7" s="33"/>
      <c r="P7" s="38"/>
      <c r="Q7" s="38"/>
      <c r="R7" s="33"/>
      <c r="S7" s="38"/>
      <c r="T7" s="38"/>
    </row>
    <row r="8" spans="1:21" s="26" customFormat="1" x14ac:dyDescent="0.2">
      <c r="A8" s="39" t="s">
        <v>4</v>
      </c>
      <c r="B8" s="25"/>
      <c r="C8" s="25"/>
      <c r="D8" s="71"/>
      <c r="E8" s="40"/>
      <c r="F8" s="41"/>
      <c r="G8" s="50" t="s">
        <v>55</v>
      </c>
      <c r="H8" s="42"/>
      <c r="I8" s="28">
        <v>5.1910458513210056</v>
      </c>
      <c r="J8" s="28">
        <v>5.1910458513210056</v>
      </c>
      <c r="K8" s="28">
        <v>9.4676389939418613</v>
      </c>
      <c r="L8" s="28">
        <v>4.3412338558706951</v>
      </c>
      <c r="M8" s="28">
        <v>4.3416162205308968</v>
      </c>
      <c r="N8" s="28">
        <v>4.2388447112587135</v>
      </c>
      <c r="O8" s="42"/>
      <c r="P8" s="28">
        <v>10.528728876089973</v>
      </c>
      <c r="Q8" s="28">
        <v>4.9485762570297309</v>
      </c>
      <c r="R8" s="42"/>
      <c r="S8" s="43"/>
      <c r="T8" s="43"/>
      <c r="U8" s="6"/>
    </row>
    <row r="9" spans="1:21" x14ac:dyDescent="0.2">
      <c r="A9" s="29" t="s">
        <v>3</v>
      </c>
      <c r="B9" s="29" t="s">
        <v>14</v>
      </c>
      <c r="C9" s="29" t="s">
        <v>89</v>
      </c>
      <c r="D9" s="69" t="s">
        <v>100</v>
      </c>
      <c r="E9" s="31" t="s">
        <v>26</v>
      </c>
      <c r="F9" s="30">
        <v>63.617860999999998</v>
      </c>
      <c r="G9" s="32">
        <v>22511</v>
      </c>
      <c r="H9" s="33"/>
      <c r="I9" s="34">
        <v>5.4483541430192961</v>
      </c>
      <c r="J9" s="34">
        <v>5.4483541430192961</v>
      </c>
      <c r="K9" s="34">
        <v>9.7073790498641177</v>
      </c>
      <c r="L9" s="34">
        <v>3.9921875462529677</v>
      </c>
      <c r="M9" s="34">
        <v>3.7666350270254334</v>
      </c>
      <c r="N9" s="34">
        <v>3.7845002597783006</v>
      </c>
      <c r="O9" s="33"/>
      <c r="P9" s="34">
        <v>10.452005713304423</v>
      </c>
      <c r="Q9" s="34">
        <v>5.3321929990306938</v>
      </c>
      <c r="R9" s="33"/>
      <c r="S9" s="34">
        <v>6.4245936749273316</v>
      </c>
      <c r="T9" s="34">
        <v>5.9599307655077798</v>
      </c>
    </row>
    <row r="10" spans="1:21" x14ac:dyDescent="0.2">
      <c r="A10" s="29" t="s">
        <v>97</v>
      </c>
      <c r="B10" s="29" t="s">
        <v>12</v>
      </c>
      <c r="C10" s="29" t="s">
        <v>93</v>
      </c>
      <c r="D10" s="72" t="s">
        <v>101</v>
      </c>
      <c r="E10" s="31" t="s">
        <v>27</v>
      </c>
      <c r="F10" s="30">
        <v>34.983016999999997</v>
      </c>
      <c r="G10" s="32">
        <v>5887</v>
      </c>
      <c r="H10" s="33"/>
      <c r="I10" s="34">
        <v>6.8995133123389563</v>
      </c>
      <c r="J10" s="34">
        <v>6.8995133123389563</v>
      </c>
      <c r="K10" s="34">
        <v>9.9726903201026396</v>
      </c>
      <c r="L10" s="34">
        <v>5.0336726163103807</v>
      </c>
      <c r="M10" s="34">
        <v>5.3872399769394619</v>
      </c>
      <c r="N10" s="34">
        <v>5.0650862604196156</v>
      </c>
      <c r="O10" s="33"/>
      <c r="P10" s="34">
        <v>11.14620087930691</v>
      </c>
      <c r="Q10" s="34">
        <v>4.0791962044313568</v>
      </c>
      <c r="R10" s="33"/>
      <c r="S10" s="34">
        <v>6.5855128078038394</v>
      </c>
      <c r="T10" s="34">
        <v>6.8677002645281355</v>
      </c>
    </row>
    <row r="11" spans="1:21" x14ac:dyDescent="0.2">
      <c r="A11" s="29" t="s">
        <v>39</v>
      </c>
      <c r="B11" s="29" t="s">
        <v>37</v>
      </c>
      <c r="C11" s="57" t="s">
        <v>66</v>
      </c>
      <c r="D11" s="72" t="s">
        <v>102</v>
      </c>
      <c r="E11" s="31" t="s">
        <v>41</v>
      </c>
      <c r="F11" s="30">
        <v>1.121302</v>
      </c>
      <c r="G11" s="32">
        <v>222</v>
      </c>
      <c r="H11" s="33"/>
      <c r="I11" s="34">
        <v>1.1153119092627728</v>
      </c>
      <c r="J11" s="34">
        <v>1.1153119092627728</v>
      </c>
      <c r="K11" s="34">
        <v>5.7659879090683708</v>
      </c>
      <c r="L11" s="34">
        <v>0.64998707681804824</v>
      </c>
      <c r="M11" s="34" t="s">
        <v>40</v>
      </c>
      <c r="N11" s="34" t="s">
        <v>40</v>
      </c>
      <c r="O11" s="33"/>
      <c r="P11" s="34">
        <v>6.5678842168240381</v>
      </c>
      <c r="Q11" s="34">
        <v>0.86955773456505181</v>
      </c>
      <c r="R11" s="33"/>
      <c r="S11" s="34">
        <v>6.3281201631419632</v>
      </c>
      <c r="T11" s="34" t="s">
        <v>40</v>
      </c>
    </row>
    <row r="12" spans="1:21" x14ac:dyDescent="0.2">
      <c r="A12" s="29" t="s">
        <v>39</v>
      </c>
      <c r="B12" s="29" t="s">
        <v>38</v>
      </c>
      <c r="C12" s="29" t="s">
        <v>72</v>
      </c>
      <c r="D12" s="72" t="s">
        <v>102</v>
      </c>
      <c r="E12" s="31" t="s">
        <v>42</v>
      </c>
      <c r="F12" s="30">
        <v>4.6702180000000002</v>
      </c>
      <c r="G12" s="32">
        <v>1307</v>
      </c>
      <c r="H12" s="33"/>
      <c r="I12" s="34">
        <v>1.7541010232255738</v>
      </c>
      <c r="J12" s="34">
        <v>1.7541010232255738</v>
      </c>
      <c r="K12" s="34">
        <v>8.0823482467725647</v>
      </c>
      <c r="L12" s="34">
        <v>3.5332381398948787</v>
      </c>
      <c r="M12" s="34" t="s">
        <v>40</v>
      </c>
      <c r="N12" s="34" t="s">
        <v>40</v>
      </c>
      <c r="O12" s="33"/>
      <c r="P12" s="34">
        <v>9.9267661125254101</v>
      </c>
      <c r="Q12" s="34">
        <v>4.5419306606052867</v>
      </c>
      <c r="R12" s="33"/>
      <c r="S12" s="34">
        <v>8.3317166556272966</v>
      </c>
      <c r="T12" s="34" t="s">
        <v>40</v>
      </c>
    </row>
    <row r="13" spans="1:21" x14ac:dyDescent="0.2">
      <c r="A13" s="29" t="s">
        <v>39</v>
      </c>
      <c r="B13" s="29" t="s">
        <v>70</v>
      </c>
      <c r="C13" s="29" t="s">
        <v>84</v>
      </c>
      <c r="D13" s="72" t="s">
        <v>103</v>
      </c>
      <c r="E13" s="31" t="s">
        <v>41</v>
      </c>
      <c r="F13" s="30">
        <v>3.1263529999999999</v>
      </c>
      <c r="G13" s="32">
        <v>2686</v>
      </c>
      <c r="H13" s="33"/>
      <c r="I13" s="34">
        <v>1.0593028519692238</v>
      </c>
      <c r="J13" s="34">
        <v>1.0593028519692238</v>
      </c>
      <c r="K13" s="34">
        <v>5.4989335196172329</v>
      </c>
      <c r="L13" s="34" t="s">
        <v>40</v>
      </c>
      <c r="M13" s="34" t="s">
        <v>40</v>
      </c>
      <c r="N13" s="34" t="s">
        <v>40</v>
      </c>
      <c r="O13" s="33"/>
      <c r="P13" s="34">
        <v>6.5523572740428859</v>
      </c>
      <c r="Q13" s="62" t="s">
        <v>40</v>
      </c>
      <c r="R13" s="33"/>
      <c r="S13" s="34" t="s">
        <v>40</v>
      </c>
      <c r="T13" s="34" t="s">
        <v>40</v>
      </c>
    </row>
    <row r="14" spans="1:21" x14ac:dyDescent="0.2">
      <c r="A14" s="29" t="s">
        <v>39</v>
      </c>
      <c r="B14" s="29" t="s">
        <v>69</v>
      </c>
      <c r="C14" s="29" t="s">
        <v>85</v>
      </c>
      <c r="D14" s="72" t="s">
        <v>103</v>
      </c>
      <c r="E14" s="31" t="s">
        <v>42</v>
      </c>
      <c r="F14" s="30">
        <v>14.128446</v>
      </c>
      <c r="G14" s="32">
        <v>16885</v>
      </c>
      <c r="H14" s="33"/>
      <c r="I14" s="34">
        <v>2.0883672764929306</v>
      </c>
      <c r="J14" s="34">
        <v>2.0883672764929306</v>
      </c>
      <c r="K14" s="34">
        <v>8.238861912467609</v>
      </c>
      <c r="L14" s="34" t="s">
        <v>40</v>
      </c>
      <c r="M14" s="34" t="s">
        <v>40</v>
      </c>
      <c r="N14" s="34" t="s">
        <v>40</v>
      </c>
      <c r="O14" s="33"/>
      <c r="P14" s="34">
        <v>9.9267927186717397</v>
      </c>
      <c r="Q14" s="62" t="s">
        <v>40</v>
      </c>
      <c r="R14" s="33"/>
      <c r="S14" s="34" t="s">
        <v>40</v>
      </c>
      <c r="T14" s="34" t="s">
        <v>40</v>
      </c>
    </row>
    <row r="15" spans="1:21" x14ac:dyDescent="0.2">
      <c r="A15" s="29" t="s">
        <v>23</v>
      </c>
      <c r="B15" s="29" t="s">
        <v>43</v>
      </c>
      <c r="C15" s="29" t="s">
        <v>44</v>
      </c>
      <c r="D15" s="72" t="s">
        <v>104</v>
      </c>
      <c r="E15" s="31" t="s">
        <v>58</v>
      </c>
      <c r="F15" s="30">
        <v>8.357856</v>
      </c>
      <c r="G15" s="32">
        <v>3926</v>
      </c>
      <c r="H15" s="33"/>
      <c r="I15" s="34">
        <v>5.2275478954490584</v>
      </c>
      <c r="J15" s="34">
        <v>5.2275478954490584</v>
      </c>
      <c r="K15" s="34">
        <v>10.025366912291634</v>
      </c>
      <c r="L15" s="34">
        <v>5.0464986046796723</v>
      </c>
      <c r="M15" s="34" t="s">
        <v>40</v>
      </c>
      <c r="N15" s="34" t="s">
        <v>40</v>
      </c>
      <c r="O15" s="33"/>
      <c r="P15" s="34">
        <v>11.667314669278461</v>
      </c>
      <c r="Q15" s="34">
        <v>6.4419731043717565</v>
      </c>
      <c r="R15" s="33"/>
      <c r="S15" s="34">
        <v>7.856868292216272</v>
      </c>
      <c r="T15" s="34" t="s">
        <v>40</v>
      </c>
    </row>
    <row r="16" spans="1:21" x14ac:dyDescent="0.2">
      <c r="A16" s="29" t="s">
        <v>81</v>
      </c>
      <c r="B16" s="29" t="s">
        <v>83</v>
      </c>
      <c r="C16" s="29" t="s">
        <v>80</v>
      </c>
      <c r="D16" s="72" t="s">
        <v>105</v>
      </c>
      <c r="E16" s="31" t="s">
        <v>42</v>
      </c>
      <c r="F16" s="30">
        <v>2.1737860000000002</v>
      </c>
      <c r="G16" s="32">
        <v>751</v>
      </c>
      <c r="H16" s="33"/>
      <c r="I16" s="34">
        <v>5.6202030205496412</v>
      </c>
      <c r="J16" s="34">
        <v>5.6202030205496412</v>
      </c>
      <c r="K16" s="34">
        <v>10.759019628169654</v>
      </c>
      <c r="L16" s="34" t="s">
        <v>40</v>
      </c>
      <c r="M16" s="34" t="s">
        <v>40</v>
      </c>
      <c r="N16" s="34" t="s">
        <v>40</v>
      </c>
      <c r="O16" s="33"/>
      <c r="P16" s="34">
        <v>11.426866030093684</v>
      </c>
      <c r="Q16" s="62" t="s">
        <v>40</v>
      </c>
      <c r="R16" s="33"/>
      <c r="S16" s="34" t="s">
        <v>40</v>
      </c>
      <c r="T16" s="34" t="s">
        <v>40</v>
      </c>
    </row>
    <row r="17" spans="1:21" x14ac:dyDescent="0.2">
      <c r="A17" s="6"/>
      <c r="B17" s="6"/>
      <c r="C17" s="6"/>
      <c r="D17" s="73"/>
      <c r="E17" s="36"/>
      <c r="F17" s="35"/>
      <c r="G17" s="51"/>
      <c r="H17" s="33"/>
      <c r="I17" s="38"/>
      <c r="J17" s="38"/>
      <c r="K17" s="38"/>
      <c r="L17" s="38"/>
      <c r="M17" s="38"/>
      <c r="N17" s="38"/>
      <c r="O17" s="33"/>
      <c r="P17" s="38"/>
      <c r="Q17" s="38"/>
      <c r="R17" s="33"/>
      <c r="S17" s="38"/>
      <c r="T17" s="38"/>
    </row>
    <row r="18" spans="1:21" s="26" customFormat="1" x14ac:dyDescent="0.2">
      <c r="A18" s="25" t="s">
        <v>5</v>
      </c>
      <c r="B18" s="25"/>
      <c r="C18" s="25"/>
      <c r="D18" s="74"/>
      <c r="E18" s="40"/>
      <c r="F18" s="41"/>
      <c r="G18" s="50" t="s">
        <v>55</v>
      </c>
      <c r="H18" s="42"/>
      <c r="I18" s="28">
        <v>6.5265427898468991</v>
      </c>
      <c r="J18" s="28">
        <v>6.5265427898468991</v>
      </c>
      <c r="K18" s="28">
        <v>13.734458672154096</v>
      </c>
      <c r="L18" s="28">
        <v>9.5597042805709851</v>
      </c>
      <c r="M18" s="28">
        <v>8.6826599985550406</v>
      </c>
      <c r="N18" s="28">
        <v>7.3198493898363424</v>
      </c>
      <c r="O18" s="42"/>
      <c r="P18" s="28">
        <v>17.055467219749392</v>
      </c>
      <c r="Q18" s="28">
        <v>11.841221507953341</v>
      </c>
      <c r="R18" s="42"/>
      <c r="S18" s="43"/>
      <c r="T18" s="43"/>
      <c r="U18" s="6"/>
    </row>
    <row r="19" spans="1:21" x14ac:dyDescent="0.2">
      <c r="A19" s="29" t="s">
        <v>3</v>
      </c>
      <c r="B19" s="29" t="s">
        <v>16</v>
      </c>
      <c r="C19" s="29" t="s">
        <v>90</v>
      </c>
      <c r="D19" s="72" t="s">
        <v>101</v>
      </c>
      <c r="E19" s="31" t="s">
        <v>28</v>
      </c>
      <c r="F19" s="30">
        <v>23.879805000000001</v>
      </c>
      <c r="G19" s="32">
        <v>6059</v>
      </c>
      <c r="H19" s="33"/>
      <c r="I19" s="34">
        <v>5.640005682625393</v>
      </c>
      <c r="J19" s="34">
        <v>5.640005682625393</v>
      </c>
      <c r="K19" s="34">
        <v>14.137277415326356</v>
      </c>
      <c r="L19" s="34">
        <v>8.0505052680144082</v>
      </c>
      <c r="M19" s="34">
        <v>8.063881447687038</v>
      </c>
      <c r="N19" s="34">
        <v>7.1855672366934353</v>
      </c>
      <c r="O19" s="33"/>
      <c r="P19" s="34">
        <v>16.570853210663337</v>
      </c>
      <c r="Q19" s="34">
        <v>11.127781604861408</v>
      </c>
      <c r="R19" s="33"/>
      <c r="S19" s="34">
        <v>11.543300653322383</v>
      </c>
      <c r="T19" s="34">
        <v>12.502808732124739</v>
      </c>
    </row>
    <row r="20" spans="1:21" x14ac:dyDescent="0.2">
      <c r="A20" s="29" t="s">
        <v>97</v>
      </c>
      <c r="B20" s="29" t="s">
        <v>10</v>
      </c>
      <c r="C20" s="29" t="s">
        <v>94</v>
      </c>
      <c r="D20" s="72" t="s">
        <v>99</v>
      </c>
      <c r="E20" s="31" t="s">
        <v>28</v>
      </c>
      <c r="F20" s="30">
        <v>24.832063000000002</v>
      </c>
      <c r="G20" s="32">
        <v>7403</v>
      </c>
      <c r="H20" s="33"/>
      <c r="I20" s="34">
        <v>10.59546152533699</v>
      </c>
      <c r="J20" s="34">
        <v>10.59546152533699</v>
      </c>
      <c r="K20" s="34">
        <v>15.000181850312867</v>
      </c>
      <c r="L20" s="34">
        <v>11.98210884198021</v>
      </c>
      <c r="M20" s="34">
        <v>9.7183077449605868</v>
      </c>
      <c r="N20" s="34">
        <v>6.6925508547739598</v>
      </c>
      <c r="O20" s="33"/>
      <c r="P20" s="34">
        <v>23.685723545669248</v>
      </c>
      <c r="Q20" s="34">
        <v>16.299814426760271</v>
      </c>
      <c r="R20" s="33"/>
      <c r="S20" s="34">
        <v>9.4113900810269424</v>
      </c>
      <c r="T20" s="34">
        <v>10.423652857029877</v>
      </c>
    </row>
    <row r="21" spans="1:21" x14ac:dyDescent="0.2">
      <c r="A21" s="29" t="s">
        <v>97</v>
      </c>
      <c r="B21" s="29" t="s">
        <v>11</v>
      </c>
      <c r="C21" s="29" t="s">
        <v>95</v>
      </c>
      <c r="D21" s="72" t="s">
        <v>101</v>
      </c>
      <c r="E21" s="31" t="s">
        <v>28</v>
      </c>
      <c r="F21" s="30">
        <v>123.546077</v>
      </c>
      <c r="G21" s="32">
        <v>21670</v>
      </c>
      <c r="H21" s="33"/>
      <c r="I21" s="34">
        <v>7.7197378565921237</v>
      </c>
      <c r="J21" s="34">
        <v>7.7197378565921237</v>
      </c>
      <c r="K21" s="34">
        <v>13.088743607531406</v>
      </c>
      <c r="L21" s="34">
        <v>9.5987856018345585</v>
      </c>
      <c r="M21" s="34">
        <v>8.9224679507323721</v>
      </c>
      <c r="N21" s="34">
        <v>7.7837443796928918</v>
      </c>
      <c r="O21" s="33"/>
      <c r="P21" s="34">
        <v>15.601120397562763</v>
      </c>
      <c r="Q21" s="34">
        <v>10.945289112477209</v>
      </c>
      <c r="R21" s="33"/>
      <c r="S21" s="34">
        <v>10.439205472498122</v>
      </c>
      <c r="T21" s="34">
        <v>11.377149655666457</v>
      </c>
    </row>
    <row r="22" spans="1:21" x14ac:dyDescent="0.2">
      <c r="A22" s="29" t="s">
        <v>97</v>
      </c>
      <c r="B22" s="29" t="s">
        <v>91</v>
      </c>
      <c r="C22" s="29" t="s">
        <v>96</v>
      </c>
      <c r="D22" s="72" t="s">
        <v>106</v>
      </c>
      <c r="E22" s="31" t="s">
        <v>28</v>
      </c>
      <c r="F22" s="30">
        <v>10.630012000000001</v>
      </c>
      <c r="G22" s="32">
        <v>4830</v>
      </c>
      <c r="H22" s="33"/>
      <c r="I22" s="34">
        <v>7.6032571372510516</v>
      </c>
      <c r="J22" s="34">
        <v>7.6032571372510516</v>
      </c>
      <c r="K22" s="34" t="s">
        <v>40</v>
      </c>
      <c r="L22" s="34" t="s">
        <v>40</v>
      </c>
      <c r="M22" s="34" t="s">
        <v>40</v>
      </c>
      <c r="N22" s="34" t="s">
        <v>40</v>
      </c>
      <c r="O22" s="33"/>
      <c r="P22" s="34" t="s">
        <v>40</v>
      </c>
      <c r="Q22" s="34" t="s">
        <v>40</v>
      </c>
      <c r="R22" s="33"/>
      <c r="S22" s="34" t="s">
        <v>40</v>
      </c>
      <c r="T22" s="34" t="s">
        <v>40</v>
      </c>
    </row>
    <row r="23" spans="1:21" x14ac:dyDescent="0.2">
      <c r="A23" s="29" t="s">
        <v>23</v>
      </c>
      <c r="B23" s="29" t="s">
        <v>9</v>
      </c>
      <c r="C23" s="29" t="s">
        <v>45</v>
      </c>
      <c r="D23" s="72" t="s">
        <v>100</v>
      </c>
      <c r="E23" s="31" t="s">
        <v>28</v>
      </c>
      <c r="F23" s="30">
        <v>86.172417999999993</v>
      </c>
      <c r="G23" s="32">
        <v>18829</v>
      </c>
      <c r="H23" s="33"/>
      <c r="I23" s="34">
        <v>6.3794871794871755</v>
      </c>
      <c r="J23" s="34">
        <v>6.3794871794871755</v>
      </c>
      <c r="K23" s="34">
        <v>14.173158218772874</v>
      </c>
      <c r="L23" s="34">
        <v>9.3925595593852265</v>
      </c>
      <c r="M23" s="34">
        <v>8.2118795374966922</v>
      </c>
      <c r="N23" s="34">
        <v>6.8727381371125107</v>
      </c>
      <c r="O23" s="33"/>
      <c r="P23" s="34">
        <v>17.879862577530314</v>
      </c>
      <c r="Q23" s="34">
        <v>12.280417332943539</v>
      </c>
      <c r="R23" s="33"/>
      <c r="S23" s="34">
        <v>11.835902577913492</v>
      </c>
      <c r="T23" s="34">
        <v>11.572235141251678</v>
      </c>
    </row>
    <row r="24" spans="1:21" x14ac:dyDescent="0.2">
      <c r="A24" s="29" t="s">
        <v>23</v>
      </c>
      <c r="B24" s="29" t="s">
        <v>65</v>
      </c>
      <c r="C24" s="29" t="s">
        <v>71</v>
      </c>
      <c r="D24" s="72" t="s">
        <v>107</v>
      </c>
      <c r="E24" s="31" t="s">
        <v>28</v>
      </c>
      <c r="F24" s="30">
        <v>17.162838000000001</v>
      </c>
      <c r="G24" s="32">
        <v>6789</v>
      </c>
      <c r="H24" s="33"/>
      <c r="I24" s="62">
        <v>4.7684585492227871</v>
      </c>
      <c r="J24" s="62">
        <v>4.7684585492227871</v>
      </c>
      <c r="K24" s="62">
        <v>16.195375706636874</v>
      </c>
      <c r="L24" s="62" t="s">
        <v>40</v>
      </c>
      <c r="M24" s="62" t="s">
        <v>40</v>
      </c>
      <c r="N24" s="62" t="s">
        <v>40</v>
      </c>
      <c r="O24" s="33"/>
      <c r="P24" s="34">
        <v>20.788956250074932</v>
      </c>
      <c r="Q24" s="34" t="s">
        <v>40</v>
      </c>
      <c r="R24" s="33"/>
      <c r="S24" s="34" t="s">
        <v>40</v>
      </c>
      <c r="T24" s="62" t="s">
        <v>40</v>
      </c>
    </row>
    <row r="25" spans="1:21" x14ac:dyDescent="0.2">
      <c r="A25" s="29" t="s">
        <v>39</v>
      </c>
      <c r="B25" s="29" t="s">
        <v>36</v>
      </c>
      <c r="C25" s="29" t="s">
        <v>67</v>
      </c>
      <c r="D25" s="72" t="s">
        <v>102</v>
      </c>
      <c r="E25" s="31" t="s">
        <v>28</v>
      </c>
      <c r="F25" s="30">
        <v>16.429956000000001</v>
      </c>
      <c r="G25" s="32">
        <v>3741</v>
      </c>
      <c r="H25" s="33"/>
      <c r="I25" s="34">
        <v>2.339909141825891</v>
      </c>
      <c r="J25" s="34">
        <v>2.339909141825891</v>
      </c>
      <c r="K25" s="34">
        <v>11.956103389095096</v>
      </c>
      <c r="L25" s="34">
        <v>8.6747960251906555</v>
      </c>
      <c r="M25" s="34" t="s">
        <v>40</v>
      </c>
      <c r="N25" s="34" t="s">
        <v>40</v>
      </c>
      <c r="O25" s="33"/>
      <c r="P25" s="34">
        <v>15.542409578921745</v>
      </c>
      <c r="Q25" s="34">
        <v>10.572996079794294</v>
      </c>
      <c r="R25" s="33"/>
      <c r="S25" s="62">
        <v>12.516338984214196</v>
      </c>
      <c r="T25" s="62" t="s">
        <v>40</v>
      </c>
    </row>
    <row r="26" spans="1:21" x14ac:dyDescent="0.2">
      <c r="A26" s="29" t="s">
        <v>39</v>
      </c>
      <c r="B26" s="29" t="s">
        <v>68</v>
      </c>
      <c r="C26" s="29" t="s">
        <v>86</v>
      </c>
      <c r="D26" s="72" t="s">
        <v>103</v>
      </c>
      <c r="E26" s="31" t="s">
        <v>28</v>
      </c>
      <c r="F26" s="30">
        <v>33.879795000000001</v>
      </c>
      <c r="G26" s="32">
        <v>43942</v>
      </c>
      <c r="H26" s="33"/>
      <c r="I26" s="34">
        <v>2.7328412125019685</v>
      </c>
      <c r="J26" s="34">
        <v>2.7328412125019685</v>
      </c>
      <c r="K26" s="34">
        <v>12.405903519865124</v>
      </c>
      <c r="L26" s="34" t="s">
        <v>40</v>
      </c>
      <c r="M26" s="34" t="s">
        <v>40</v>
      </c>
      <c r="N26" s="34" t="s">
        <v>40</v>
      </c>
      <c r="O26" s="33"/>
      <c r="P26" s="34">
        <v>15.559197896563482</v>
      </c>
      <c r="Q26" s="62" t="s">
        <v>40</v>
      </c>
      <c r="R26" s="33"/>
      <c r="S26" s="62" t="s">
        <v>40</v>
      </c>
      <c r="T26" s="62" t="s">
        <v>40</v>
      </c>
    </row>
    <row r="27" spans="1:21" x14ac:dyDescent="0.2">
      <c r="A27" s="29" t="s">
        <v>3</v>
      </c>
      <c r="B27" s="29" t="s">
        <v>63</v>
      </c>
      <c r="C27" s="29" t="s">
        <v>64</v>
      </c>
      <c r="D27" s="72" t="s">
        <v>108</v>
      </c>
      <c r="E27" s="31" t="s">
        <v>28</v>
      </c>
      <c r="F27" s="30">
        <v>5.9531359999999998</v>
      </c>
      <c r="G27" s="32">
        <v>1591</v>
      </c>
      <c r="H27" s="33"/>
      <c r="I27" s="34">
        <v>2.4727384426355359</v>
      </c>
      <c r="J27" s="34">
        <v>2.4727384426355359</v>
      </c>
      <c r="K27" s="34">
        <v>11.702837006957644</v>
      </c>
      <c r="L27" s="34" t="s">
        <v>40</v>
      </c>
      <c r="M27" s="34" t="s">
        <v>40</v>
      </c>
      <c r="N27" s="34" t="s">
        <v>40</v>
      </c>
      <c r="O27" s="33"/>
      <c r="P27" s="34">
        <v>11.519519334938</v>
      </c>
      <c r="Q27" s="62" t="s">
        <v>40</v>
      </c>
      <c r="R27" s="33"/>
      <c r="S27" s="62" t="s">
        <v>40</v>
      </c>
      <c r="T27" s="62" t="s">
        <v>40</v>
      </c>
    </row>
    <row r="28" spans="1:21" x14ac:dyDescent="0.2">
      <c r="A28" s="29" t="s">
        <v>81</v>
      </c>
      <c r="B28" s="29" t="s">
        <v>82</v>
      </c>
      <c r="C28" s="29" t="s">
        <v>79</v>
      </c>
      <c r="D28" s="72" t="s">
        <v>105</v>
      </c>
      <c r="E28" s="31" t="s">
        <v>28</v>
      </c>
      <c r="F28" s="30">
        <v>17.063006000000001</v>
      </c>
      <c r="G28" s="32">
        <v>6067</v>
      </c>
      <c r="H28" s="33"/>
      <c r="I28" s="34">
        <v>8.0248350795498524</v>
      </c>
      <c r="J28" s="34">
        <v>8.0248350795498524</v>
      </c>
      <c r="K28" s="34">
        <v>16.372310794245458</v>
      </c>
      <c r="L28" s="34" t="s">
        <v>40</v>
      </c>
      <c r="M28" s="34" t="s">
        <v>40</v>
      </c>
      <c r="N28" s="34" t="s">
        <v>40</v>
      </c>
      <c r="O28" s="33"/>
      <c r="P28" s="34" t="s">
        <v>40</v>
      </c>
      <c r="Q28" s="62" t="s">
        <v>40</v>
      </c>
      <c r="R28" s="33"/>
      <c r="S28" s="62" t="s">
        <v>40</v>
      </c>
      <c r="T28" s="62" t="s">
        <v>40</v>
      </c>
    </row>
    <row r="29" spans="1:21" x14ac:dyDescent="0.2">
      <c r="D29" s="7"/>
      <c r="E29" s="8"/>
      <c r="F29" s="7"/>
      <c r="G29" s="7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7" customFormat="1" x14ac:dyDescent="0.25">
      <c r="A31" s="5"/>
      <c r="B31" s="5"/>
      <c r="C31" s="5"/>
      <c r="D31" s="44"/>
      <c r="E31" s="45"/>
      <c r="F31" s="46"/>
      <c r="G31" s="47" t="s">
        <v>62</v>
      </c>
      <c r="H31" s="46"/>
      <c r="I31" s="48">
        <v>5.9872136751817173</v>
      </c>
      <c r="J31" s="48">
        <v>5.9872136751817173</v>
      </c>
      <c r="K31" s="48">
        <v>12.048319404742289</v>
      </c>
      <c r="L31" s="48">
        <v>7.3707954736118726</v>
      </c>
      <c r="M31" s="48">
        <v>6.8891137713069126</v>
      </c>
      <c r="N31" s="48">
        <v>6.440397383617726</v>
      </c>
      <c r="O31" s="48"/>
      <c r="P31" s="48">
        <v>14.47815161764249</v>
      </c>
      <c r="Q31" s="48">
        <v>8.9740823141630326</v>
      </c>
      <c r="R31" s="46"/>
      <c r="S31" s="49"/>
      <c r="T31" s="49"/>
      <c r="U31" s="5"/>
    </row>
    <row r="33" spans="1:21" x14ac:dyDescent="0.2">
      <c r="A33" s="16" t="s">
        <v>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21" x14ac:dyDescent="0.2">
      <c r="A34" s="16" t="s">
        <v>48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21" x14ac:dyDescent="0.2">
      <c r="A35" s="16" t="s">
        <v>50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21" x14ac:dyDescent="0.2">
      <c r="A36" s="16" t="s">
        <v>52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21" x14ac:dyDescent="0.2">
      <c r="A37" s="16" t="s">
        <v>54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P37" s="1"/>
      <c r="Q37" s="1"/>
      <c r="S37" s="1"/>
      <c r="T37" s="1"/>
      <c r="U37" s="1"/>
    </row>
    <row r="38" spans="1:21" x14ac:dyDescent="0.2">
      <c r="A38" s="67" t="s">
        <v>109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P38" s="1"/>
      <c r="Q38" s="1"/>
      <c r="S38" s="1"/>
      <c r="T38" s="1"/>
      <c r="U38" s="1"/>
    </row>
    <row r="39" spans="1:21" x14ac:dyDescent="0.2">
      <c r="A39" s="16" t="s">
        <v>57</v>
      </c>
      <c r="P39" s="1"/>
      <c r="Q39" s="1"/>
      <c r="S39" s="1"/>
      <c r="T39" s="1"/>
      <c r="U39" s="1"/>
    </row>
    <row r="40" spans="1:21" x14ac:dyDescent="0.2">
      <c r="A40" s="67"/>
      <c r="P40" s="1"/>
      <c r="Q40" s="1"/>
      <c r="S40" s="1"/>
      <c r="T40" s="1"/>
      <c r="U40" s="1"/>
    </row>
    <row r="41" spans="1:21" x14ac:dyDescent="0.2">
      <c r="A41" s="63"/>
    </row>
    <row r="42" spans="1:21" x14ac:dyDescent="0.2">
      <c r="L42" s="65"/>
    </row>
  </sheetData>
  <mergeCells count="3">
    <mergeCell ref="P1:Q1"/>
    <mergeCell ref="I1:N1"/>
    <mergeCell ref="S1:T1"/>
  </mergeCells>
  <phoneticPr fontId="15" type="noConversion"/>
  <conditionalFormatting sqref="I4:N6 I9:N16 P9:Q16 S9:T16">
    <cfRule type="cellIs" dxfId="16" priority="37" operator="greaterThanOrEqual">
      <formula>0</formula>
    </cfRule>
    <cfRule type="cellIs" dxfId="15" priority="38" operator="lessThan">
      <formula>0</formula>
    </cfRule>
  </conditionalFormatting>
  <conditionalFormatting sqref="I19:N28">
    <cfRule type="cellIs" dxfId="14" priority="35" operator="greaterThanOrEqual">
      <formula>0</formula>
    </cfRule>
    <cfRule type="cellIs" dxfId="13" priority="36" operator="lessThan">
      <formula>0</formula>
    </cfRule>
  </conditionalFormatting>
  <conditionalFormatting sqref="I43:T1048576 I32:T40 I41:K42 M41:T42">
    <cfRule type="duplicateValues" dxfId="12" priority="269"/>
  </conditionalFormatting>
  <conditionalFormatting sqref="L42">
    <cfRule type="duplicateValues" dxfId="11" priority="290"/>
  </conditionalFormatting>
  <conditionalFormatting sqref="P4:Q6">
    <cfRule type="cellIs" dxfId="10" priority="226" operator="greaterThanOrEqual">
      <formula>0</formula>
    </cfRule>
    <cfRule type="cellIs" dxfId="9" priority="227" operator="lessThan">
      <formula>0</formula>
    </cfRule>
  </conditionalFormatting>
  <conditionalFormatting sqref="P19:Q28">
    <cfRule type="cellIs" dxfId="8" priority="1" operator="greaterThanOrEqual">
      <formula>0</formula>
    </cfRule>
    <cfRule type="cellIs" dxfId="7" priority="2" operator="lessThan">
      <formula>0</formula>
    </cfRule>
  </conditionalFormatting>
  <conditionalFormatting sqref="S4:T6">
    <cfRule type="cellIs" dxfId="6" priority="220" operator="greaterThanOrEqual">
      <formula>0</formula>
    </cfRule>
    <cfRule type="cellIs" dxfId="5" priority="221" operator="lessThan">
      <formula>0</formula>
    </cfRule>
  </conditionalFormatting>
  <conditionalFormatting sqref="S19:T28">
    <cfRule type="cellIs" dxfId="4" priority="67" operator="greaterThanOrEqual">
      <formula>0</formula>
    </cfRule>
    <cfRule type="cellIs" dxfId="3" priority="68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5"/>
  <sheetViews>
    <sheetView showGridLines="0" zoomScale="70" zoomScaleNormal="7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0" customFormat="1" ht="14.25" x14ac:dyDescent="0.2">
      <c r="A1" s="22" t="s">
        <v>19</v>
      </c>
      <c r="B1" s="22" t="s">
        <v>18</v>
      </c>
      <c r="C1" s="22" t="s">
        <v>7</v>
      </c>
      <c r="E1" s="11"/>
      <c r="G1" s="12"/>
      <c r="I1" s="13"/>
      <c r="J1" s="13"/>
      <c r="K1" s="13"/>
      <c r="L1" s="13"/>
      <c r="N1" s="13"/>
      <c r="O1" s="13"/>
      <c r="Q1" s="14"/>
      <c r="R1" s="14"/>
      <c r="S1" s="14"/>
      <c r="T1" s="14"/>
    </row>
    <row r="2" spans="1:20" s="9" customFormat="1" x14ac:dyDescent="0.25">
      <c r="A2" s="29" t="s">
        <v>3</v>
      </c>
      <c r="B2" s="52">
        <v>103.06044800000001</v>
      </c>
      <c r="C2" s="53">
        <v>33492</v>
      </c>
      <c r="G2" s="6"/>
      <c r="H2" s="6"/>
      <c r="I2" s="6"/>
    </row>
    <row r="3" spans="1:20" s="9" customFormat="1" x14ac:dyDescent="0.25">
      <c r="A3" s="29" t="s">
        <v>97</v>
      </c>
      <c r="B3" s="52">
        <v>209.407636</v>
      </c>
      <c r="C3" s="53">
        <v>43376</v>
      </c>
      <c r="G3" s="6"/>
      <c r="H3" s="6"/>
      <c r="I3" s="6"/>
    </row>
    <row r="4" spans="1:20" s="9" customFormat="1" x14ac:dyDescent="0.25">
      <c r="A4" s="29" t="s">
        <v>23</v>
      </c>
      <c r="B4" s="52">
        <v>123.163951</v>
      </c>
      <c r="C4" s="53">
        <v>32248</v>
      </c>
      <c r="E4" s="6"/>
      <c r="F4" s="6"/>
      <c r="G4" s="6"/>
      <c r="H4" s="6"/>
      <c r="I4" s="6"/>
      <c r="O4" s="6"/>
      <c r="P4" s="61"/>
    </row>
    <row r="5" spans="1:20" s="9" customFormat="1" x14ac:dyDescent="0.25">
      <c r="A5" s="29" t="s">
        <v>39</v>
      </c>
      <c r="B5" s="52">
        <v>73.356070000000003</v>
      </c>
      <c r="C5" s="53">
        <v>68783</v>
      </c>
      <c r="E5" s="6"/>
      <c r="F5" s="6"/>
      <c r="G5" s="6"/>
      <c r="H5" s="6"/>
      <c r="I5" s="6"/>
      <c r="O5" s="59"/>
      <c r="P5" s="61"/>
    </row>
    <row r="6" spans="1:20" s="9" customFormat="1" x14ac:dyDescent="0.25">
      <c r="A6" s="29" t="s">
        <v>81</v>
      </c>
      <c r="B6" s="52">
        <v>19.236792000000001</v>
      </c>
      <c r="C6" s="53">
        <v>6818</v>
      </c>
      <c r="E6" s="6"/>
      <c r="F6" s="6"/>
      <c r="G6" s="6"/>
      <c r="H6" s="6"/>
      <c r="I6" s="6"/>
      <c r="O6" s="59"/>
      <c r="P6" s="61"/>
    </row>
    <row r="7" spans="1:20" s="10" customFormat="1" ht="14.25" x14ac:dyDescent="0.2">
      <c r="A7" s="56" t="s">
        <v>22</v>
      </c>
      <c r="B7" s="54">
        <v>528.22489699999994</v>
      </c>
      <c r="C7" s="55">
        <v>184717</v>
      </c>
      <c r="E7" s="11"/>
      <c r="G7" s="12"/>
      <c r="I7" s="13"/>
      <c r="J7" s="13"/>
      <c r="K7" s="13"/>
      <c r="L7" s="13"/>
      <c r="N7" s="13"/>
      <c r="O7" s="60"/>
      <c r="P7" s="60"/>
      <c r="Q7" s="14"/>
      <c r="R7" s="14"/>
      <c r="S7" s="14"/>
      <c r="T7" s="14"/>
    </row>
    <row r="8" spans="1:20" s="9" customFormat="1" x14ac:dyDescent="0.25">
      <c r="B8" s="15"/>
      <c r="E8" s="6"/>
      <c r="F8" s="6"/>
      <c r="G8" s="6"/>
      <c r="H8" s="6"/>
      <c r="I8" s="6"/>
    </row>
    <row r="9" spans="1:20" s="10" customFormat="1" ht="22.7" customHeight="1" x14ac:dyDescent="0.2">
      <c r="E9" s="11"/>
      <c r="G9" s="12"/>
      <c r="I9" s="13"/>
      <c r="J9" s="13"/>
      <c r="K9" s="13"/>
      <c r="L9" s="13"/>
      <c r="N9" s="13"/>
      <c r="O9" s="13"/>
      <c r="Q9" s="14"/>
      <c r="R9" s="14"/>
      <c r="S9" s="14"/>
      <c r="T9" s="14"/>
    </row>
    <row r="10" spans="1:20" s="9" customFormat="1" x14ac:dyDescent="0.25"/>
    <row r="11" spans="1:20" s="9" customFormat="1" x14ac:dyDescent="0.25"/>
    <row r="12" spans="1:20" s="9" customFormat="1" x14ac:dyDescent="0.25"/>
    <row r="13" spans="1:20" s="9" customFormat="1" x14ac:dyDescent="0.25"/>
    <row r="14" spans="1:20" s="9" customFormat="1" x14ac:dyDescent="0.25"/>
    <row r="15" spans="1:20" s="9" customFormat="1" x14ac:dyDescent="0.25"/>
    <row r="16" spans="1:20" s="9" customFormat="1" x14ac:dyDescent="0.25"/>
    <row r="17" spans="1:3" s="9" customFormat="1" x14ac:dyDescent="0.25"/>
    <row r="18" spans="1:3" s="9" customFormat="1" x14ac:dyDescent="0.25"/>
    <row r="19" spans="1:3" s="9" customFormat="1" x14ac:dyDescent="0.25"/>
    <row r="20" spans="1:3" s="9" customFormat="1" x14ac:dyDescent="0.25"/>
    <row r="21" spans="1:3" s="9" customFormat="1" x14ac:dyDescent="0.25"/>
    <row r="22" spans="1:3" ht="33" customHeight="1" x14ac:dyDescent="0.25">
      <c r="A22" s="22" t="s">
        <v>20</v>
      </c>
      <c r="B22" s="22" t="s">
        <v>33</v>
      </c>
      <c r="C22" s="22" t="s">
        <v>34</v>
      </c>
    </row>
    <row r="23" spans="1:3" x14ac:dyDescent="0.25">
      <c r="A23" s="29" t="s">
        <v>92</v>
      </c>
      <c r="B23" s="52">
        <v>15.416467000000001</v>
      </c>
      <c r="C23" s="53">
        <v>3586</v>
      </c>
    </row>
    <row r="24" spans="1:3" x14ac:dyDescent="0.25">
      <c r="A24" s="29" t="e">
        <v>#REF!</v>
      </c>
      <c r="B24" s="52"/>
      <c r="C24" s="53"/>
    </row>
    <row r="25" spans="1:3" x14ac:dyDescent="0.25">
      <c r="A25" s="29" t="s">
        <v>93</v>
      </c>
      <c r="B25" s="52">
        <v>34.983016999999997</v>
      </c>
      <c r="C25" s="53">
        <v>5887</v>
      </c>
    </row>
    <row r="26" spans="1:3" x14ac:dyDescent="0.25">
      <c r="A26" s="29" t="s">
        <v>94</v>
      </c>
      <c r="B26" s="52">
        <v>24.832063000000002</v>
      </c>
      <c r="C26" s="53">
        <v>7403</v>
      </c>
    </row>
    <row r="27" spans="1:3" x14ac:dyDescent="0.25">
      <c r="A27" s="29" t="s">
        <v>95</v>
      </c>
      <c r="B27" s="52">
        <v>123.546077</v>
      </c>
      <c r="C27" s="53">
        <v>21670</v>
      </c>
    </row>
    <row r="28" spans="1:3" x14ac:dyDescent="0.25">
      <c r="A28" s="29" t="s">
        <v>96</v>
      </c>
      <c r="B28" s="52">
        <v>10.630012000000001</v>
      </c>
      <c r="C28" s="53">
        <v>4830</v>
      </c>
    </row>
    <row r="29" spans="1:3" x14ac:dyDescent="0.25">
      <c r="A29" s="29" t="s">
        <v>88</v>
      </c>
      <c r="B29" s="52">
        <v>9.6096459999999997</v>
      </c>
      <c r="C29" s="53">
        <v>3331</v>
      </c>
    </row>
    <row r="30" spans="1:3" x14ac:dyDescent="0.25">
      <c r="A30" s="29" t="s">
        <v>89</v>
      </c>
      <c r="B30" s="52">
        <v>63.617860999999998</v>
      </c>
      <c r="C30" s="53">
        <v>22511</v>
      </c>
    </row>
    <row r="31" spans="1:3" x14ac:dyDescent="0.25">
      <c r="A31" s="29" t="s">
        <v>90</v>
      </c>
      <c r="B31" s="52">
        <v>23.879805000000001</v>
      </c>
      <c r="C31" s="53">
        <v>6059</v>
      </c>
    </row>
    <row r="32" spans="1:3" x14ac:dyDescent="0.25">
      <c r="A32" s="29" t="s">
        <v>64</v>
      </c>
      <c r="B32" s="52">
        <v>5.9531359999999998</v>
      </c>
      <c r="C32" s="53">
        <v>1591</v>
      </c>
    </row>
    <row r="33" spans="1:3" x14ac:dyDescent="0.25">
      <c r="A33" s="29" t="s">
        <v>44</v>
      </c>
      <c r="B33" s="52">
        <v>8.357856</v>
      </c>
      <c r="C33" s="53">
        <v>3926</v>
      </c>
    </row>
    <row r="34" spans="1:3" x14ac:dyDescent="0.25">
      <c r="A34" s="29" t="s">
        <v>46</v>
      </c>
      <c r="B34" s="52">
        <v>11.470839</v>
      </c>
      <c r="C34" s="53">
        <v>2704</v>
      </c>
    </row>
    <row r="35" spans="1:3" x14ac:dyDescent="0.25">
      <c r="A35" s="29" t="s">
        <v>45</v>
      </c>
      <c r="B35" s="52">
        <v>86.172417999999993</v>
      </c>
      <c r="C35" s="53">
        <v>18829</v>
      </c>
    </row>
    <row r="36" spans="1:3" x14ac:dyDescent="0.25">
      <c r="A36" s="29" t="s">
        <v>71</v>
      </c>
      <c r="B36" s="52">
        <v>17.162838000000001</v>
      </c>
      <c r="C36" s="53">
        <v>6789</v>
      </c>
    </row>
    <row r="37" spans="1:3" x14ac:dyDescent="0.25">
      <c r="A37" s="57" t="s">
        <v>73</v>
      </c>
      <c r="B37" s="52">
        <v>1.121302</v>
      </c>
      <c r="C37" s="53">
        <v>222</v>
      </c>
    </row>
    <row r="38" spans="1:3" x14ac:dyDescent="0.25">
      <c r="A38" s="57" t="s">
        <v>74</v>
      </c>
      <c r="B38" s="52">
        <v>4.6702180000000002</v>
      </c>
      <c r="C38" s="53">
        <v>1307</v>
      </c>
    </row>
    <row r="39" spans="1:3" x14ac:dyDescent="0.25">
      <c r="A39" s="57" t="s">
        <v>75</v>
      </c>
      <c r="B39" s="52">
        <v>3.1263529999999999</v>
      </c>
      <c r="C39" s="53">
        <v>2686</v>
      </c>
    </row>
    <row r="40" spans="1:3" x14ac:dyDescent="0.25">
      <c r="A40" s="57" t="s">
        <v>76</v>
      </c>
      <c r="B40" s="52">
        <v>14.128446</v>
      </c>
      <c r="C40" s="53">
        <v>16885</v>
      </c>
    </row>
    <row r="41" spans="1:3" x14ac:dyDescent="0.25">
      <c r="A41" s="29" t="s">
        <v>77</v>
      </c>
      <c r="B41" s="52">
        <v>16.429956000000001</v>
      </c>
      <c r="C41" s="53">
        <v>3741</v>
      </c>
    </row>
    <row r="42" spans="1:3" x14ac:dyDescent="0.25">
      <c r="A42" s="29" t="s">
        <v>78</v>
      </c>
      <c r="B42" s="52">
        <v>33.879795000000001</v>
      </c>
      <c r="C42" s="53">
        <v>43942</v>
      </c>
    </row>
    <row r="43" spans="1:3" x14ac:dyDescent="0.25">
      <c r="A43" s="29" t="s">
        <v>79</v>
      </c>
      <c r="B43" s="52">
        <v>17.063006000000001</v>
      </c>
      <c r="C43" s="53">
        <v>6067</v>
      </c>
    </row>
    <row r="44" spans="1:3" x14ac:dyDescent="0.25">
      <c r="A44" s="29" t="s">
        <v>80</v>
      </c>
      <c r="B44" s="52">
        <v>2.1737860000000002</v>
      </c>
      <c r="C44" s="53">
        <v>751</v>
      </c>
    </row>
    <row r="45" spans="1:3" x14ac:dyDescent="0.25">
      <c r="A45" s="56" t="s">
        <v>22</v>
      </c>
      <c r="B45" s="54">
        <v>528.22489699999994</v>
      </c>
      <c r="C45" s="64">
        <v>184717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2025-12-31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2026-05-12T11:19:39Z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0316dab8-5388-4ef7-91d5-37ec68ae71eb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