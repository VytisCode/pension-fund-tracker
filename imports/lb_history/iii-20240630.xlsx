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9DDC41-40B7-40B0-ABBA-69F0ABE4BE60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4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3" i="12" l="1"/>
  <c r="A24" i="12"/>
  <c r="A25" i="12"/>
  <c r="A26" i="12"/>
  <c r="A27" i="12"/>
  <c r="A28" i="12"/>
  <c r="A29" i="12"/>
  <c r="A30" i="12"/>
  <c r="A32" i="12"/>
  <c r="A33" i="12"/>
  <c r="A34" i="12"/>
  <c r="B42" i="12" l="1"/>
  <c r="C43" i="12"/>
  <c r="C42" i="12"/>
  <c r="C6" i="12" s="1"/>
  <c r="B40" i="12"/>
  <c r="B37" i="12"/>
  <c r="B41" i="12"/>
  <c r="B31" i="12"/>
  <c r="B39" i="12"/>
  <c r="C30" i="12"/>
  <c r="C28" i="12"/>
  <c r="C2" i="12" s="1"/>
  <c r="C35" i="12"/>
  <c r="C37" i="12"/>
  <c r="C34" i="12"/>
  <c r="C25" i="12"/>
  <c r="C29" i="12"/>
  <c r="C31" i="12"/>
  <c r="C32" i="12"/>
  <c r="C36" i="12"/>
  <c r="C27" i="12"/>
  <c r="C24" i="12"/>
  <c r="C33" i="12"/>
  <c r="C41" i="12"/>
  <c r="C39" i="12"/>
  <c r="C26" i="12"/>
  <c r="C23" i="12"/>
  <c r="C3" i="12" s="1"/>
  <c r="C40" i="12"/>
  <c r="C38" i="12"/>
  <c r="B34" i="12"/>
  <c r="B26" i="12"/>
  <c r="B25" i="12"/>
  <c r="B27" i="12"/>
  <c r="B33" i="12"/>
  <c r="C4" i="12" l="1"/>
  <c r="C7" i="12" s="1"/>
  <c r="C5" i="12"/>
  <c r="B43" i="12"/>
  <c r="B6" i="12" s="1"/>
  <c r="B24" i="12"/>
  <c r="B35" i="12"/>
  <c r="B23" i="12"/>
  <c r="B3" i="12" s="1"/>
  <c r="B32" i="12"/>
  <c r="B4" i="12" s="1"/>
  <c r="B38" i="12"/>
  <c r="C44" i="12"/>
  <c r="B36" i="12"/>
  <c r="B5" i="12" s="1"/>
  <c r="B29" i="12"/>
  <c r="B28" i="12"/>
  <c r="B2" i="12" s="1"/>
  <c r="B30" i="12"/>
  <c r="B7" i="12" l="1"/>
  <c r="B44" i="12"/>
</calcChain>
</file>

<file path=xl/sharedStrings.xml><?xml version="1.0" encoding="utf-8"?>
<sst xmlns="http://schemas.openxmlformats.org/spreadsheetml/2006/main" count="241" uniqueCount="110">
  <si>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</si>
  <si>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</si>
  <si>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</si>
  <si>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</si>
  <si>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</si>
  <si>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</si>
  <si>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</si>
  <si>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</si>
  <si>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</si>
  <si>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</si>
  <si>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</si>
  <si>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</si>
  <si>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</si>
  <si>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</si>
  <si>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</si>
  <si>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</si>
  <si>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</si>
  <si>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</si>
  <si>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</si>
  <si>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</si>
  <si>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</si>
  <si>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</si>
  <si>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</si>
  <si>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</si>
  <si>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</si>
  <si>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</si>
  <si>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</si>
  <si>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</si>
  <si>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</si>
  <si>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</si>
  <si>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</si>
  <si>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</si>
  <si>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</si>
  <si>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</si>
  <si>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</si>
  <si>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</si>
  <si>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</si>
  <si>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</si>
  <si>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</si>
  <si>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</si>
  <si>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</si>
  <si>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</si>
  <si>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</si>
  <si>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</si>
  <si>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</si>
  <si>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</si>
  <si>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</si>
  <si>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</si>
  <si>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</si>
  <si>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</si>
  <si>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</si>
  <si>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</si>
  <si>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</si>
  <si>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</si>
  <si>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</si>
  <si>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</si>
  <si>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</si>
  <si>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</si>
  <si>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</si>
  <si>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</si>
  <si>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</si>
  <si>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</si>
  <si>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</si>
  <si>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</si>
  <si>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</si>
  <si>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</si>
  <si>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</si>
  <si>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</si>
  <si>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</si>
  <si>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</si>
  <si>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</si>
  <si>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</si>
  <si>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</si>
  <si>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</si>
  <si>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</si>
  <si>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</si>
  <si>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</si>
  <si>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</si>
  <si>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</si>
  <si>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</si>
  <si>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</si>
  <si>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</si>
  <si>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</si>
  <si>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</si>
  <si>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</si>
  <si>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</si>
  <si>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</si>
  <si>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</si>
  <si>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</si>
  <si>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</si>
  <si>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</si>
  <si>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</si>
  <si>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</si>
  <si>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</si>
  <si>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</si>
  <si>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</si>
  <si>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</si>
  <si>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UAB „SB Asset Management“</t>
  </si>
  <si>
    <t>4 m. 3 mėn.</t>
  </si>
  <si>
    <t>1 m. 11 mėn.</t>
  </si>
  <si>
    <t>2 m. 2 mėn.</t>
  </si>
  <si>
    <r>
      <t xml:space="preserve">[5] Svertiniam vidurkiui apskaičiuoti naudotas </t>
    </r>
    <r>
      <rPr>
        <b/>
        <sz val="10"/>
        <color theme="1"/>
        <rFont val="Verdana"/>
        <family val="2"/>
        <charset val="186"/>
      </rPr>
      <t xml:space="preserve">2024-06-28 </t>
    </r>
    <r>
      <rPr>
        <sz val="10"/>
        <color theme="1"/>
        <rFont val="Verdana"/>
        <family val="2"/>
        <charset val="186"/>
      </rPr>
      <t>dienos fondų grynųjų aktyvų dydis.</t>
    </r>
  </si>
  <si>
    <t>10 m.  8 mėn.</t>
  </si>
  <si>
    <t>19 m. 6 mėn.</t>
  </si>
  <si>
    <t>19 m. 8 mėn.</t>
  </si>
  <si>
    <t>11 m. 1 mėn.</t>
  </si>
  <si>
    <t>16 m. 9 mėn.</t>
  </si>
  <si>
    <t>4 m. 6 mėn.</t>
  </si>
  <si>
    <t>2 m. 5 mėn.</t>
  </si>
  <si>
    <t>3 m. 1 mėn.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</si>
</sst>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left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3" fillId="0" borderId="2" xfId="0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2" fontId="3" fillId="0" borderId="2" xfId="0" applyNumberFormat="1" applyFont="1" applyFill="1" applyBorder="1" applyAlignment="1">
      <alignment horizontal="left" vertical="center"/>
    </xf>
    <xf numFmtId="14" fontId="15" fillId="2" borderId="1" xfId="0" applyNumberFormat="1" applyFont="1" applyFill="1" applyBorder="1" applyAlignment="1">
      <alignment horizontal="left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FFFFC1"/>
      <color rgb="FFE31C48"/>
      <color rgb="FF99FFCC"/>
      <color rgb="FF903F98"/>
      <color rgb="FFFCAF17"/>
      <color rgb="FF00B07D"/>
      <color rgb="FF009900"/>
      <color rgb="FF9C5BCD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86.790127999999996</c:v>
                </c:pt>
                <c:pt idx="1">
                  <c:v>144.87531900000002</c:v>
                </c:pt>
                <c:pt idx="2">
                  <c:v>81.748103</c:v>
                </c:pt>
                <c:pt idx="3">
                  <c:v>28.748453000000001</c:v>
                </c:pt>
                <c:pt idx="4">
                  <c:v>4.7945890000000002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33645</c:v>
                </c:pt>
                <c:pt idx="1">
                  <c:v>35322</c:v>
                </c:pt>
                <c:pt idx="2">
                  <c:v>21679</c:v>
                </c:pt>
                <c:pt idx="3">
                  <c:v>39522</c:v>
                </c:pt>
                <c:pt idx="4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3104</c:v>
                </c:pt>
                <c:pt idx="1">
                  <c:v>1769</c:v>
                </c:pt>
                <c:pt idx="2">
                  <c:v>5424</c:v>
                </c:pt>
                <c:pt idx="3">
                  <c:v>4995</c:v>
                </c:pt>
                <c:pt idx="4">
                  <c:v>20030</c:v>
                </c:pt>
                <c:pt idx="5">
                  <c:v>3705</c:v>
                </c:pt>
                <c:pt idx="6">
                  <c:v>23734</c:v>
                </c:pt>
                <c:pt idx="7">
                  <c:v>5172</c:v>
                </c:pt>
                <c:pt idx="8">
                  <c:v>1034</c:v>
                </c:pt>
                <c:pt idx="9">
                  <c:v>1922</c:v>
                </c:pt>
                <c:pt idx="10">
                  <c:v>2266</c:v>
                </c:pt>
                <c:pt idx="11">
                  <c:v>14374</c:v>
                </c:pt>
                <c:pt idx="12">
                  <c:v>3117</c:v>
                </c:pt>
                <c:pt idx="13">
                  <c:v>162</c:v>
                </c:pt>
                <c:pt idx="14">
                  <c:v>891</c:v>
                </c:pt>
                <c:pt idx="15">
                  <c:v>1637</c:v>
                </c:pt>
                <c:pt idx="16">
                  <c:v>10690</c:v>
                </c:pt>
                <c:pt idx="17">
                  <c:v>2233</c:v>
                </c:pt>
                <c:pt idx="18">
                  <c:v>23909</c:v>
                </c:pt>
                <c:pt idx="19">
                  <c:v>1261</c:v>
                </c:pt>
                <c:pt idx="20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12.670982</c:v>
                </c:pt>
                <c:pt idx="1">
                  <c:v>4.1585159999999997</c:v>
                </c:pt>
                <c:pt idx="2">
                  <c:v>25.556747000000001</c:v>
                </c:pt>
                <c:pt idx="3">
                  <c:v>14.840070000000001</c:v>
                </c:pt>
                <c:pt idx="4">
                  <c:v>87.649004000000005</c:v>
                </c:pt>
                <c:pt idx="5">
                  <c:v>9.8850890000000007</c:v>
                </c:pt>
                <c:pt idx="6">
                  <c:v>55.138945999999997</c:v>
                </c:pt>
                <c:pt idx="7">
                  <c:v>18.155660999999998</c:v>
                </c:pt>
                <c:pt idx="8">
                  <c:v>3.6104319999999999</c:v>
                </c:pt>
                <c:pt idx="9">
                  <c:v>3.567876</c:v>
                </c:pt>
                <c:pt idx="10">
                  <c:v>9.5364629999999995</c:v>
                </c:pt>
                <c:pt idx="11">
                  <c:v>62.675415000000001</c:v>
                </c:pt>
                <c:pt idx="12">
                  <c:v>5.9683489999999999</c:v>
                </c:pt>
                <c:pt idx="13">
                  <c:v>0.76072300000000004</c:v>
                </c:pt>
                <c:pt idx="14">
                  <c:v>2.6039159999999999</c:v>
                </c:pt>
                <c:pt idx="15">
                  <c:v>1.11494</c:v>
                </c:pt>
                <c:pt idx="16">
                  <c:v>4.8964590000000001</c:v>
                </c:pt>
                <c:pt idx="17">
                  <c:v>8.4556520000000006</c:v>
                </c:pt>
                <c:pt idx="18">
                  <c:v>10.916763</c:v>
                </c:pt>
                <c:pt idx="19">
                  <c:v>4.4427450000000004</c:v>
                </c:pt>
                <c:pt idx="20">
                  <c:v>0.35184399999999999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10433</xdr:colOff>
      <xdr:row>20</xdr:row>
      <xdr:rowOff>66475</xdr:rowOff>
    </xdr:from>
    <xdr:to>
      <xdr:col>16</xdr:col>
      <xdr:colOff>88355</xdr:colOff>
      <xdr:row>46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U40"/>
  <sheetViews>
    <sheetView showGridLines="0" tabSelected="1" zoomScale="85" zoomScaleNormal="85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1">
        <v>45473</v>
      </c>
      <c r="B1" s="19"/>
      <c r="C1" s="20"/>
      <c r="D1" s="21"/>
      <c r="E1" s="22"/>
      <c r="F1" s="22"/>
      <c r="G1" s="22"/>
      <c r="H1" s="22"/>
      <c r="I1" s="73" t="s">
        <v>23</v>
      </c>
      <c r="J1" s="74"/>
      <c r="K1" s="74"/>
      <c r="L1" s="74"/>
      <c r="M1" s="74"/>
      <c r="N1" s="75"/>
      <c r="O1" s="22"/>
      <c r="P1" s="72" t="s">
        <v>57</v>
      </c>
      <c r="Q1" s="72"/>
      <c r="R1" s="22"/>
      <c r="S1" s="76" t="s">
        <v>59</v>
      </c>
      <c r="T1" s="77"/>
    </row>
    <row r="2" spans="1:21" ht="78" customHeight="1" x14ac:dyDescent="0.2">
      <c r="A2" s="23" t="s">
        <v>0</v>
      </c>
      <c r="B2" s="23" t="s">
        <v>1</v>
      </c>
      <c r="C2" s="23" t="s">
        <v>2</v>
      </c>
      <c r="D2" s="24" t="s">
        <v>41</v>
      </c>
      <c r="E2" s="24" t="s">
        <v>30</v>
      </c>
      <c r="F2" s="24" t="s">
        <v>62</v>
      </c>
      <c r="G2" s="25" t="s">
        <v>12</v>
      </c>
      <c r="H2" s="22"/>
      <c r="I2" s="25" t="s">
        <v>53</v>
      </c>
      <c r="J2" s="68" t="s">
        <v>93</v>
      </c>
      <c r="K2" s="25" t="s">
        <v>55</v>
      </c>
      <c r="L2" s="25" t="s">
        <v>65</v>
      </c>
      <c r="M2" s="25" t="s">
        <v>66</v>
      </c>
      <c r="N2" s="62" t="s">
        <v>67</v>
      </c>
      <c r="O2" s="22"/>
      <c r="P2" s="25" t="s">
        <v>35</v>
      </c>
      <c r="Q2" s="25" t="s">
        <v>36</v>
      </c>
      <c r="R2" s="22"/>
      <c r="S2" s="25" t="s">
        <v>37</v>
      </c>
      <c r="T2" s="25" t="s">
        <v>38</v>
      </c>
    </row>
    <row r="3" spans="1:21" s="27" customFormat="1" x14ac:dyDescent="0.2">
      <c r="A3" s="26" t="s">
        <v>11</v>
      </c>
      <c r="B3" s="26"/>
      <c r="C3" s="26"/>
      <c r="E3" s="28"/>
      <c r="G3" s="51" t="s">
        <v>61</v>
      </c>
      <c r="I3" s="29">
        <v>1.4595848466259478</v>
      </c>
      <c r="J3" s="29">
        <v>6.1718740508004766</v>
      </c>
      <c r="K3" s="29">
        <v>-1.8510813426452137</v>
      </c>
      <c r="L3" s="29">
        <v>-0.5256061132935218</v>
      </c>
      <c r="M3" s="29">
        <v>0.6540330901517114</v>
      </c>
      <c r="N3" s="29">
        <v>2.4185979767642838</v>
      </c>
      <c r="P3" s="29">
        <v>-2.5822935003796883</v>
      </c>
      <c r="Q3" s="29">
        <v>-0.8597955323435108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94</v>
      </c>
      <c r="D4" s="70" t="s">
        <v>102</v>
      </c>
      <c r="E4" s="32">
        <v>0</v>
      </c>
      <c r="F4" s="31">
        <v>9.8850890000000007</v>
      </c>
      <c r="G4" s="33">
        <v>3705</v>
      </c>
      <c r="H4" s="34"/>
      <c r="I4" s="35">
        <v>1.1083303539506595</v>
      </c>
      <c r="J4" s="35">
        <v>5.6406425102726976</v>
      </c>
      <c r="K4" s="35">
        <v>-1.6198111403095239</v>
      </c>
      <c r="L4" s="35">
        <v>-1.0681529802829881</v>
      </c>
      <c r="M4" s="35">
        <v>-0.31621243042567748</v>
      </c>
      <c r="N4" s="35" t="s">
        <v>46</v>
      </c>
      <c r="O4" s="34"/>
      <c r="P4" s="35">
        <v>-1.3588042360215269</v>
      </c>
      <c r="Q4" s="35">
        <v>-0.71166060007517018</v>
      </c>
      <c r="R4" s="34"/>
      <c r="S4" s="35">
        <v>3.302026544219034</v>
      </c>
      <c r="T4" s="35">
        <v>2.420939799930705</v>
      </c>
    </row>
    <row r="5" spans="1:21" x14ac:dyDescent="0.2">
      <c r="A5" s="30" t="s">
        <v>97</v>
      </c>
      <c r="B5" s="30" t="s">
        <v>19</v>
      </c>
      <c r="C5" s="30" t="s">
        <v>4</v>
      </c>
      <c r="D5" s="70" t="s">
        <v>103</v>
      </c>
      <c r="E5" s="32">
        <v>0</v>
      </c>
      <c r="F5" s="31">
        <v>12.670982</v>
      </c>
      <c r="G5" s="33">
        <v>3104</v>
      </c>
      <c r="H5" s="34"/>
      <c r="I5" s="35">
        <v>1.774447949526814</v>
      </c>
      <c r="J5" s="35">
        <v>6.6088393225939734</v>
      </c>
      <c r="K5" s="35">
        <v>-1.7513582130048388</v>
      </c>
      <c r="L5" s="35">
        <v>-0.27665067100667295</v>
      </c>
      <c r="M5" s="35">
        <v>1.063091459586718</v>
      </c>
      <c r="N5" s="35">
        <v>3.0651789291213705</v>
      </c>
      <c r="O5" s="34"/>
      <c r="P5" s="35">
        <v>-4.385054893702689</v>
      </c>
      <c r="Q5" s="35">
        <v>-1.9702133416121481</v>
      </c>
      <c r="R5" s="34"/>
      <c r="S5" s="35">
        <v>4.7269027556931764</v>
      </c>
      <c r="T5" s="35">
        <v>3.7293428763619754</v>
      </c>
    </row>
    <row r="6" spans="1:21" x14ac:dyDescent="0.2">
      <c r="A6" s="30" t="s">
        <v>29</v>
      </c>
      <c r="B6" s="30" t="s">
        <v>13</v>
      </c>
      <c r="C6" s="30" t="s">
        <v>52</v>
      </c>
      <c r="D6" s="70" t="s">
        <v>104</v>
      </c>
      <c r="E6" s="32" t="s">
        <v>31</v>
      </c>
      <c r="F6" s="31">
        <v>9.5364629999999995</v>
      </c>
      <c r="G6" s="33">
        <v>2266</v>
      </c>
      <c r="H6" s="34"/>
      <c r="I6" s="35">
        <v>1.4053254437869755</v>
      </c>
      <c r="J6" s="35">
        <v>6.1419354838709639</v>
      </c>
      <c r="K6" s="35">
        <v>-2.2233070319592874</v>
      </c>
      <c r="L6" s="35">
        <v>-0.29400933167298415</v>
      </c>
      <c r="M6" s="35">
        <v>0.43829448576597763</v>
      </c>
      <c r="N6" s="35">
        <v>1.5594937565875266</v>
      </c>
      <c r="O6" s="34"/>
      <c r="P6" s="35">
        <v>-1.4552029956122814</v>
      </c>
      <c r="Q6" s="35">
        <v>0.46205273406729752</v>
      </c>
      <c r="R6" s="34"/>
      <c r="S6" s="35">
        <v>4.7528084924502112</v>
      </c>
      <c r="T6" s="35">
        <v>3.6736904107665036</v>
      </c>
    </row>
    <row r="7" spans="1:21" x14ac:dyDescent="0.2">
      <c r="A7" s="6"/>
      <c r="B7" s="6"/>
      <c r="C7" s="6"/>
      <c r="D7" s="58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59"/>
      <c r="E8" s="41"/>
      <c r="F8" s="42"/>
      <c r="G8" s="51" t="s">
        <v>61</v>
      </c>
      <c r="H8" s="43"/>
      <c r="I8" s="29">
        <v>6.6356193493508329</v>
      </c>
      <c r="J8" s="29">
        <v>12.164599883454024</v>
      </c>
      <c r="K8" s="29">
        <v>1.5284762127678067</v>
      </c>
      <c r="L8" s="29">
        <v>3.6937445659159169</v>
      </c>
      <c r="M8" s="29">
        <v>3.9989836370609306</v>
      </c>
      <c r="N8" s="29">
        <v>5.0167243535419717</v>
      </c>
      <c r="O8" s="43"/>
      <c r="P8" s="29">
        <v>1.8734599481854217</v>
      </c>
      <c r="Q8" s="29">
        <v>4.1955358143389656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95</v>
      </c>
      <c r="D9" s="70" t="s">
        <v>104</v>
      </c>
      <c r="E9" s="32" t="s">
        <v>32</v>
      </c>
      <c r="F9" s="31">
        <v>55.138945999999997</v>
      </c>
      <c r="G9" s="33">
        <v>23734</v>
      </c>
      <c r="H9" s="34"/>
      <c r="I9" s="35">
        <v>7.1415424259156923</v>
      </c>
      <c r="J9" s="35">
        <v>12.919495635305523</v>
      </c>
      <c r="K9" s="35">
        <v>1.4861538476269587</v>
      </c>
      <c r="L9" s="35">
        <v>3.4625603262296911</v>
      </c>
      <c r="M9" s="35">
        <v>3.4714919724017079</v>
      </c>
      <c r="N9" s="35">
        <v>4.7594672591793508</v>
      </c>
      <c r="O9" s="34"/>
      <c r="P9" s="35">
        <v>2.8049580134721364</v>
      </c>
      <c r="Q9" s="35">
        <v>4.4470125712352315</v>
      </c>
      <c r="R9" s="34"/>
      <c r="S9" s="35">
        <v>6.6917344303515538</v>
      </c>
      <c r="T9" s="35">
        <v>5.8993057817039478</v>
      </c>
    </row>
    <row r="10" spans="1:21" x14ac:dyDescent="0.2">
      <c r="A10" s="30" t="s">
        <v>97</v>
      </c>
      <c r="B10" s="30" t="s">
        <v>17</v>
      </c>
      <c r="C10" s="30" t="s">
        <v>6</v>
      </c>
      <c r="D10" s="70" t="s">
        <v>105</v>
      </c>
      <c r="E10" s="32" t="s">
        <v>33</v>
      </c>
      <c r="F10" s="31">
        <v>4.1585159999999997</v>
      </c>
      <c r="G10" s="33">
        <v>1769</v>
      </c>
      <c r="H10" s="34"/>
      <c r="I10" s="35">
        <v>3.8814581694204042</v>
      </c>
      <c r="J10" s="35">
        <v>11.483253588516739</v>
      </c>
      <c r="K10" s="35">
        <v>-1.2953339514433115</v>
      </c>
      <c r="L10" s="35">
        <v>2.2036431802045398</v>
      </c>
      <c r="M10" s="35">
        <v>2.9454885744458759</v>
      </c>
      <c r="N10" s="35" t="s">
        <v>46</v>
      </c>
      <c r="O10" s="34"/>
      <c r="P10" s="35">
        <v>-0.96438459125159914</v>
      </c>
      <c r="Q10" s="35">
        <v>2.9334936793375732</v>
      </c>
      <c r="R10" s="34"/>
      <c r="S10" s="35">
        <v>10.506344868583746</v>
      </c>
      <c r="T10" s="35">
        <v>8.734849291284025</v>
      </c>
    </row>
    <row r="11" spans="1:21" x14ac:dyDescent="0.2">
      <c r="A11" s="30" t="s">
        <v>97</v>
      </c>
      <c r="B11" s="30" t="s">
        <v>18</v>
      </c>
      <c r="C11" s="30" t="s">
        <v>5</v>
      </c>
      <c r="D11" s="70" t="s">
        <v>106</v>
      </c>
      <c r="E11" s="32" t="s">
        <v>33</v>
      </c>
      <c r="F11" s="31">
        <v>25.556747000000001</v>
      </c>
      <c r="G11" s="33">
        <v>5424</v>
      </c>
      <c r="H11" s="34"/>
      <c r="I11" s="35">
        <v>6.4609450337512087</v>
      </c>
      <c r="J11" s="35">
        <v>11.458859162039371</v>
      </c>
      <c r="K11" s="35">
        <v>2.0760619073511677</v>
      </c>
      <c r="L11" s="35">
        <v>4.4349917114236304</v>
      </c>
      <c r="M11" s="35">
        <v>5.3084738662712683</v>
      </c>
      <c r="N11" s="35">
        <v>5.5717591955810386</v>
      </c>
      <c r="O11" s="34"/>
      <c r="P11" s="35">
        <v>0.15976873749592446</v>
      </c>
      <c r="Q11" s="35">
        <v>3.8583277609164801</v>
      </c>
      <c r="R11" s="34"/>
      <c r="S11" s="35">
        <v>7.9129177579654071</v>
      </c>
      <c r="T11" s="35">
        <v>7.1251725106579125</v>
      </c>
    </row>
    <row r="12" spans="1:21" x14ac:dyDescent="0.2">
      <c r="A12" s="30" t="s">
        <v>45</v>
      </c>
      <c r="B12" s="30" t="s">
        <v>43</v>
      </c>
      <c r="C12" s="61" t="s">
        <v>72</v>
      </c>
      <c r="D12" s="70" t="s">
        <v>107</v>
      </c>
      <c r="E12" s="32" t="s">
        <v>47</v>
      </c>
      <c r="F12" s="31">
        <v>0.76072300000000004</v>
      </c>
      <c r="G12" s="33">
        <v>162</v>
      </c>
      <c r="H12" s="34"/>
      <c r="I12" s="35">
        <v>2.638522427440626</v>
      </c>
      <c r="J12" s="35">
        <v>7.2989603225122046</v>
      </c>
      <c r="K12" s="35">
        <v>-1.6295472596377314</v>
      </c>
      <c r="L12" s="35" t="s">
        <v>46</v>
      </c>
      <c r="M12" s="35" t="s">
        <v>46</v>
      </c>
      <c r="N12" s="35" t="s">
        <v>46</v>
      </c>
      <c r="O12" s="34"/>
      <c r="P12" s="35">
        <v>-1.6423747476436934</v>
      </c>
      <c r="Q12" s="35" t="s">
        <v>46</v>
      </c>
      <c r="R12" s="34"/>
      <c r="S12" s="35" t="s">
        <v>46</v>
      </c>
      <c r="T12" s="35" t="s">
        <v>46</v>
      </c>
    </row>
    <row r="13" spans="1:21" x14ac:dyDescent="0.2">
      <c r="A13" s="30" t="s">
        <v>45</v>
      </c>
      <c r="B13" s="30" t="s">
        <v>44</v>
      </c>
      <c r="C13" s="30" t="s">
        <v>78</v>
      </c>
      <c r="D13" s="70" t="s">
        <v>107</v>
      </c>
      <c r="E13" s="32" t="s">
        <v>48</v>
      </c>
      <c r="F13" s="31">
        <v>2.6039159999999999</v>
      </c>
      <c r="G13" s="33">
        <v>891</v>
      </c>
      <c r="H13" s="34"/>
      <c r="I13" s="35">
        <v>5.5304536417856376</v>
      </c>
      <c r="J13" s="35">
        <v>10.221802737140152</v>
      </c>
      <c r="K13" s="35">
        <v>1.2944335430234766</v>
      </c>
      <c r="L13" s="35" t="s">
        <v>46</v>
      </c>
      <c r="M13" s="35" t="s">
        <v>46</v>
      </c>
      <c r="N13" s="35" t="s">
        <v>46</v>
      </c>
      <c r="O13" s="34"/>
      <c r="P13" s="35">
        <v>1.7800843468528171</v>
      </c>
      <c r="Q13" s="35" t="s">
        <v>46</v>
      </c>
      <c r="R13" s="34"/>
      <c r="S13" s="35" t="s">
        <v>46</v>
      </c>
      <c r="T13" s="35" t="s">
        <v>46</v>
      </c>
    </row>
    <row r="14" spans="1:21" x14ac:dyDescent="0.2">
      <c r="A14" s="30" t="s">
        <v>45</v>
      </c>
      <c r="B14" s="30" t="s">
        <v>76</v>
      </c>
      <c r="C14" s="30" t="s">
        <v>90</v>
      </c>
      <c r="D14" s="70" t="s">
        <v>100</v>
      </c>
      <c r="E14" s="32" t="s">
        <v>47</v>
      </c>
      <c r="F14" s="31">
        <v>1.11494</v>
      </c>
      <c r="G14" s="33">
        <v>1637</v>
      </c>
      <c r="H14" s="34"/>
      <c r="I14" s="35">
        <v>2.6520303089178077</v>
      </c>
      <c r="J14" s="35">
        <v>6.9101578308377265</v>
      </c>
      <c r="K14" s="35" t="s">
        <v>46</v>
      </c>
      <c r="L14" s="35" t="s">
        <v>46</v>
      </c>
      <c r="M14" s="35" t="s">
        <v>46</v>
      </c>
      <c r="N14" s="35" t="s">
        <v>46</v>
      </c>
      <c r="O14" s="34"/>
      <c r="P14" s="35" t="s">
        <v>46</v>
      </c>
      <c r="Q14" s="66" t="s">
        <v>46</v>
      </c>
      <c r="R14" s="34"/>
      <c r="S14" s="35" t="s">
        <v>46</v>
      </c>
      <c r="T14" s="35" t="s">
        <v>46</v>
      </c>
    </row>
    <row r="15" spans="1:21" x14ac:dyDescent="0.2">
      <c r="A15" s="30" t="s">
        <v>45</v>
      </c>
      <c r="B15" s="30" t="s">
        <v>75</v>
      </c>
      <c r="C15" s="30" t="s">
        <v>91</v>
      </c>
      <c r="D15" s="70" t="s">
        <v>100</v>
      </c>
      <c r="E15" s="32" t="s">
        <v>48</v>
      </c>
      <c r="F15" s="31">
        <v>4.8964590000000001</v>
      </c>
      <c r="G15" s="33">
        <v>10690</v>
      </c>
      <c r="H15" s="34"/>
      <c r="I15" s="35">
        <v>5.7472369053339856</v>
      </c>
      <c r="J15" s="35">
        <v>10.438622904747575</v>
      </c>
      <c r="K15" s="35" t="s">
        <v>46</v>
      </c>
      <c r="L15" s="35" t="s">
        <v>46</v>
      </c>
      <c r="M15" s="35" t="s">
        <v>46</v>
      </c>
      <c r="N15" s="35" t="s">
        <v>46</v>
      </c>
      <c r="O15" s="34"/>
      <c r="P15" s="35" t="s">
        <v>46</v>
      </c>
      <c r="Q15" s="66" t="s">
        <v>46</v>
      </c>
      <c r="R15" s="34"/>
      <c r="S15" s="35" t="s">
        <v>46</v>
      </c>
      <c r="T15" s="35" t="s">
        <v>46</v>
      </c>
    </row>
    <row r="16" spans="1:21" x14ac:dyDescent="0.2">
      <c r="A16" s="30" t="s">
        <v>29</v>
      </c>
      <c r="B16" s="30" t="s">
        <v>49</v>
      </c>
      <c r="C16" s="30" t="s">
        <v>50</v>
      </c>
      <c r="D16" s="70" t="s">
        <v>98</v>
      </c>
      <c r="E16" s="32" t="s">
        <v>64</v>
      </c>
      <c r="F16" s="31">
        <v>3.567876</v>
      </c>
      <c r="G16" s="33">
        <v>1922</v>
      </c>
      <c r="H16" s="34"/>
      <c r="I16" s="35">
        <v>7.2040750323415503</v>
      </c>
      <c r="J16" s="35">
        <v>12.641236938238043</v>
      </c>
      <c r="K16" s="35">
        <v>2.3955943076989561</v>
      </c>
      <c r="L16" s="35" t="s">
        <v>46</v>
      </c>
      <c r="M16" s="35" t="s">
        <v>46</v>
      </c>
      <c r="N16" s="35" t="s">
        <v>46</v>
      </c>
      <c r="O16" s="34"/>
      <c r="P16" s="35">
        <v>3.8784319957461566</v>
      </c>
      <c r="Q16" s="35" t="s">
        <v>46</v>
      </c>
      <c r="R16" s="34"/>
      <c r="S16" s="35" t="s">
        <v>46</v>
      </c>
      <c r="T16" s="35" t="s">
        <v>46</v>
      </c>
    </row>
    <row r="17" spans="1:21" x14ac:dyDescent="0.2">
      <c r="A17" s="30" t="s">
        <v>87</v>
      </c>
      <c r="B17" s="30" t="s">
        <v>89</v>
      </c>
      <c r="C17" s="30" t="s">
        <v>86</v>
      </c>
      <c r="D17" s="70" t="s">
        <v>99</v>
      </c>
      <c r="E17" s="32" t="s">
        <v>48</v>
      </c>
      <c r="F17" s="31">
        <v>0.35184399999999999</v>
      </c>
      <c r="G17" s="33">
        <v>146</v>
      </c>
      <c r="H17" s="34"/>
      <c r="I17" s="35">
        <v>8.6334344200151847</v>
      </c>
      <c r="J17" s="35">
        <v>13.912352181258081</v>
      </c>
      <c r="K17" s="35" t="s">
        <v>46</v>
      </c>
      <c r="L17" s="35" t="s">
        <v>46</v>
      </c>
      <c r="M17" s="35" t="s">
        <v>46</v>
      </c>
      <c r="N17" s="35" t="s">
        <v>46</v>
      </c>
      <c r="O17" s="34"/>
      <c r="P17" s="35" t="s">
        <v>46</v>
      </c>
      <c r="Q17" s="66" t="s">
        <v>46</v>
      </c>
      <c r="R17" s="34"/>
      <c r="S17" s="35" t="s">
        <v>46</v>
      </c>
      <c r="T17" s="35" t="s">
        <v>46</v>
      </c>
    </row>
    <row r="18" spans="1:21" x14ac:dyDescent="0.2">
      <c r="A18" s="6"/>
      <c r="B18" s="6"/>
      <c r="C18" s="6"/>
      <c r="D18" s="58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10</v>
      </c>
      <c r="B19" s="26"/>
      <c r="C19" s="26"/>
      <c r="D19" s="60"/>
      <c r="E19" s="41"/>
      <c r="F19" s="42"/>
      <c r="G19" s="51" t="s">
        <v>61</v>
      </c>
      <c r="H19" s="43"/>
      <c r="I19" s="29">
        <v>12.157876144419292</v>
      </c>
      <c r="J19" s="29">
        <v>17.512313749814634</v>
      </c>
      <c r="K19" s="29">
        <v>6.4325059266071891</v>
      </c>
      <c r="L19" s="29">
        <v>9.4440717421046525</v>
      </c>
      <c r="M19" s="29">
        <v>8.4228005594259709</v>
      </c>
      <c r="N19" s="29">
        <v>8.294063896804623</v>
      </c>
      <c r="O19" s="43"/>
      <c r="P19" s="29">
        <v>8.2222845894962688</v>
      </c>
      <c r="Q19" s="29">
        <v>11.487980977222271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22</v>
      </c>
      <c r="C20" s="30" t="s">
        <v>96</v>
      </c>
      <c r="D20" s="70" t="s">
        <v>106</v>
      </c>
      <c r="E20" s="32" t="s">
        <v>34</v>
      </c>
      <c r="F20" s="31">
        <v>18.155660999999998</v>
      </c>
      <c r="G20" s="33">
        <v>5172</v>
      </c>
      <c r="H20" s="34"/>
      <c r="I20" s="35">
        <v>14.081062194269744</v>
      </c>
      <c r="J20" s="35">
        <v>20.169304379830709</v>
      </c>
      <c r="K20" s="35">
        <v>4.5195893891855743</v>
      </c>
      <c r="L20" s="35">
        <v>9.2381029284768665</v>
      </c>
      <c r="M20" s="35">
        <v>7.9880579808886187</v>
      </c>
      <c r="N20" s="35">
        <v>8.2986572663145566</v>
      </c>
      <c r="O20" s="34"/>
      <c r="P20" s="35">
        <v>7.5869165332955735</v>
      </c>
      <c r="Q20" s="35">
        <v>11.037246205729613</v>
      </c>
      <c r="R20" s="34"/>
      <c r="S20" s="35">
        <v>13.461265821017932</v>
      </c>
      <c r="T20" s="35">
        <v>12.42238713249106</v>
      </c>
    </row>
    <row r="21" spans="1:21" x14ac:dyDescent="0.2">
      <c r="A21" s="30" t="s">
        <v>97</v>
      </c>
      <c r="B21" s="30" t="s">
        <v>15</v>
      </c>
      <c r="C21" s="30" t="s">
        <v>7</v>
      </c>
      <c r="D21" s="70" t="s">
        <v>103</v>
      </c>
      <c r="E21" s="32" t="s">
        <v>34</v>
      </c>
      <c r="F21" s="31">
        <v>14.840070000000001</v>
      </c>
      <c r="G21" s="33">
        <v>4995</v>
      </c>
      <c r="H21" s="34"/>
      <c r="I21" s="35">
        <v>11.397805770012193</v>
      </c>
      <c r="J21" s="35">
        <v>16.461342395921829</v>
      </c>
      <c r="K21" s="35">
        <v>8.4720857543668195</v>
      </c>
      <c r="L21" s="35">
        <v>9.4056342412853766</v>
      </c>
      <c r="M21" s="35">
        <v>8.5091804069613364</v>
      </c>
      <c r="N21" s="35">
        <v>8.2135769366630029</v>
      </c>
      <c r="O21" s="34"/>
      <c r="P21" s="35">
        <v>9.4692533291611536</v>
      </c>
      <c r="Q21" s="35">
        <v>11.832308404256153</v>
      </c>
      <c r="R21" s="34"/>
      <c r="S21" s="35">
        <v>11.974457581813681</v>
      </c>
      <c r="T21" s="35">
        <v>10.548132674912496</v>
      </c>
    </row>
    <row r="22" spans="1:21" x14ac:dyDescent="0.2">
      <c r="A22" s="30" t="s">
        <v>97</v>
      </c>
      <c r="B22" s="30" t="s">
        <v>16</v>
      </c>
      <c r="C22" s="30" t="s">
        <v>8</v>
      </c>
      <c r="D22" s="70" t="s">
        <v>106</v>
      </c>
      <c r="E22" s="32" t="s">
        <v>34</v>
      </c>
      <c r="F22" s="31">
        <v>87.649004000000005</v>
      </c>
      <c r="G22" s="33">
        <v>20030</v>
      </c>
      <c r="H22" s="34"/>
      <c r="I22" s="35">
        <v>11.57942961860039</v>
      </c>
      <c r="J22" s="35">
        <v>16.239112277771149</v>
      </c>
      <c r="K22" s="35">
        <v>6.402923504733038</v>
      </c>
      <c r="L22" s="35">
        <v>9.473081562302843</v>
      </c>
      <c r="M22" s="35">
        <v>9.0934801438093302</v>
      </c>
      <c r="N22" s="35">
        <v>8.3663058330520013</v>
      </c>
      <c r="O22" s="34"/>
      <c r="P22" s="35">
        <v>7.6021051702839459</v>
      </c>
      <c r="Q22" s="35">
        <v>11.006551199204928</v>
      </c>
      <c r="R22" s="34"/>
      <c r="S22" s="35">
        <v>12.047056123762806</v>
      </c>
      <c r="T22" s="35">
        <v>11.487080200987062</v>
      </c>
    </row>
    <row r="23" spans="1:21" x14ac:dyDescent="0.2">
      <c r="A23" s="30" t="s">
        <v>29</v>
      </c>
      <c r="B23" s="30" t="s">
        <v>14</v>
      </c>
      <c r="C23" s="30" t="s">
        <v>51</v>
      </c>
      <c r="D23" s="70" t="s">
        <v>104</v>
      </c>
      <c r="E23" s="32" t="s">
        <v>34</v>
      </c>
      <c r="F23" s="31">
        <v>62.675415000000001</v>
      </c>
      <c r="G23" s="33">
        <v>14374</v>
      </c>
      <c r="H23" s="34"/>
      <c r="I23" s="35">
        <v>12.582287914544764</v>
      </c>
      <c r="J23" s="35">
        <v>18.514644351464437</v>
      </c>
      <c r="K23" s="35">
        <v>6.1737883010170691</v>
      </c>
      <c r="L23" s="35">
        <v>9.4722683374202319</v>
      </c>
      <c r="M23" s="35">
        <v>7.5903650393714273</v>
      </c>
      <c r="N23" s="35">
        <v>8.2107633347549669</v>
      </c>
      <c r="O23" s="34"/>
      <c r="P23" s="35">
        <v>9.1136062582106057</v>
      </c>
      <c r="Q23" s="35">
        <v>12.210279906255161</v>
      </c>
      <c r="R23" s="34"/>
      <c r="S23" s="35">
        <v>12.74641066964409</v>
      </c>
      <c r="T23" s="35">
        <v>11.485070823073084</v>
      </c>
    </row>
    <row r="24" spans="1:21" x14ac:dyDescent="0.2">
      <c r="A24" s="30" t="s">
        <v>29</v>
      </c>
      <c r="B24" s="30" t="s">
        <v>71</v>
      </c>
      <c r="C24" s="30" t="s">
        <v>77</v>
      </c>
      <c r="D24" s="70" t="s">
        <v>108</v>
      </c>
      <c r="E24" s="32" t="s">
        <v>34</v>
      </c>
      <c r="F24" s="31">
        <v>5.9683489999999999</v>
      </c>
      <c r="G24" s="33">
        <v>3117</v>
      </c>
      <c r="H24" s="34"/>
      <c r="I24" s="66">
        <v>15.362846169395606</v>
      </c>
      <c r="J24" s="66">
        <v>22.889750215331617</v>
      </c>
      <c r="K24" s="66" t="s">
        <v>46</v>
      </c>
      <c r="L24" s="66" t="s">
        <v>46</v>
      </c>
      <c r="M24" s="66" t="s">
        <v>46</v>
      </c>
      <c r="N24" s="66" t="s">
        <v>46</v>
      </c>
      <c r="O24" s="34"/>
      <c r="P24" s="35" t="s">
        <v>46</v>
      </c>
      <c r="Q24" s="35" t="s">
        <v>46</v>
      </c>
      <c r="R24" s="34"/>
      <c r="S24" s="35" t="s">
        <v>46</v>
      </c>
      <c r="T24" s="66" t="s">
        <v>46</v>
      </c>
    </row>
    <row r="25" spans="1:21" x14ac:dyDescent="0.2">
      <c r="A25" s="30" t="s">
        <v>45</v>
      </c>
      <c r="B25" s="30" t="s">
        <v>42</v>
      </c>
      <c r="C25" s="30" t="s">
        <v>73</v>
      </c>
      <c r="D25" s="70" t="s">
        <v>107</v>
      </c>
      <c r="E25" s="32" t="s">
        <v>34</v>
      </c>
      <c r="F25" s="31">
        <v>8.4556520000000006</v>
      </c>
      <c r="G25" s="33">
        <v>2233</v>
      </c>
      <c r="H25" s="34"/>
      <c r="I25" s="35">
        <v>10.437142438022606</v>
      </c>
      <c r="J25" s="35">
        <v>15.778546712802765</v>
      </c>
      <c r="K25" s="35">
        <v>6.9854863517823551</v>
      </c>
      <c r="L25" s="35" t="s">
        <v>46</v>
      </c>
      <c r="M25" s="35" t="s">
        <v>46</v>
      </c>
      <c r="N25" s="35" t="s">
        <v>46</v>
      </c>
      <c r="O25" s="34"/>
      <c r="P25" s="35">
        <v>7.2199463386156681</v>
      </c>
      <c r="Q25" s="35" t="s">
        <v>46</v>
      </c>
      <c r="R25" s="34"/>
      <c r="S25" s="66" t="s">
        <v>46</v>
      </c>
      <c r="T25" s="66" t="s">
        <v>46</v>
      </c>
    </row>
    <row r="26" spans="1:21" x14ac:dyDescent="0.2">
      <c r="A26" s="30" t="s">
        <v>45</v>
      </c>
      <c r="B26" s="30" t="s">
        <v>74</v>
      </c>
      <c r="C26" s="30" t="s">
        <v>92</v>
      </c>
      <c r="D26" s="70" t="s">
        <v>100</v>
      </c>
      <c r="E26" s="32" t="s">
        <v>34</v>
      </c>
      <c r="F26" s="31">
        <v>10.916763</v>
      </c>
      <c r="G26" s="33">
        <v>23909</v>
      </c>
      <c r="H26" s="34"/>
      <c r="I26" s="35">
        <v>11.63966663545275</v>
      </c>
      <c r="J26" s="35">
        <v>16.836534692277528</v>
      </c>
      <c r="K26" s="35" t="s">
        <v>46</v>
      </c>
      <c r="L26" s="35" t="s">
        <v>46</v>
      </c>
      <c r="M26" s="35" t="s">
        <v>46</v>
      </c>
      <c r="N26" s="35" t="s">
        <v>46</v>
      </c>
      <c r="O26" s="34"/>
      <c r="P26" s="35" t="s">
        <v>46</v>
      </c>
      <c r="Q26" s="66" t="s">
        <v>46</v>
      </c>
      <c r="R26" s="34"/>
      <c r="S26" s="66" t="s">
        <v>46</v>
      </c>
      <c r="T26" s="66" t="s">
        <v>46</v>
      </c>
    </row>
    <row r="27" spans="1:21" x14ac:dyDescent="0.2">
      <c r="A27" s="30" t="s">
        <v>3</v>
      </c>
      <c r="B27" s="30" t="s">
        <v>69</v>
      </c>
      <c r="C27" s="30" t="s">
        <v>70</v>
      </c>
      <c r="D27" s="70" t="s">
        <v>109</v>
      </c>
      <c r="E27" s="32" t="s">
        <v>34</v>
      </c>
      <c r="F27" s="31">
        <v>3.6104319999999999</v>
      </c>
      <c r="G27" s="33">
        <v>1034</v>
      </c>
      <c r="H27" s="34"/>
      <c r="I27" s="35">
        <v>9.5354302241503994</v>
      </c>
      <c r="J27" s="35">
        <v>14.557141506758665</v>
      </c>
      <c r="K27" s="35">
        <v>5.1503673485441714</v>
      </c>
      <c r="L27" s="35" t="s">
        <v>46</v>
      </c>
      <c r="M27" s="35" t="s">
        <v>46</v>
      </c>
      <c r="N27" s="35" t="s">
        <v>46</v>
      </c>
      <c r="O27" s="34"/>
      <c r="P27" s="35" t="s">
        <v>46</v>
      </c>
      <c r="Q27" s="66" t="s">
        <v>46</v>
      </c>
      <c r="R27" s="34"/>
      <c r="S27" s="66" t="s">
        <v>46</v>
      </c>
      <c r="T27" s="66" t="s">
        <v>46</v>
      </c>
    </row>
    <row r="28" spans="1:21" x14ac:dyDescent="0.2">
      <c r="A28" s="30" t="s">
        <v>87</v>
      </c>
      <c r="B28" s="30" t="s">
        <v>88</v>
      </c>
      <c r="C28" s="30" t="s">
        <v>85</v>
      </c>
      <c r="D28" s="70" t="s">
        <v>99</v>
      </c>
      <c r="E28" s="32" t="s">
        <v>34</v>
      </c>
      <c r="F28" s="31">
        <v>4.4427450000000004</v>
      </c>
      <c r="G28" s="33">
        <v>1261</v>
      </c>
      <c r="H28" s="34"/>
      <c r="I28" s="35">
        <v>14.636015325670492</v>
      </c>
      <c r="J28" s="35">
        <v>21.280907985407381</v>
      </c>
      <c r="K28" s="35" t="s">
        <v>46</v>
      </c>
      <c r="L28" s="35" t="s">
        <v>46</v>
      </c>
      <c r="M28" s="35" t="s">
        <v>46</v>
      </c>
      <c r="N28" s="35" t="s">
        <v>46</v>
      </c>
      <c r="O28" s="34"/>
      <c r="P28" s="35" t="s">
        <v>46</v>
      </c>
      <c r="Q28" s="66" t="s">
        <v>46</v>
      </c>
      <c r="R28" s="34"/>
      <c r="S28" s="66" t="s">
        <v>46</v>
      </c>
      <c r="T28" s="66" t="s">
        <v>46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68</v>
      </c>
      <c r="H31" s="47"/>
      <c r="I31" s="49">
        <v>9.6061315751221841</v>
      </c>
      <c r="J31" s="49">
        <v>14.950548368731173</v>
      </c>
      <c r="K31" s="49">
        <v>4.1643144142885706</v>
      </c>
      <c r="L31" s="49">
        <v>8.5350299883262224</v>
      </c>
      <c r="M31" s="49">
        <v>6.3207902816596091</v>
      </c>
      <c r="N31" s="49">
        <v>7.0232243378030503</v>
      </c>
      <c r="O31" s="49"/>
      <c r="P31" s="49">
        <v>5.2776648999484541</v>
      </c>
      <c r="Q31" s="49">
        <v>8.1074347795101573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17" t="s">
        <v>101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63</v>
      </c>
      <c r="P39" s="1"/>
      <c r="Q39" s="1"/>
      <c r="S39" s="1"/>
      <c r="T39" s="1"/>
      <c r="U39" s="1"/>
    </row>
    <row r="40" spans="1:21" x14ac:dyDescent="0.2">
      <c r="A40" s="69"/>
      <c r="P40" s="1"/>
      <c r="Q40" s="1"/>
      <c r="S40" s="1"/>
      <c r="T40" s="1"/>
      <c r="U40" s="1"/>
    </row>
  </sheetData>
  <mergeCells count="3">
    <mergeCell ref="P1:Q1"/>
    <mergeCell ref="I1:N1"/>
    <mergeCell ref="S1:T1"/>
  </mergeCells>
  <phoneticPr fontId="14" type="noConversion"/>
  <conditionalFormatting sqref="I4:N6">
    <cfRule type="cellIs" dxfId="21" priority="37" operator="greaterThanOrEqual">
      <formula>0</formula>
    </cfRule>
    <cfRule type="cellIs" dxfId="20" priority="38" operator="lessThan">
      <formula>0</formula>
    </cfRule>
  </conditionalFormatting>
  <conditionalFormatting sqref="I9:N17">
    <cfRule type="cellIs" dxfId="19" priority="231" operator="lessThan">
      <formula>0</formula>
    </cfRule>
    <cfRule type="cellIs" dxfId="18" priority="230" operator="greaterThanOrEqual">
      <formula>0</formula>
    </cfRule>
  </conditionalFormatting>
  <conditionalFormatting sqref="I20:N28">
    <cfRule type="cellIs" dxfId="17" priority="35" operator="greaterThanOrEqual">
      <formula>0</formula>
    </cfRule>
    <cfRule type="cellIs" dxfId="16" priority="36" operator="lessThan">
      <formula>0</formula>
    </cfRule>
  </conditionalFormatting>
  <conditionalFormatting sqref="I32:T1048576">
    <cfRule type="duplicateValues" dxfId="15" priority="285"/>
  </conditionalFormatting>
  <conditionalFormatting sqref="P4:Q6">
    <cfRule type="cellIs" dxfId="14" priority="226" operator="greaterThanOrEqual">
      <formula>0</formula>
    </cfRule>
    <cfRule type="cellIs" dxfId="13" priority="227" operator="lessThan">
      <formula>0</formula>
    </cfRule>
  </conditionalFormatting>
  <conditionalFormatting sqref="P9:Q17">
    <cfRule type="cellIs" dxfId="12" priority="3" operator="greaterThanOrEqual">
      <formula>0</formula>
    </cfRule>
    <cfRule type="cellIs" dxfId="11" priority="4" operator="lessThan">
      <formula>0</formula>
    </cfRule>
  </conditionalFormatting>
  <conditionalFormatting sqref="P20:Q28">
    <cfRule type="cellIs" dxfId="10" priority="2" operator="lessThan">
      <formula>0</formula>
    </cfRule>
    <cfRule type="cellIs" dxfId="9" priority="1" operator="greaterThanOrEqual">
      <formula>0</formula>
    </cfRule>
  </conditionalFormatting>
  <conditionalFormatting sqref="S4:T6">
    <cfRule type="cellIs" dxfId="8" priority="220" operator="greaterThanOrEqual">
      <formula>0</formula>
    </cfRule>
    <cfRule type="cellIs" dxfId="7" priority="221" operator="lessThan">
      <formula>0</formula>
    </cfRule>
  </conditionalFormatting>
  <conditionalFormatting sqref="S9:T17">
    <cfRule type="cellIs" dxfId="6" priority="232" operator="greaterThanOrEqual">
      <formula>0</formula>
    </cfRule>
    <cfRule type="cellIs" dxfId="5" priority="233" operator="lessThan">
      <formula>0</formula>
    </cfRule>
  </conditionalFormatting>
  <conditionalFormatting sqref="S20:T28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T44"/>
  <sheetViews>
    <sheetView showGridLines="0" zoomScale="70" zoomScaleNormal="70" workbookViewId="0">
      <selection activeCell="B2" sqref="B2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f>+B28+B29+B30+B31</f>
        <v>86.790127999999996</v>
      </c>
      <c r="C2" s="54">
        <f>+C28+C29+C30+C31</f>
        <v>33645</v>
      </c>
      <c r="G2" s="6"/>
      <c r="H2" s="6"/>
      <c r="I2" s="6"/>
    </row>
    <row r="3" spans="1:20" s="10" customFormat="1" x14ac:dyDescent="0.25">
      <c r="A3" s="30" t="s">
        <v>97</v>
      </c>
      <c r="B3" s="53">
        <f>+B23+B24+B25+B27+B26</f>
        <v>144.87531900000002</v>
      </c>
      <c r="C3" s="54">
        <f>+C23+C24+C25+C27+C26</f>
        <v>35322</v>
      </c>
      <c r="G3" s="6"/>
      <c r="H3" s="6"/>
      <c r="I3" s="6"/>
    </row>
    <row r="4" spans="1:20" s="10" customFormat="1" x14ac:dyDescent="0.25">
      <c r="A4" s="30" t="s">
        <v>29</v>
      </c>
      <c r="B4" s="53">
        <f>+B33+B34+B32+B35</f>
        <v>81.748103</v>
      </c>
      <c r="C4" s="54">
        <f>+C33+C34+C32+C35</f>
        <v>21679</v>
      </c>
      <c r="E4" s="6"/>
      <c r="F4" s="6"/>
      <c r="G4" s="6"/>
      <c r="H4" s="6"/>
      <c r="I4" s="6"/>
      <c r="O4" s="6"/>
      <c r="P4" s="65"/>
    </row>
    <row r="5" spans="1:20" s="10" customFormat="1" x14ac:dyDescent="0.25">
      <c r="A5" s="30" t="s">
        <v>45</v>
      </c>
      <c r="B5" s="53">
        <f>+B36+B37+B38+B39+B40+B41</f>
        <v>28.748453000000001</v>
      </c>
      <c r="C5" s="54">
        <f>+C36+C37+C38++C39+C40+C41</f>
        <v>39522</v>
      </c>
      <c r="E5" s="6"/>
      <c r="F5" s="6"/>
      <c r="G5" s="6"/>
      <c r="H5" s="6"/>
      <c r="I5" s="6"/>
      <c r="O5" s="63"/>
      <c r="P5" s="65"/>
    </row>
    <row r="6" spans="1:20" s="10" customFormat="1" x14ac:dyDescent="0.25">
      <c r="A6" s="30" t="s">
        <v>87</v>
      </c>
      <c r="B6" s="53">
        <f>B42+B43</f>
        <v>4.7945890000000002</v>
      </c>
      <c r="C6" s="54">
        <f>C42+C43</f>
        <v>1407</v>
      </c>
      <c r="E6" s="6"/>
      <c r="F6" s="6"/>
      <c r="G6" s="6"/>
      <c r="H6" s="6"/>
      <c r="I6" s="6"/>
      <c r="O6" s="63"/>
      <c r="P6" s="65"/>
    </row>
    <row r="7" spans="1:20" s="11" customFormat="1" ht="14.25" x14ac:dyDescent="0.2">
      <c r="A7" s="57" t="s">
        <v>28</v>
      </c>
      <c r="B7" s="55">
        <f>+SUM(B2:B6)</f>
        <v>346.956592</v>
      </c>
      <c r="C7" s="56">
        <f>+SUM(C2:C6)</f>
        <v>131575</v>
      </c>
      <c r="E7" s="12"/>
      <c r="G7" s="13"/>
      <c r="I7" s="14"/>
      <c r="J7" s="14"/>
      <c r="K7" s="14"/>
      <c r="L7" s="14"/>
      <c r="N7" s="14"/>
      <c r="O7" s="64"/>
      <c r="P7" s="64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39</v>
      </c>
      <c r="C22" s="23" t="s">
        <v>40</v>
      </c>
    </row>
    <row r="23" spans="1:3" x14ac:dyDescent="0.25">
      <c r="A23" s="30" t="str">
        <f>+'2024-06-30'!C5</f>
        <v>INVL STABILO III 58+ / INVL Stabilus</v>
      </c>
      <c r="B23" s="53">
        <f>+'2024-06-30'!F5</f>
        <v>12.670982</v>
      </c>
      <c r="C23" s="54">
        <f>+'2024-06-30'!G5</f>
        <v>3104</v>
      </c>
    </row>
    <row r="24" spans="1:3" x14ac:dyDescent="0.25">
      <c r="A24" s="30" t="str">
        <f>+'2024-06-30'!C10</f>
        <v>INVL Apdairus</v>
      </c>
      <c r="B24" s="53">
        <f>+'2024-06-30'!F10</f>
        <v>4.1585159999999997</v>
      </c>
      <c r="C24" s="54">
        <f>+'2024-06-30'!G10</f>
        <v>1769</v>
      </c>
    </row>
    <row r="25" spans="1:3" x14ac:dyDescent="0.25">
      <c r="A25" s="30" t="str">
        <f>+'2024-06-30'!C11</f>
        <v>INVL Medio III 47+</v>
      </c>
      <c r="B25" s="53">
        <f>+'2024-06-30'!F11</f>
        <v>25.556747000000001</v>
      </c>
      <c r="C25" s="54">
        <f>+'2024-06-30'!G11</f>
        <v>5424</v>
      </c>
    </row>
    <row r="26" spans="1:3" x14ac:dyDescent="0.25">
      <c r="A26" s="30" t="str">
        <f>+'2024-06-30'!C21</f>
        <v>INVL Drąsus</v>
      </c>
      <c r="B26" s="53">
        <f>+'2024-06-30'!F21</f>
        <v>14.840070000000001</v>
      </c>
      <c r="C26" s="54">
        <f>+'2024-06-30'!G21</f>
        <v>4995</v>
      </c>
    </row>
    <row r="27" spans="1:3" x14ac:dyDescent="0.25">
      <c r="A27" s="30" t="str">
        <f>+'2024-06-30'!C22</f>
        <v>INVL Extremo III 16+</v>
      </c>
      <c r="B27" s="53">
        <f>+'2024-06-30'!F22</f>
        <v>87.649004000000005</v>
      </c>
      <c r="C27" s="54">
        <f>+'2024-06-30'!G22</f>
        <v>20030</v>
      </c>
    </row>
    <row r="28" spans="1:3" x14ac:dyDescent="0.25">
      <c r="A28" s="30" t="str">
        <f>+'2024-06-30'!C4</f>
        <v>Luminor ateitis 58 +</v>
      </c>
      <c r="B28" s="53">
        <f>+'2024-06-30'!F4</f>
        <v>9.8850890000000007</v>
      </c>
      <c r="C28" s="54">
        <f>+'2024-06-30'!G4</f>
        <v>3705</v>
      </c>
    </row>
    <row r="29" spans="1:3" x14ac:dyDescent="0.25">
      <c r="A29" s="30" t="str">
        <f>+'2024-06-30'!C9</f>
        <v>Luminor ateitis 50 – 58</v>
      </c>
      <c r="B29" s="53">
        <f>+'2024-06-30'!F9</f>
        <v>55.138945999999997</v>
      </c>
      <c r="C29" s="54">
        <f>+'2024-06-30'!G9</f>
        <v>23734</v>
      </c>
    </row>
    <row r="30" spans="1:3" x14ac:dyDescent="0.25">
      <c r="A30" s="30" t="str">
        <f>+'2024-06-30'!C20</f>
        <v>Luminor ateitis 16 – 50</v>
      </c>
      <c r="B30" s="53">
        <f>+'2024-06-30'!F20</f>
        <v>18.155660999999998</v>
      </c>
      <c r="C30" s="54">
        <f>+'2024-06-30'!G20</f>
        <v>5172</v>
      </c>
    </row>
    <row r="31" spans="1:3" x14ac:dyDescent="0.25">
      <c r="A31" s="30" t="s">
        <v>70</v>
      </c>
      <c r="B31" s="53">
        <f>'2024-06-30'!F27</f>
        <v>3.6104319999999999</v>
      </c>
      <c r="C31" s="54">
        <f>'2024-06-30'!G27</f>
        <v>1034</v>
      </c>
    </row>
    <row r="32" spans="1:3" x14ac:dyDescent="0.25">
      <c r="A32" s="30" t="str">
        <f>+'2024-06-30'!C16</f>
        <v>SEB pensija 50+</v>
      </c>
      <c r="B32" s="53">
        <f>+'2024-06-30'!F16</f>
        <v>3.567876</v>
      </c>
      <c r="C32" s="54">
        <f>+'2024-06-30'!G16</f>
        <v>1922</v>
      </c>
    </row>
    <row r="33" spans="1:3" x14ac:dyDescent="0.25">
      <c r="A33" s="30" t="str">
        <f>+'2024-06-30'!C6</f>
        <v>SEB pensija 58+</v>
      </c>
      <c r="B33" s="53">
        <f>+'2024-06-30'!F6</f>
        <v>9.5364629999999995</v>
      </c>
      <c r="C33" s="54">
        <f>+'2024-06-30'!G6</f>
        <v>2266</v>
      </c>
    </row>
    <row r="34" spans="1:3" x14ac:dyDescent="0.25">
      <c r="A34" s="30" t="str">
        <f>+'2024-06-30'!C23</f>
        <v>SEB pensija 18+</v>
      </c>
      <c r="B34" s="53">
        <f>+'2024-06-30'!F23</f>
        <v>62.675415000000001</v>
      </c>
      <c r="C34" s="54">
        <f>+'2024-06-30'!G23</f>
        <v>14374</v>
      </c>
    </row>
    <row r="35" spans="1:3" x14ac:dyDescent="0.25">
      <c r="A35" s="30" t="s">
        <v>77</v>
      </c>
      <c r="B35" s="53">
        <f>+'2024-06-30'!F24</f>
        <v>5.9683489999999999</v>
      </c>
      <c r="C35" s="54">
        <f>+'2024-06-30'!G24</f>
        <v>3117</v>
      </c>
    </row>
    <row r="36" spans="1:3" x14ac:dyDescent="0.25">
      <c r="A36" s="61" t="s">
        <v>79</v>
      </c>
      <c r="B36" s="53">
        <f>+'2024-06-30'!F12</f>
        <v>0.76072300000000004</v>
      </c>
      <c r="C36" s="54">
        <f>+'2024-06-30'!G12</f>
        <v>162</v>
      </c>
    </row>
    <row r="37" spans="1:3" x14ac:dyDescent="0.25">
      <c r="A37" s="61" t="s">
        <v>80</v>
      </c>
      <c r="B37" s="53">
        <f>+'2024-06-30'!F13</f>
        <v>2.6039159999999999</v>
      </c>
      <c r="C37" s="54">
        <f>+'2024-06-30'!G13</f>
        <v>891</v>
      </c>
    </row>
    <row r="38" spans="1:3" x14ac:dyDescent="0.25">
      <c r="A38" s="61" t="s">
        <v>81</v>
      </c>
      <c r="B38" s="53">
        <f>+'2024-06-30'!F14</f>
        <v>1.11494</v>
      </c>
      <c r="C38" s="54">
        <f>+'2024-06-30'!G14</f>
        <v>1637</v>
      </c>
    </row>
    <row r="39" spans="1:3" x14ac:dyDescent="0.25">
      <c r="A39" s="61" t="s">
        <v>82</v>
      </c>
      <c r="B39" s="53">
        <f>+'2024-06-30'!F15</f>
        <v>4.8964590000000001</v>
      </c>
      <c r="C39" s="54">
        <f>+'2024-06-30'!G15</f>
        <v>10690</v>
      </c>
    </row>
    <row r="40" spans="1:3" x14ac:dyDescent="0.25">
      <c r="A40" s="30" t="s">
        <v>83</v>
      </c>
      <c r="B40" s="53">
        <f>+'2024-06-30'!F25</f>
        <v>8.4556520000000006</v>
      </c>
      <c r="C40" s="54">
        <f>+'2024-06-30'!G25</f>
        <v>2233</v>
      </c>
    </row>
    <row r="41" spans="1:3" x14ac:dyDescent="0.25">
      <c r="A41" s="30" t="s">
        <v>84</v>
      </c>
      <c r="B41" s="53">
        <f>+'2024-06-30'!F26</f>
        <v>10.916763</v>
      </c>
      <c r="C41" s="54">
        <f>+'2024-06-30'!G26</f>
        <v>23909</v>
      </c>
    </row>
    <row r="42" spans="1:3" x14ac:dyDescent="0.25">
      <c r="A42" s="30" t="s">
        <v>85</v>
      </c>
      <c r="B42" s="53">
        <f>'2024-06-30'!F28</f>
        <v>4.4427450000000004</v>
      </c>
      <c r="C42" s="54">
        <f>'2024-06-30'!G28</f>
        <v>1261</v>
      </c>
    </row>
    <row r="43" spans="1:3" x14ac:dyDescent="0.25">
      <c r="A43" s="30" t="s">
        <v>86</v>
      </c>
      <c r="B43" s="53">
        <f>'2024-06-30'!F17</f>
        <v>0.35184399999999999</v>
      </c>
      <c r="C43" s="54">
        <f>'2024-06-30'!G17</f>
        <v>146</v>
      </c>
    </row>
    <row r="44" spans="1:3" x14ac:dyDescent="0.25">
      <c r="A44" s="57" t="s">
        <v>28</v>
      </c>
      <c r="B44" s="55">
        <f>+SUM(B23:B43)</f>
        <v>346.956592</v>
      </c>
      <c r="C44" s="67">
        <f>+SUM(C23:C43)</f>
        <v>131575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2026-05-12T11:21:12Z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1215bccd-94d7-47ae-9853-9584b184990b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