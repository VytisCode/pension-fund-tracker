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44E6DFAC-EB97-4694-8F88-05970F141F1E}" xr6:coauthVersionLast="47" xr6:coauthVersionMax="47" xr10:uidLastSave="{00000000-0000-0000-0000-000000000000}"/>
  <bookViews>
    <workbookView xWindow="-110" yWindow="-110" windowWidth="19420" windowHeight="11500" tabRatio="844" xr2:uid="{00000000-000D-0000-FFFF-FFFF00000000}"/>
  </bookViews>
  <sheets>
    <sheet name="2026-03-31" sheetId="2" r:id="rId1"/>
    <sheet name="Papildoma informacij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<sst xmlns="http://schemas.openxmlformats.org/spreadsheetml/2006/main" count="250" uniqueCount="113">
  <si>
    <t xml:space="preserve">Pensijų kaupimo bendrovės pavadinimas
</t>
  </si>
  <si>
    <t xml:space="preserve">Fondo kodas
</t>
  </si>
  <si>
    <t xml:space="preserve">Pensijų fondo pavadinimas
</t>
  </si>
  <si>
    <t xml:space="preserve">Luminor investicijų valdymas UAB </t>
  </si>
  <si>
    <t>Mišraus investavimo pensijų fondai</t>
  </si>
  <si>
    <t>Akcijų pensijų fondai</t>
  </si>
  <si>
    <t>Obligacijų pensijų fondai</t>
  </si>
  <si>
    <t>Dalyvių skaičius</t>
  </si>
  <si>
    <t>S017</t>
  </si>
  <si>
    <t>S018</t>
  </si>
  <si>
    <t>S021</t>
  </si>
  <si>
    <t>S033</t>
  </si>
  <si>
    <t>S032</t>
  </si>
  <si>
    <t>S022</t>
  </si>
  <si>
    <t>S019</t>
  </si>
  <si>
    <t>S040</t>
  </si>
  <si>
    <t>S028</t>
  </si>
  <si>
    <t>FONDŲ GRĄŽA</t>
  </si>
  <si>
    <t>Grynųjų aktyvų vertė, mln.</t>
  </si>
  <si>
    <t>Pensijų kaupimo bendrovė</t>
  </si>
  <si>
    <t>Fondas</t>
  </si>
  <si>
    <r>
      <rPr>
        <b/>
        <i/>
        <u/>
        <sz val="10"/>
        <color theme="1"/>
        <rFont val="Verdana"/>
        <family val="2"/>
        <charset val="186"/>
      </rPr>
      <t xml:space="preserve">Pastaba: </t>
    </r>
    <r>
      <rPr>
        <sz val="10"/>
        <color theme="1"/>
        <rFont val="Verdana"/>
        <family val="2"/>
        <charset val="186"/>
      </rPr>
      <t>praeities rezultatai negarantuoja, kad tokie patys ar panašūs rezultatai bus ir ateityje.</t>
    </r>
  </si>
  <si>
    <t>IŠ VISO:</t>
  </si>
  <si>
    <t>UAB „SEB investicijų valdymas“</t>
  </si>
  <si>
    <t>Rizikingų aktyvų dalis fonde (investicijų į akcijas dalis), proc.</t>
  </si>
  <si>
    <t>iki 8</t>
  </si>
  <si>
    <t>iki 50</t>
  </si>
  <si>
    <t>iki 70</t>
  </si>
  <si>
    <t>iki 100</t>
  </si>
  <si>
    <t>vidutinė metinė lyginamojo indekso grąža per praėjusius 3 metus, proc.</t>
  </si>
  <si>
    <t>vidutinė metinė lyginamojo indekso grąža per praėjusius 5 metus, proc.</t>
  </si>
  <si>
    <t>standartinis nuokrypis per praėjusius 5 metus, proc.</t>
  </si>
  <si>
    <t>standartinis nuokrypis per praėjusius 10 metų, proc.</t>
  </si>
  <si>
    <t>Grynųjų aktyvų vertė, mln. (skalė kairėje)</t>
  </si>
  <si>
    <t>Dalyvių skaičius (skalė dešinėje)</t>
  </si>
  <si>
    <t>Veiklos 
laikotarpis</t>
  </si>
  <si>
    <t>S048</t>
  </si>
  <si>
    <t>S046</t>
  </si>
  <si>
    <t>S047</t>
  </si>
  <si>
    <t>UAB „Swedbank investicijų valdymas“</t>
  </si>
  <si>
    <t>-</t>
  </si>
  <si>
    <t>iki 30</t>
  </si>
  <si>
    <t>iki 60</t>
  </si>
  <si>
    <t>S049</t>
  </si>
  <si>
    <t>SEB pensija 50+</t>
  </si>
  <si>
    <t>SEB pensija 18+</t>
  </si>
  <si>
    <t>SEB pensija 58+</t>
  </si>
  <si>
    <t>grąža [1] nuo metų pradžios, proc.</t>
  </si>
  <si>
    <t>[1] Apskaitos vieneto vertės pokytis. Juo atsižvelgiama į atskaitymus nuo turto, tačiau neatsižvelgiama į atskaitymus nuo įmokų, dėl to grynoji grąža yra mažesnė.</t>
  </si>
  <si>
    <t>vidutinė metinė grąža [2] per praėjusius 3 metus, proc.</t>
  </si>
  <si>
    <t>[2] Apskaičiuota remiantis apskaitos vieneto vertės pokyčiu per nurodytą laikotarpį. Vidutinė metinė grąža gauta taikant geometrinį vidurkį.</t>
  </si>
  <si>
    <t>LYGINAMOJO INDEKSO GRĄŽA [3]</t>
  </si>
  <si>
    <t xml:space="preserve">[3] Lyginamasis indeksas apibrėžiamas kaip pensijų kaupimo bendrovės pasirinktas orientacinis investicijų portfelis, atitinkantis fondo investavimo strategiją, su kurio vertės pokyčio reikšme lyginama fondo investicijų portfelio investicijų grąža. </t>
  </si>
  <si>
    <t>RIZIKOS RODIKLIAI [4]</t>
  </si>
  <si>
    <t xml:space="preserve">[4] Rodikliui apskaičiuoti naudoti mėnesiniai apskaitos vieneto verčių pokyčiai, rezultatas perskaičiuotas į metinį. Standartinis nuokrypis parodo, kaip intensyviai per laikotarpį svyruoja fondo investicinio vieneto vertė. Kuo šis rodiklis didesnis, tuo didesnė rizika. </t>
  </si>
  <si>
    <t>Svertinis vidurkis [5]:</t>
  </si>
  <si>
    <t>Grynųjų aktyvų [6] vertė, mln. Eur</t>
  </si>
  <si>
    <t>[6] Grynieji aktyvai – pensijų fondą sudarančio turto vertės ir  įsipareigojimų skirtumas.</t>
  </si>
  <si>
    <t>40-60</t>
  </si>
  <si>
    <t>vidutinė metinė grąža [2] per praėjusius 5 metus, proc.</t>
  </si>
  <si>
    <t>vidutinė metinė grąža [2] per praėjusius 10 metų, proc.</t>
  </si>
  <si>
    <t>vidutinė metinė grąža [2] per praėjusius 15 metų, proc.</t>
  </si>
  <si>
    <t>Visų pensijų fondų svertinis vidurkis [5]:</t>
  </si>
  <si>
    <t>S050</t>
  </si>
  <si>
    <t>Luminor tvari ateitis index</t>
  </si>
  <si>
    <t>S051</t>
  </si>
  <si>
    <t>Pensijos fondas 60+ (apriboto nutraukimo)</t>
  </si>
  <si>
    <t>Pensijos fondas 18+ (apriboto nutraukimo)</t>
  </si>
  <si>
    <t>S052</t>
  </si>
  <si>
    <t>S053</t>
  </si>
  <si>
    <t>S054</t>
  </si>
  <si>
    <t>SEB index. Klimato ateitis</t>
  </si>
  <si>
    <t>Pensijos fondas 50+ (apriboto nutraukimo)</t>
  </si>
  <si>
    <t>Swedbank Pensijos fondas 60+ (apriboto nutraukimo)</t>
  </si>
  <si>
    <t>Swedbank Pensijos fondas 50+ (apriboto nutraukimo)</t>
  </si>
  <si>
    <t>Swedbank Pensijos fondas 60+</t>
  </si>
  <si>
    <t>Swedbank Pensijos fondas 50+</t>
  </si>
  <si>
    <t>Swedbank Pensijos fondas 18+ (apriboto nutraukimo)</t>
  </si>
  <si>
    <t>Swedbank Pensijos fondas 18+</t>
  </si>
  <si>
    <t>Goindex pasaulio akcijų</t>
  </si>
  <si>
    <t>Goindex subalansuotas</t>
  </si>
  <si>
    <t>Goindex, UAB</t>
  </si>
  <si>
    <t>S056</t>
  </si>
  <si>
    <t>S057</t>
  </si>
  <si>
    <t>Pensijos fondas 60+</t>
  </si>
  <si>
    <t>Pensijos fondas 50+</t>
  </si>
  <si>
    <t>Pensijos fondas 18+</t>
  </si>
  <si>
    <t>vidutinė metinė grąža [2] per praėjusius 1 metus, proc.</t>
  </si>
  <si>
    <t>Luminor ateitis 58 +</t>
  </si>
  <si>
    <t>Luminor ateitis 50 – 58</t>
  </si>
  <si>
    <t>Luminor ateitis 16 – 50</t>
  </si>
  <si>
    <t>S058</t>
  </si>
  <si>
    <t>Artea Stabilus 58+</t>
  </si>
  <si>
    <t>Artea Subalansuotas 47+</t>
  </si>
  <si>
    <t>Artea Ambicingas Active 16+</t>
  </si>
  <si>
    <t>Artea Ambicingas 16+</t>
  </si>
  <si>
    <t>Artea Ambicingas Index 16+</t>
  </si>
  <si>
    <t>UAB Artea Asset Management</t>
  </si>
  <si>
    <t>Luminor ateitis akcijų index</t>
  </si>
  <si>
    <t>S059</t>
  </si>
  <si>
    <t>12 m. 5 mėn.</t>
  </si>
  <si>
    <t>21 m. 3 mėn.</t>
  </si>
  <si>
    <t>21 m. 5 mėn.</t>
  </si>
  <si>
    <t>18 m. 6 mėn.</t>
  </si>
  <si>
    <t>6 m. 4 mėn.</t>
  </si>
  <si>
    <t>3 m. 11 mėn.</t>
  </si>
  <si>
    <t>6 m. 1 mėn.</t>
  </si>
  <si>
    <t>3 m. 8 mėn.</t>
  </si>
  <si>
    <t>1 m. 5 mėn.</t>
  </si>
  <si>
    <t>4 m. 2 mėn.</t>
  </si>
  <si>
    <t>4 m. 10 mėn.</t>
  </si>
  <si>
    <t>0 m. 2 mėn.</t>
  </si>
  <si>
    <r>
      <t xml:space="preserve">[5] Svertiniam vidurkiui apskaičiuoti naudotas </t>
    </r>
    <r>
      <rPr>
        <b/>
        <sz val="10"/>
        <rFont val="Verdana"/>
        <family val="2"/>
        <charset val="186"/>
      </rPr>
      <t xml:space="preserve">2026-03-31 </t>
    </r>
    <r>
      <rPr>
        <sz val="10"/>
        <rFont val="Verdana"/>
        <family val="2"/>
        <charset val="186"/>
      </rPr>
      <t>dienos fondų grynųjų aktyvų dydis.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</si>
</sst>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\ _€_-;\-* #,##0\ _€_-;_-* &quot;-&quot;??\ _€_-;_-@_-"/>
    <numFmt numFmtId="166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  <charset val="186"/>
    </font>
    <font>
      <sz val="10"/>
      <color theme="1"/>
      <name val="Verdana"/>
      <family val="2"/>
      <charset val="186"/>
    </font>
    <font>
      <b/>
      <sz val="11"/>
      <color theme="1"/>
      <name val="Verdana"/>
      <family val="2"/>
      <charset val="186"/>
    </font>
    <font>
      <b/>
      <i/>
      <u/>
      <sz val="10"/>
      <color rgb="FFFF0000"/>
      <name val="Verdana"/>
      <family val="2"/>
      <charset val="186"/>
    </font>
    <font>
      <sz val="11"/>
      <color theme="1"/>
      <name val="Verdana"/>
      <family val="2"/>
      <charset val="186"/>
    </font>
    <font>
      <b/>
      <i/>
      <u/>
      <sz val="10"/>
      <color theme="1"/>
      <name val="Verdana"/>
      <family val="2"/>
      <charset val="186"/>
    </font>
    <font>
      <b/>
      <sz val="10"/>
      <color theme="0"/>
      <name val="Verdana"/>
      <family val="2"/>
      <charset val="186"/>
    </font>
    <font>
      <sz val="10"/>
      <color theme="0"/>
      <name val="Verdana"/>
      <family val="2"/>
      <charset val="186"/>
    </font>
    <font>
      <b/>
      <sz val="10"/>
      <name val="Verdana"/>
      <family val="2"/>
      <charset val="186"/>
    </font>
    <font>
      <sz val="10"/>
      <name val="Verdana"/>
      <family val="2"/>
      <charset val="186"/>
    </font>
    <font>
      <b/>
      <sz val="10"/>
      <color theme="0"/>
      <name val="Verdana"/>
      <family val="2"/>
    </font>
    <font>
      <sz val="10"/>
      <color rgb="FFC00000"/>
      <name val="Verdana"/>
      <family val="2"/>
      <charset val="186"/>
    </font>
    <font>
      <sz val="8"/>
      <name val="Calibri"/>
      <family val="2"/>
      <scheme val="minor"/>
    </font>
    <font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7D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2" fontId="3" fillId="0" borderId="0" xfId="0" applyNumberFormat="1" applyFont="1" applyBorder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0" fillId="0" borderId="0" xfId="0" applyFill="1"/>
    <xf numFmtId="0" fontId="6" fillId="0" borderId="0" xfId="0" applyFont="1" applyFill="1" applyAlignment="1"/>
    <xf numFmtId="9" fontId="6" fillId="0" borderId="0" xfId="2" applyFont="1" applyFill="1" applyAlignment="1">
      <alignment horizontal="center"/>
    </xf>
    <xf numFmtId="2" fontId="4" fillId="0" borderId="0" xfId="0" applyNumberFormat="1" applyFont="1" applyFill="1" applyAlignment="1">
      <alignment wrapText="1"/>
    </xf>
    <xf numFmtId="0" fontId="6" fillId="0" borderId="0" xfId="0" applyFont="1" applyFill="1" applyAlignment="1">
      <alignment wrapText="1"/>
    </xf>
    <xf numFmtId="0" fontId="3" fillId="0" borderId="0" xfId="0" applyFont="1" applyAlignment="1"/>
    <xf numFmtId="0" fontId="3" fillId="0" borderId="0" xfId="0" applyFont="1" applyFill="1" applyAlignment="1">
      <alignment vertical="center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/>
    <xf numFmtId="0" fontId="8" fillId="3" borderId="1" xfId="0" applyFont="1" applyFill="1" applyBorder="1" applyAlignment="1">
      <alignment horizontal="left" wrapText="1"/>
    </xf>
    <xf numFmtId="0" fontId="8" fillId="3" borderId="1" xfId="0" applyFont="1" applyFill="1" applyBorder="1" applyAlignment="1">
      <alignment horizontal="center" vertical="center" wrapText="1"/>
    </xf>
    <xf numFmtId="165" fontId="8" fillId="3" borderId="1" xfId="1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wrapText="1"/>
    </xf>
    <xf numFmtId="0" fontId="3" fillId="0" borderId="0" xfId="0" applyFont="1" applyFill="1" applyAlignment="1"/>
    <xf numFmtId="9" fontId="3" fillId="0" borderId="0" xfId="2" applyFont="1" applyFill="1" applyAlignment="1">
      <alignment horizontal="center"/>
    </xf>
    <xf numFmtId="2" fontId="2" fillId="0" borderId="0" xfId="0" applyNumberFormat="1" applyFont="1" applyFill="1" applyAlignment="1">
      <alignment wrapText="1"/>
    </xf>
    <xf numFmtId="0" fontId="3" fillId="0" borderId="2" xfId="0" applyFont="1" applyFill="1" applyBorder="1" applyAlignment="1">
      <alignment wrapText="1"/>
    </xf>
    <xf numFmtId="2" fontId="3" fillId="0" borderId="2" xfId="0" applyNumberFormat="1" applyFont="1" applyFill="1" applyBorder="1" applyAlignment="1">
      <alignment horizontal="center" vertical="center"/>
    </xf>
    <xf numFmtId="0" fontId="3" fillId="0" borderId="2" xfId="2" applyNumberFormat="1" applyFont="1" applyFill="1" applyBorder="1" applyAlignment="1">
      <alignment horizontal="center" vertical="center"/>
    </xf>
    <xf numFmtId="165" fontId="3" fillId="0" borderId="2" xfId="1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center"/>
    </xf>
    <xf numFmtId="0" fontId="3" fillId="0" borderId="0" xfId="2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3" fillId="0" borderId="0" xfId="2" applyNumberFormat="1" applyFont="1" applyFill="1" applyAlignment="1">
      <alignment horizontal="center"/>
    </xf>
    <xf numFmtId="2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wrapText="1"/>
    </xf>
    <xf numFmtId="0" fontId="8" fillId="3" borderId="0" xfId="0" applyFont="1" applyFill="1" applyAlignment="1">
      <alignment vertical="center"/>
    </xf>
    <xf numFmtId="9" fontId="8" fillId="3" borderId="0" xfId="2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0" fontId="8" fillId="3" borderId="0" xfId="0" applyFont="1" applyFill="1" applyAlignment="1">
      <alignment horizontal="right" vertical="center"/>
    </xf>
    <xf numFmtId="2" fontId="8" fillId="3" borderId="0" xfId="0" applyNumberFormat="1" applyFont="1" applyFill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10" fillId="0" borderId="0" xfId="0" applyFont="1" applyFill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65" fontId="3" fillId="0" borderId="2" xfId="1" applyNumberFormat="1" applyFont="1" applyFill="1" applyBorder="1" applyAlignment="1">
      <alignment wrapText="1"/>
    </xf>
    <xf numFmtId="2" fontId="8" fillId="3" borderId="1" xfId="0" applyNumberFormat="1" applyFont="1" applyFill="1" applyBorder="1" applyAlignment="1">
      <alignment horizontal="right" wrapText="1"/>
    </xf>
    <xf numFmtId="165" fontId="8" fillId="3" borderId="1" xfId="1" applyNumberFormat="1" applyFont="1" applyFill="1" applyBorder="1" applyAlignment="1">
      <alignment horizontal="left" wrapText="1"/>
    </xf>
    <xf numFmtId="0" fontId="12" fillId="3" borderId="1" xfId="0" applyFont="1" applyFill="1" applyBorder="1" applyAlignment="1">
      <alignment horizontal="right" wrapText="1"/>
    </xf>
    <xf numFmtId="14" fontId="3" fillId="0" borderId="2" xfId="0" applyNumberFormat="1" applyFont="1" applyFill="1" applyBorder="1" applyAlignment="1">
      <alignment wrapText="1"/>
    </xf>
    <xf numFmtId="165" fontId="8" fillId="3" borderId="1" xfId="1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Alignment="1">
      <alignment wrapText="1"/>
    </xf>
    <xf numFmtId="166" fontId="4" fillId="0" borderId="0" xfId="2" applyNumberFormat="1" applyFont="1" applyFill="1" applyAlignment="1">
      <alignment wrapText="1"/>
    </xf>
    <xf numFmtId="165" fontId="3" fillId="0" borderId="0" xfId="1" applyNumberFormat="1" applyFont="1" applyFill="1" applyAlignment="1">
      <alignment wrapText="1"/>
    </xf>
    <xf numFmtId="2" fontId="13" fillId="0" borderId="2" xfId="0" applyNumberFormat="1" applyFont="1" applyFill="1" applyBorder="1" applyAlignment="1">
      <alignment horizontal="center" vertical="center" wrapText="1"/>
    </xf>
    <xf numFmtId="165" fontId="8" fillId="3" borderId="1" xfId="1" applyNumberFormat="1" applyFont="1" applyFill="1" applyBorder="1" applyAlignment="1">
      <alignment horizontal="right" wrapText="1"/>
    </xf>
    <xf numFmtId="165" fontId="8" fillId="3" borderId="1" xfId="1" applyNumberFormat="1" applyFont="1" applyFill="1" applyBorder="1" applyAlignment="1">
      <alignment horizontal="center" vertical="center" wrapText="1"/>
    </xf>
    <xf numFmtId="0" fontId="11" fillId="0" borderId="0" xfId="0" applyFont="1" applyAlignment="1"/>
    <xf numFmtId="14" fontId="15" fillId="2" borderId="1" xfId="0" applyNumberFormat="1" applyFont="1" applyFill="1" applyBorder="1" applyAlignment="1">
      <alignment horizontal="left" wrapText="1"/>
    </xf>
    <xf numFmtId="2" fontId="11" fillId="0" borderId="2" xfId="0" applyNumberFormat="1" applyFont="1" applyFill="1" applyBorder="1" applyAlignment="1">
      <alignment horizontal="left" vertical="center"/>
    </xf>
    <xf numFmtId="2" fontId="11" fillId="0" borderId="0" xfId="0" applyNumberFormat="1" applyFont="1" applyFill="1" applyBorder="1" applyAlignment="1">
      <alignment horizontal="left" vertical="center"/>
    </xf>
    <xf numFmtId="0" fontId="11" fillId="0" borderId="0" xfId="0" applyNumberFormat="1" applyFont="1" applyFill="1" applyAlignment="1">
      <alignment horizontal="left"/>
    </xf>
    <xf numFmtId="2" fontId="11" fillId="2" borderId="2" xfId="0" applyNumberFormat="1" applyFont="1" applyFill="1" applyBorder="1" applyAlignment="1">
      <alignment horizontal="left" vertical="center"/>
    </xf>
    <xf numFmtId="2" fontId="11" fillId="2" borderId="0" xfId="0" applyNumberFormat="1" applyFont="1" applyFill="1" applyBorder="1" applyAlignment="1">
      <alignment horizontal="left" vertical="center"/>
    </xf>
    <xf numFmtId="2" fontId="11" fillId="2" borderId="0" xfId="0" applyNumberFormat="1" applyFont="1" applyFill="1" applyAlignment="1">
      <alignment horizontal="left"/>
    </xf>
    <xf numFmtId="0" fontId="6" fillId="0" borderId="0" xfId="0" applyFont="1"/>
    <xf numFmtId="0" fontId="4" fillId="0" borderId="0" xfId="0" applyFont="1" applyAlignment="1">
      <alignment horizontal="right"/>
    </xf>
    <xf numFmtId="0" fontId="3" fillId="0" borderId="2" xfId="0" applyFont="1" applyBorder="1" applyAlignment="1">
      <alignment wrapText="1"/>
    </xf>
    <xf numFmtId="2" fontId="3" fillId="0" borderId="2" xfId="0" applyNumberFormat="1" applyFont="1" applyBorder="1" applyAlignment="1">
      <alignment wrapText="1"/>
    </xf>
    <xf numFmtId="2" fontId="0" fillId="0" borderId="0" xfId="0" applyNumberFormat="1"/>
    <xf numFmtId="14" fontId="3" fillId="0" borderId="2" xfId="0" applyNumberFormat="1" applyFont="1" applyBorder="1" applyAlignment="1">
      <alignment wrapText="1"/>
    </xf>
    <xf numFmtId="165" fontId="8" fillId="3" borderId="1" xfId="1" applyNumberFormat="1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165" fontId="8" fillId="3" borderId="5" xfId="1" applyNumberFormat="1" applyFont="1" applyFill="1" applyBorder="1" applyAlignment="1">
      <alignment horizontal="center" vertical="center" wrapText="1"/>
    </xf>
    <xf numFmtId="165" fontId="8" fillId="3" borderId="6" xfId="1" applyNumberFormat="1" applyFont="1" applyFill="1" applyBorder="1" applyAlignment="1">
      <alignment horizontal="center" vertical="center" wrapText="1"/>
    </xf>
    <xf numFmtId="165" fontId="8" fillId="3" borderId="0" xfId="1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</dxfs>
  <tableStyles count="0" defaultTableStyle="TableStyleMedium2" defaultPivotStyle="PivotStyleMedium9"/>
  <colors>
    <mruColors>
      <color rgb="FF99FFCC"/>
      <color rgb="FF9C5BCD"/>
      <color rgb="FFFCAF17"/>
      <color rgb="FFFFFFC1"/>
      <color rgb="FFE31C48"/>
      <color rgb="FF903F98"/>
      <color rgb="FF00B07D"/>
      <color rgb="FF009900"/>
      <color rgb="FF99FF99"/>
      <color rgb="FFC9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1901723414439737"/>
          <c:y val="0.27890440121027904"/>
          <c:w val="0.32982964070404208"/>
          <c:h val="0.66015875099340715"/>
        </c:manualLayout>
      </c:layout>
      <c:pieChart>
        <c:varyColors val="1"/>
        <c:ser>
          <c:idx val="0"/>
          <c:order val="0"/>
          <c:tx>
            <c:strRef>
              <c:f>'Papildoma informacija'!$B$1</c:f>
              <c:strCache>
                <c:ptCount val="1"/>
                <c:pt idx="0">
                  <c:v>Grynųjų aktyvų vertė, mln.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  <c:extLst>
              <c:ext xmlns:c16="http://schemas.microsoft.com/office/drawing/2014/chart" uri="{C3380CC4-5D6E-409C-BE32-E72D297353CC}">
                <c16:uniqueId val="{00000001-6445-422D-8956-308635099803}"/>
              </c:ext>
            </c:extLst>
          </c:dPt>
          <c:dPt>
            <c:idx val="1"/>
            <c:bubble3D val="0"/>
            <c:spPr>
              <a:solidFill>
                <a:srgbClr val="FCAF17"/>
              </a:solidFill>
            </c:spPr>
            <c:extLst>
              <c:ext xmlns:c16="http://schemas.microsoft.com/office/drawing/2014/chart" uri="{C3380CC4-5D6E-409C-BE32-E72D297353CC}">
                <c16:uniqueId val="{00000003-6445-422D-8956-308635099803}"/>
              </c:ext>
            </c:extLst>
          </c:dPt>
          <c:dPt>
            <c:idx val="2"/>
            <c:bubble3D val="0"/>
            <c:spPr>
              <a:solidFill>
                <a:srgbClr val="00B07D"/>
              </a:solidFill>
            </c:spPr>
            <c:extLst>
              <c:ext xmlns:c16="http://schemas.microsoft.com/office/drawing/2014/chart" uri="{C3380CC4-5D6E-409C-BE32-E72D297353CC}">
                <c16:uniqueId val="{00000005-6445-422D-8956-308635099803}"/>
              </c:ext>
            </c:extLst>
          </c:dPt>
          <c:dPt>
            <c:idx val="3"/>
            <c:bubble3D val="0"/>
            <c:spPr>
              <a:solidFill>
                <a:srgbClr val="E31C48"/>
              </a:solidFill>
            </c:spPr>
            <c:extLst>
              <c:ext xmlns:c16="http://schemas.microsoft.com/office/drawing/2014/chart" uri="{C3380CC4-5D6E-409C-BE32-E72D297353CC}">
                <c16:uniqueId val="{00000007-6445-422D-8956-308635099803}"/>
              </c:ext>
            </c:extLst>
          </c:dPt>
          <c:dLbls>
            <c:dLbl>
              <c:idx val="0"/>
              <c:layout>
                <c:manualLayout>
                  <c:x val="2.9465811910555754E-2"/>
                  <c:y val="0.1121654656232775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45-422D-8956-308635099803}"/>
                </c:ext>
              </c:extLst>
            </c:dLbl>
            <c:dLbl>
              <c:idx val="1"/>
              <c:layout>
                <c:manualLayout>
                  <c:x val="-0.17043661004209132"/>
                  <c:y val="-4.668568894765005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45-422D-8956-308635099803}"/>
                </c:ext>
              </c:extLst>
            </c:dLbl>
            <c:dLbl>
              <c:idx val="2"/>
              <c:layout>
                <c:manualLayout>
                  <c:x val="-3.4883117532413258E-2"/>
                  <c:y val="4.514164301709391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45-422D-8956-308635099803}"/>
                </c:ext>
              </c:extLst>
            </c:dLbl>
            <c:dLbl>
              <c:idx val="3"/>
              <c:layout>
                <c:manualLayout>
                  <c:x val="-4.4193890683279113E-2"/>
                  <c:y val="3.801577056272798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445-422D-8956-308635099803}"/>
                </c:ext>
              </c:extLst>
            </c:dLbl>
            <c:dLbl>
              <c:idx val="4"/>
              <c:layout>
                <c:manualLayout>
                  <c:x val="0.1347623517688607"/>
                  <c:y val="-3.970220566383926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0E2-4EFC-A634-C5BC003C01E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'Papildoma informacija'!$A$2:$A$6</c:f>
              <c:strCache>
                <c:ptCount val="5"/>
                <c:pt idx="0">
                  <c:v>Luminor investicijų valdymas UAB </c:v>
                </c:pt>
                <c:pt idx="1">
                  <c:v>UAB Artea Asset Management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  <c:pt idx="4">
                  <c:v>Goindex, UAB</c:v>
                </c:pt>
              </c:strCache>
            </c:strRef>
          </c:cat>
          <c:val>
            <c:numRef>
              <c:f>'Papildoma informacija'!$B$2:$B$6</c:f>
              <c:numCache>
                <c:formatCode>0.00</c:formatCode>
                <c:ptCount val="5"/>
                <c:pt idx="0">
                  <c:v>101.34130799999998</c:v>
                </c:pt>
                <c:pt idx="1">
                  <c:v>215.24868800000002</c:v>
                </c:pt>
                <c:pt idx="2">
                  <c:v>122.893106</c:v>
                </c:pt>
                <c:pt idx="3">
                  <c:v>78.844706000000002</c:v>
                </c:pt>
                <c:pt idx="4">
                  <c:v>22.826347999999999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45-422D-8956-30863509980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31227850343659652"/>
          <c:y val="0.24712776148313875"/>
          <c:w val="0.36321609399685939"/>
          <c:h val="0.63822630680772852"/>
        </c:manualLayout>
      </c:layout>
      <c:pieChart>
        <c:varyColors val="1"/>
        <c:ser>
          <c:idx val="0"/>
          <c:order val="0"/>
          <c:tx>
            <c:strRef>
              <c:f>'Papildoma informacija'!$C$1</c:f>
              <c:strCache>
                <c:ptCount val="1"/>
                <c:pt idx="0">
                  <c:v>Dalyvių skaičius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  <c:extLst>
              <c:ext xmlns:c16="http://schemas.microsoft.com/office/drawing/2014/chart" uri="{C3380CC4-5D6E-409C-BE32-E72D297353CC}">
                <c16:uniqueId val="{00000001-1FCA-4E76-AC12-275B74A39CDD}"/>
              </c:ext>
            </c:extLst>
          </c:dPt>
          <c:dPt>
            <c:idx val="1"/>
            <c:bubble3D val="0"/>
            <c:spPr>
              <a:solidFill>
                <a:srgbClr val="FCAF17"/>
              </a:solidFill>
            </c:spPr>
            <c:extLst>
              <c:ext xmlns:c16="http://schemas.microsoft.com/office/drawing/2014/chart" uri="{C3380CC4-5D6E-409C-BE32-E72D297353CC}">
                <c16:uniqueId val="{00000003-1FCA-4E76-AC12-275B74A39CDD}"/>
              </c:ext>
            </c:extLst>
          </c:dPt>
          <c:dPt>
            <c:idx val="2"/>
            <c:bubble3D val="0"/>
            <c:spPr>
              <a:solidFill>
                <a:srgbClr val="00B07D"/>
              </a:solidFill>
            </c:spPr>
            <c:extLst>
              <c:ext xmlns:c16="http://schemas.microsoft.com/office/drawing/2014/chart" uri="{C3380CC4-5D6E-409C-BE32-E72D297353CC}">
                <c16:uniqueId val="{00000005-1FCA-4E76-AC12-275B74A39CDD}"/>
              </c:ext>
            </c:extLst>
          </c:dPt>
          <c:dPt>
            <c:idx val="3"/>
            <c:bubble3D val="0"/>
            <c:spPr>
              <a:solidFill>
                <a:srgbClr val="E31C48"/>
              </a:solidFill>
            </c:spPr>
            <c:extLst>
              <c:ext xmlns:c16="http://schemas.microsoft.com/office/drawing/2014/chart" uri="{C3380CC4-5D6E-409C-BE32-E72D297353CC}">
                <c16:uniqueId val="{00000007-1FCA-4E76-AC12-275B74A39CDD}"/>
              </c:ext>
            </c:extLst>
          </c:dPt>
          <c:dLbls>
            <c:dLbl>
              <c:idx val="0"/>
              <c:layout>
                <c:manualLayout>
                  <c:x val="2.3966388601351762E-2"/>
                  <c:y val="-4.2472688630029185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CA-4E76-AC12-275B74A39CDD}"/>
                </c:ext>
              </c:extLst>
            </c:dLbl>
            <c:dLbl>
              <c:idx val="1"/>
              <c:layout>
                <c:manualLayout>
                  <c:x val="0.24716930758457886"/>
                  <c:y val="-2.259468191547126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CA-4E76-AC12-275B74A39CDD}"/>
                </c:ext>
              </c:extLst>
            </c:dLbl>
            <c:dLbl>
              <c:idx val="2"/>
              <c:layout>
                <c:manualLayout>
                  <c:x val="-0.13080008748906385"/>
                  <c:y val="0.17056831437736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FCA-4E76-AC12-275B74A39CDD}"/>
                </c:ext>
              </c:extLst>
            </c:dLbl>
            <c:dLbl>
              <c:idx val="3"/>
              <c:layout>
                <c:manualLayout>
                  <c:x val="-6.2319964027934556E-2"/>
                  <c:y val="3.83055488305227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FCA-4E76-AC12-275B74A39CD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'Papildoma informacija'!$A$2:$A$6</c:f>
              <c:strCache>
                <c:ptCount val="5"/>
                <c:pt idx="0">
                  <c:v>Luminor investicijų valdymas UAB </c:v>
                </c:pt>
                <c:pt idx="1">
                  <c:v>UAB Artea Asset Management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  <c:pt idx="4">
                  <c:v>Goindex, UAB</c:v>
                </c:pt>
              </c:strCache>
            </c:strRef>
          </c:cat>
          <c:val>
            <c:numRef>
              <c:f>'Papildoma informacija'!$C$2:$C$6</c:f>
              <c:numCache>
                <c:formatCode>_-* #\ ##0\ _€_-;\-* #\ ##0\ _€_-;_-* "-"??\ _€_-;_-@_-</c:formatCode>
                <c:ptCount val="5"/>
                <c:pt idx="0">
                  <c:v>33192</c:v>
                </c:pt>
                <c:pt idx="1">
                  <c:v>46325</c:v>
                </c:pt>
                <c:pt idx="2">
                  <c:v>32909</c:v>
                </c:pt>
                <c:pt idx="3">
                  <c:v>75432</c:v>
                </c:pt>
                <c:pt idx="4">
                  <c:v>8189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FCA-4E76-AC12-275B74A39CD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 ir dalyvių skaičius</a:t>
            </a:r>
          </a:p>
        </c:rich>
      </c:tx>
      <c:layout>
        <c:manualLayout>
          <c:xMode val="edge"/>
          <c:yMode val="edge"/>
          <c:x val="0.41877623411894899"/>
          <c:y val="8.11748278245526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232813591122453"/>
          <c:y val="0.16651391228766224"/>
          <c:w val="0.76300882871189213"/>
          <c:h val="0.5434018896236149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'Papildoma informacija'!$C$22</c:f>
              <c:strCache>
                <c:ptCount val="1"/>
                <c:pt idx="0">
                  <c:v>Dalyvių skaičius (skalė dešinėje)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cat>
            <c:strRef>
              <c:f>'Papildoma informacija'!$A$23:$A$44</c:f>
              <c:strCache>
                <c:ptCount val="22"/>
                <c:pt idx="0">
                  <c:v>Artea Stabilus 58+</c:v>
                </c:pt>
                <c:pt idx="1">
                  <c:v>Artea Subalansuotas 47+</c:v>
                </c:pt>
                <c:pt idx="2">
                  <c:v>Artea Ambicingas Active 16+</c:v>
                </c:pt>
                <c:pt idx="3">
                  <c:v>Artea Ambicingas 16+</c:v>
                </c:pt>
                <c:pt idx="4">
                  <c:v>Artea Ambicingas Index 16+</c:v>
                </c:pt>
                <c:pt idx="5">
                  <c:v>Luminor ateitis 58 +</c:v>
                </c:pt>
                <c:pt idx="6">
                  <c:v>Luminor ateitis 50 – 58</c:v>
                </c:pt>
                <c:pt idx="7">
                  <c:v>Luminor ateitis 16 – 50</c:v>
                </c:pt>
                <c:pt idx="8">
                  <c:v>Luminor tvari ateitis index</c:v>
                </c:pt>
                <c:pt idx="9">
                  <c:v>Luminor ateitis akcijų index</c:v>
                </c:pt>
                <c:pt idx="10">
                  <c:v>SEB pensija 50+</c:v>
                </c:pt>
                <c:pt idx="11">
                  <c:v>SEB pensija 58+</c:v>
                </c:pt>
                <c:pt idx="12">
                  <c:v>SEB pensija 18+</c:v>
                </c:pt>
                <c:pt idx="13">
                  <c:v>SEB index. Klimato ateitis</c:v>
                </c:pt>
                <c:pt idx="14">
                  <c:v>Swedbank Pensijos fondas 60+ (apriboto nutraukimo)</c:v>
                </c:pt>
                <c:pt idx="15">
                  <c:v>Swedbank Pensijos fondas 50+ (apriboto nutraukimo)</c:v>
                </c:pt>
                <c:pt idx="16">
                  <c:v>Swedbank Pensijos fondas 60+</c:v>
                </c:pt>
                <c:pt idx="17">
                  <c:v>Swedbank Pensijos fondas 50+</c:v>
                </c:pt>
                <c:pt idx="18">
                  <c:v>Swedbank Pensijos fondas 18+ (apriboto nutraukimo)</c:v>
                </c:pt>
                <c:pt idx="19">
                  <c:v>Swedbank Pensijos fondas 18+</c:v>
                </c:pt>
                <c:pt idx="20">
                  <c:v>Goindex pasaulio akcijų</c:v>
                </c:pt>
                <c:pt idx="21">
                  <c:v>Goindex subalansuotas</c:v>
                </c:pt>
              </c:strCache>
            </c:strRef>
          </c:cat>
          <c:val>
            <c:numRef>
              <c:f>'Papildoma informacija'!$C$23:$C$44</c:f>
              <c:numCache>
                <c:formatCode>_-* #\ ##0\ _€_-;\-* #\ ##0\ _€_-;_-* "-"??\ _€_-;_-@_-</c:formatCode>
                <c:ptCount val="22"/>
                <c:pt idx="0">
                  <c:v>3891</c:v>
                </c:pt>
                <c:pt idx="1">
                  <c:v>6148</c:v>
                </c:pt>
                <c:pt idx="2">
                  <c:v>9183</c:v>
                </c:pt>
                <c:pt idx="3">
                  <c:v>21872</c:v>
                </c:pt>
                <c:pt idx="4">
                  <c:v>5231</c:v>
                </c:pt>
                <c:pt idx="5">
                  <c:v>3216</c:v>
                </c:pt>
                <c:pt idx="6">
                  <c:v>21965</c:v>
                </c:pt>
                <c:pt idx="7">
                  <c:v>6196</c:v>
                </c:pt>
                <c:pt idx="8">
                  <c:v>1654</c:v>
                </c:pt>
                <c:pt idx="9">
                  <c:v>161</c:v>
                </c:pt>
                <c:pt idx="10">
                  <c:v>4165</c:v>
                </c:pt>
                <c:pt idx="11">
                  <c:v>2781</c:v>
                </c:pt>
                <c:pt idx="12">
                  <c:v>18948</c:v>
                </c:pt>
                <c:pt idx="13">
                  <c:v>7015</c:v>
                </c:pt>
                <c:pt idx="14">
                  <c:v>233</c:v>
                </c:pt>
                <c:pt idx="15">
                  <c:v>1350</c:v>
                </c:pt>
                <c:pt idx="16">
                  <c:v>3203</c:v>
                </c:pt>
                <c:pt idx="17">
                  <c:v>19028</c:v>
                </c:pt>
                <c:pt idx="18">
                  <c:v>3900</c:v>
                </c:pt>
                <c:pt idx="19">
                  <c:v>47718</c:v>
                </c:pt>
                <c:pt idx="20">
                  <c:v>7283</c:v>
                </c:pt>
                <c:pt idx="21">
                  <c:v>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8-4638-BEFE-4972150D0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4150528"/>
        <c:axId val="383981184"/>
      </c:barChart>
      <c:lineChart>
        <c:grouping val="standard"/>
        <c:varyColors val="0"/>
        <c:ser>
          <c:idx val="0"/>
          <c:order val="0"/>
          <c:tx>
            <c:strRef>
              <c:f>'Papildoma informacija'!$B$22</c:f>
              <c:strCache>
                <c:ptCount val="1"/>
                <c:pt idx="0">
                  <c:v>Grynųjų aktyvų vertė, mln. (skalė kairėje)</c:v>
                </c:pt>
              </c:strCache>
            </c:strRef>
          </c:tx>
          <c:spPr>
            <a:ln>
              <a:solidFill>
                <a:srgbClr val="FCAF17"/>
              </a:solidFill>
            </a:ln>
          </c:spPr>
          <c:marker>
            <c:symbol val="none"/>
          </c:marker>
          <c:cat>
            <c:strRef>
              <c:f>'Papildoma informacija'!$A$23:$A$44</c:f>
              <c:strCache>
                <c:ptCount val="22"/>
                <c:pt idx="0">
                  <c:v>Artea Stabilus 58+</c:v>
                </c:pt>
                <c:pt idx="1">
                  <c:v>Artea Subalansuotas 47+</c:v>
                </c:pt>
                <c:pt idx="2">
                  <c:v>Artea Ambicingas Active 16+</c:v>
                </c:pt>
                <c:pt idx="3">
                  <c:v>Artea Ambicingas 16+</c:v>
                </c:pt>
                <c:pt idx="4">
                  <c:v>Artea Ambicingas Index 16+</c:v>
                </c:pt>
                <c:pt idx="5">
                  <c:v>Luminor ateitis 58 +</c:v>
                </c:pt>
                <c:pt idx="6">
                  <c:v>Luminor ateitis 50 – 58</c:v>
                </c:pt>
                <c:pt idx="7">
                  <c:v>Luminor ateitis 16 – 50</c:v>
                </c:pt>
                <c:pt idx="8">
                  <c:v>Luminor tvari ateitis index</c:v>
                </c:pt>
                <c:pt idx="9">
                  <c:v>Luminor ateitis akcijų index</c:v>
                </c:pt>
                <c:pt idx="10">
                  <c:v>SEB pensija 50+</c:v>
                </c:pt>
                <c:pt idx="11">
                  <c:v>SEB pensija 58+</c:v>
                </c:pt>
                <c:pt idx="12">
                  <c:v>SEB pensija 18+</c:v>
                </c:pt>
                <c:pt idx="13">
                  <c:v>SEB index. Klimato ateitis</c:v>
                </c:pt>
                <c:pt idx="14">
                  <c:v>Swedbank Pensijos fondas 60+ (apriboto nutraukimo)</c:v>
                </c:pt>
                <c:pt idx="15">
                  <c:v>Swedbank Pensijos fondas 50+ (apriboto nutraukimo)</c:v>
                </c:pt>
                <c:pt idx="16">
                  <c:v>Swedbank Pensijos fondas 60+</c:v>
                </c:pt>
                <c:pt idx="17">
                  <c:v>Swedbank Pensijos fondas 50+</c:v>
                </c:pt>
                <c:pt idx="18">
                  <c:v>Swedbank Pensijos fondas 18+ (apriboto nutraukimo)</c:v>
                </c:pt>
                <c:pt idx="19">
                  <c:v>Swedbank Pensijos fondas 18+</c:v>
                </c:pt>
                <c:pt idx="20">
                  <c:v>Goindex pasaulio akcijų</c:v>
                </c:pt>
                <c:pt idx="21">
                  <c:v>Goindex subalansuotas</c:v>
                </c:pt>
              </c:strCache>
            </c:strRef>
          </c:cat>
          <c:val>
            <c:numRef>
              <c:f>'Papildoma informacija'!$B$23:$B$44</c:f>
              <c:numCache>
                <c:formatCode>0.00</c:formatCode>
                <c:ptCount val="22"/>
                <c:pt idx="0">
                  <c:v>15.780495</c:v>
                </c:pt>
                <c:pt idx="1">
                  <c:v>36.095289999999999</c:v>
                </c:pt>
                <c:pt idx="2">
                  <c:v>26.513559999999998</c:v>
                </c:pt>
                <c:pt idx="3">
                  <c:v>125.008438</c:v>
                </c:pt>
                <c:pt idx="4">
                  <c:v>11.850904999999999</c:v>
                </c:pt>
                <c:pt idx="5">
                  <c:v>9.8062799999999992</c:v>
                </c:pt>
                <c:pt idx="6">
                  <c:v>61.547562999999997</c:v>
                </c:pt>
                <c:pt idx="7">
                  <c:v>23.542369999999998</c:v>
                </c:pt>
                <c:pt idx="8">
                  <c:v>6.004791</c:v>
                </c:pt>
                <c:pt idx="9">
                  <c:v>0.44030399999999997</c:v>
                </c:pt>
                <c:pt idx="10">
                  <c:v>9.2665740000000003</c:v>
                </c:pt>
                <c:pt idx="11">
                  <c:v>11.753602000000001</c:v>
                </c:pt>
                <c:pt idx="12">
                  <c:v>84.273707000000002</c:v>
                </c:pt>
                <c:pt idx="13">
                  <c:v>17.599222999999999</c:v>
                </c:pt>
                <c:pt idx="14">
                  <c:v>1.1548750000000001</c:v>
                </c:pt>
                <c:pt idx="15">
                  <c:v>4.9086249999999998</c:v>
                </c:pt>
                <c:pt idx="16">
                  <c:v>3.4068019999999999</c:v>
                </c:pt>
                <c:pt idx="17">
                  <c:v>15.549751000000001</c:v>
                </c:pt>
                <c:pt idx="18">
                  <c:v>17.139434000000001</c:v>
                </c:pt>
                <c:pt idx="19">
                  <c:v>36.685218999999996</c:v>
                </c:pt>
                <c:pt idx="20">
                  <c:v>20.293202000000001</c:v>
                </c:pt>
                <c:pt idx="21">
                  <c:v>2.5331459999999999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48-4638-BEFE-4972150D0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4148992"/>
        <c:axId val="383980608"/>
      </c:lineChart>
      <c:catAx>
        <c:axId val="3841489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83980608"/>
        <c:crosses val="autoZero"/>
        <c:auto val="1"/>
        <c:lblAlgn val="ctr"/>
        <c:lblOffset val="100"/>
        <c:noMultiLvlLbl val="0"/>
      </c:catAx>
      <c:valAx>
        <c:axId val="3839806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Grynųmų aktyvų vertė, mln.</a:t>
                </a:r>
              </a:p>
            </c:rich>
          </c:tx>
          <c:layout>
            <c:manualLayout>
              <c:xMode val="edge"/>
              <c:yMode val="edge"/>
              <c:x val="0.12184539651090991"/>
              <c:y val="0.26832800626359354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384148992"/>
        <c:crosses val="autoZero"/>
        <c:crossBetween val="between"/>
      </c:valAx>
      <c:valAx>
        <c:axId val="383981184"/>
        <c:scaling>
          <c:orientation val="minMax"/>
        </c:scaling>
        <c:delete val="0"/>
        <c:axPos val="r"/>
        <c:numFmt formatCode="_-* #\ ##0\ _€_-;\-* #\ ##0\ _€_-;_-* &quot;-&quot;??\ _€_-;_-@_-" sourceLinked="1"/>
        <c:majorTickMark val="out"/>
        <c:minorTickMark val="none"/>
        <c:tickLblPos val="nextTo"/>
        <c:crossAx val="384150528"/>
        <c:crosses val="max"/>
        <c:crossBetween val="between"/>
      </c:valAx>
      <c:catAx>
        <c:axId val="384150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398118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1901723414439737"/>
          <c:y val="0.27890440121027904"/>
          <c:w val="0.32982964070404208"/>
          <c:h val="0.66015875099340715"/>
        </c:manualLayout>
      </c:layout>
      <c:pieChart>
        <c:varyColors val="1"/>
        <c:ser>
          <c:idx val="0"/>
          <c:order val="0"/>
          <c:tx>
            <c:v>Grynųjų aktyvų vertė, mln.</c:v>
          </c:tx>
          <c:dPt>
            <c:idx val="0"/>
            <c:bubble3D val="0"/>
            <c:spPr>
              <a:solidFill>
                <a:srgbClr val="903F98"/>
              </a:solidFill>
            </c:spPr>
            <c:extLst>
              <c:ext xmlns:c16="http://schemas.microsoft.com/office/drawing/2014/chart" uri="{C3380CC4-5D6E-409C-BE32-E72D297353CC}">
                <c16:uniqueId val="{00000001-81BD-47A1-A4C1-CE5302447865}"/>
              </c:ext>
            </c:extLst>
          </c:dPt>
          <c:dPt>
            <c:idx val="1"/>
            <c:bubble3D val="0"/>
            <c:spPr>
              <a:solidFill>
                <a:srgbClr val="FCAF17"/>
              </a:solidFill>
            </c:spPr>
            <c:extLst>
              <c:ext xmlns:c16="http://schemas.microsoft.com/office/drawing/2014/chart" uri="{C3380CC4-5D6E-409C-BE32-E72D297353CC}">
                <c16:uniqueId val="{00000003-81BD-47A1-A4C1-CE5302447865}"/>
              </c:ext>
            </c:extLst>
          </c:dPt>
          <c:dPt>
            <c:idx val="2"/>
            <c:bubble3D val="0"/>
            <c:spPr>
              <a:solidFill>
                <a:srgbClr val="00B07D"/>
              </a:solidFill>
            </c:spPr>
            <c:extLst>
              <c:ext xmlns:c16="http://schemas.microsoft.com/office/drawing/2014/chart" uri="{C3380CC4-5D6E-409C-BE32-E72D297353CC}">
                <c16:uniqueId val="{00000005-81BD-47A1-A4C1-CE5302447865}"/>
              </c:ext>
            </c:extLst>
          </c:dPt>
          <c:dPt>
            <c:idx val="3"/>
            <c:bubble3D val="0"/>
            <c:spPr>
              <a:solidFill>
                <a:srgbClr val="E31C48"/>
              </a:solidFill>
            </c:spPr>
            <c:extLst>
              <c:ext xmlns:c16="http://schemas.microsoft.com/office/drawing/2014/chart" uri="{C3380CC4-5D6E-409C-BE32-E72D297353CC}">
                <c16:uniqueId val="{00000007-81BD-47A1-A4C1-CE5302447865}"/>
              </c:ext>
            </c:extLst>
          </c:dPt>
          <c:dLbls>
            <c:dLbl>
              <c:idx val="0"/>
              <c:layout>
                <c:manualLayout>
                  <c:x val="2.9465811910555754E-2"/>
                  <c:y val="0.1121654656232775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1BD-47A1-A4C1-CE5302447865}"/>
                </c:ext>
              </c:extLst>
            </c:dLbl>
            <c:dLbl>
              <c:idx val="1"/>
              <c:layout>
                <c:manualLayout>
                  <c:x val="-0.17043661004209132"/>
                  <c:y val="-4.668568894765005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BD-47A1-A4C1-CE5302447865}"/>
                </c:ext>
              </c:extLst>
            </c:dLbl>
            <c:dLbl>
              <c:idx val="2"/>
              <c:layout>
                <c:manualLayout>
                  <c:x val="-3.4883117532413258E-2"/>
                  <c:y val="4.514164301709391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BD-47A1-A4C1-CE5302447865}"/>
                </c:ext>
              </c:extLst>
            </c:dLbl>
            <c:dLbl>
              <c:idx val="3"/>
              <c:layout>
                <c:manualLayout>
                  <c:x val="-4.4193890683279113E-2"/>
                  <c:y val="3.801577056272798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1BD-47A1-A4C1-CE5302447865}"/>
                </c:ext>
              </c:extLst>
            </c:dLbl>
            <c:dLbl>
              <c:idx val="4"/>
              <c:layout>
                <c:manualLayout>
                  <c:x val="0.1347623517688607"/>
                  <c:y val="-3.970220566383926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1BD-47A1-A4C1-CE530244786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Luminor investicijų valdymas UAB </c:v>
              </c:pt>
              <c:pt idx="1">
                <c:v>UAB Artea Asset Management</c:v>
              </c:pt>
              <c:pt idx="2">
                <c:v>UAB „SEB investicijų valdymas“</c:v>
              </c:pt>
              <c:pt idx="3">
                <c:v>UAB „Swedbank investicijų valdymas“</c:v>
              </c:pt>
              <c:pt idx="4">
                <c:v>Goindex, UAB</c:v>
              </c:pt>
            </c:strLit>
          </c:cat>
          <c:val>
            <c:numLit>
              <c:formatCode>General</c:formatCode>
              <c:ptCount val="5"/>
              <c:pt idx="0">
                <c:v>101.34130799999998</c:v>
              </c:pt>
              <c:pt idx="1">
                <c:v>215.24868800000002</c:v>
              </c:pt>
              <c:pt idx="2">
                <c:v>122.893106</c:v>
              </c:pt>
              <c:pt idx="3">
                <c:v>78.844706000000002</c:v>
              </c:pt>
              <c:pt idx="4">
                <c:v>22.826347999999999</c:v>
              </c:pt>
            </c:numLit>
          </c:val>
          <c:extLst>
            <c:ext xmlns:c16="http://schemas.microsoft.com/office/drawing/2014/chart" uri="{C3380CC4-5D6E-409C-BE32-E72D297353CC}">
              <c16:uniqueId val="{00000009-81BD-47A1-A4C1-CE530244786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31227850343659652"/>
          <c:y val="0.24712776148313875"/>
          <c:w val="0.36321609399685939"/>
          <c:h val="0.63822630680772852"/>
        </c:manualLayout>
      </c:layout>
      <c:pieChart>
        <c:varyColors val="1"/>
        <c:ser>
          <c:idx val="0"/>
          <c:order val="0"/>
          <c:tx>
            <c:v>Dalyvių skaičius</c:v>
          </c:tx>
          <c:dPt>
            <c:idx val="0"/>
            <c:bubble3D val="0"/>
            <c:spPr>
              <a:solidFill>
                <a:srgbClr val="903F98"/>
              </a:solidFill>
            </c:spPr>
            <c:extLst>
              <c:ext xmlns:c16="http://schemas.microsoft.com/office/drawing/2014/chart" uri="{C3380CC4-5D6E-409C-BE32-E72D297353CC}">
                <c16:uniqueId val="{00000001-4854-4C92-940C-E55557D2F7B1}"/>
              </c:ext>
            </c:extLst>
          </c:dPt>
          <c:dPt>
            <c:idx val="1"/>
            <c:bubble3D val="0"/>
            <c:spPr>
              <a:solidFill>
                <a:srgbClr val="FCAF17"/>
              </a:solidFill>
            </c:spPr>
            <c:extLst>
              <c:ext xmlns:c16="http://schemas.microsoft.com/office/drawing/2014/chart" uri="{C3380CC4-5D6E-409C-BE32-E72D297353CC}">
                <c16:uniqueId val="{00000003-4854-4C92-940C-E55557D2F7B1}"/>
              </c:ext>
            </c:extLst>
          </c:dPt>
          <c:dPt>
            <c:idx val="2"/>
            <c:bubble3D val="0"/>
            <c:spPr>
              <a:solidFill>
                <a:srgbClr val="00B07D"/>
              </a:solidFill>
            </c:spPr>
            <c:extLst>
              <c:ext xmlns:c16="http://schemas.microsoft.com/office/drawing/2014/chart" uri="{C3380CC4-5D6E-409C-BE32-E72D297353CC}">
                <c16:uniqueId val="{00000005-4854-4C92-940C-E55557D2F7B1}"/>
              </c:ext>
            </c:extLst>
          </c:dPt>
          <c:dPt>
            <c:idx val="3"/>
            <c:bubble3D val="0"/>
            <c:spPr>
              <a:solidFill>
                <a:srgbClr val="E31C48"/>
              </a:solidFill>
            </c:spPr>
            <c:extLst>
              <c:ext xmlns:c16="http://schemas.microsoft.com/office/drawing/2014/chart" uri="{C3380CC4-5D6E-409C-BE32-E72D297353CC}">
                <c16:uniqueId val="{00000007-4854-4C92-940C-E55557D2F7B1}"/>
              </c:ext>
            </c:extLst>
          </c:dPt>
          <c:dLbls>
            <c:dLbl>
              <c:idx val="0"/>
              <c:layout>
                <c:manualLayout>
                  <c:x val="2.3966388601351762E-2"/>
                  <c:y val="-4.2472688630029185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854-4C92-940C-E55557D2F7B1}"/>
                </c:ext>
              </c:extLst>
            </c:dLbl>
            <c:dLbl>
              <c:idx val="1"/>
              <c:layout>
                <c:manualLayout>
                  <c:x val="0.24716930758457886"/>
                  <c:y val="-2.259468191547126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854-4C92-940C-E55557D2F7B1}"/>
                </c:ext>
              </c:extLst>
            </c:dLbl>
            <c:dLbl>
              <c:idx val="2"/>
              <c:layout>
                <c:manualLayout>
                  <c:x val="-0.13080008748906385"/>
                  <c:y val="0.17056831437736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854-4C92-940C-E55557D2F7B1}"/>
                </c:ext>
              </c:extLst>
            </c:dLbl>
            <c:dLbl>
              <c:idx val="3"/>
              <c:layout>
                <c:manualLayout>
                  <c:x val="-6.2319964027934556E-2"/>
                  <c:y val="3.83055488305227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854-4C92-940C-E55557D2F7B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Luminor investicijų valdymas UAB </c:v>
              </c:pt>
              <c:pt idx="1">
                <c:v>UAB Artea Asset Management</c:v>
              </c:pt>
              <c:pt idx="2">
                <c:v>UAB „SEB investicijų valdymas“</c:v>
              </c:pt>
              <c:pt idx="3">
                <c:v>UAB „Swedbank investicijų valdymas“</c:v>
              </c:pt>
              <c:pt idx="4">
                <c:v>Goindex, UAB</c:v>
              </c:pt>
            </c:strLit>
          </c:cat>
          <c:val>
            <c:numLit>
              <c:formatCode>General</c:formatCode>
              <c:ptCount val="5"/>
              <c:pt idx="0">
                <c:v>33192</c:v>
              </c:pt>
              <c:pt idx="1">
                <c:v>46325</c:v>
              </c:pt>
              <c:pt idx="2">
                <c:v>32909</c:v>
              </c:pt>
              <c:pt idx="3">
                <c:v>75432</c:v>
              </c:pt>
              <c:pt idx="4">
                <c:v>8189</c:v>
              </c:pt>
            </c:numLit>
          </c:val>
          <c:extLst>
            <c:ext xmlns:c16="http://schemas.microsoft.com/office/drawing/2014/chart" uri="{C3380CC4-5D6E-409C-BE32-E72D297353CC}">
              <c16:uniqueId val="{00000008-4854-4C92-940C-E55557D2F7B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44824</xdr:rowOff>
    </xdr:from>
    <xdr:to>
      <xdr:col>1</xdr:col>
      <xdr:colOff>1963271</xdr:colOff>
      <xdr:row>19</xdr:row>
      <xdr:rowOff>155089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2008094</xdr:colOff>
      <xdr:row>7</xdr:row>
      <xdr:rowOff>44823</xdr:rowOff>
    </xdr:from>
    <xdr:to>
      <xdr:col>6</xdr:col>
      <xdr:colOff>21963</xdr:colOff>
      <xdr:row>19</xdr:row>
      <xdr:rowOff>150162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77058</xdr:rowOff>
    </xdr:from>
    <xdr:to>
      <xdr:col>16</xdr:col>
      <xdr:colOff>77922</xdr:colOff>
      <xdr:row>47</xdr:row>
      <xdr:rowOff>173869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</xdr:row>
      <xdr:rowOff>44824</xdr:rowOff>
    </xdr:from>
    <xdr:to>
      <xdr:col>1</xdr:col>
      <xdr:colOff>1963271</xdr:colOff>
      <xdr:row>19</xdr:row>
      <xdr:rowOff>155089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655F75-D3BE-45CC-B681-90BBE3B262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2008094</xdr:colOff>
      <xdr:row>7</xdr:row>
      <xdr:rowOff>44823</xdr:rowOff>
    </xdr:from>
    <xdr:to>
      <xdr:col>6</xdr:col>
      <xdr:colOff>21963</xdr:colOff>
      <xdr:row>19</xdr:row>
      <xdr:rowOff>150162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B3B845-DA9C-45D8-8DB8-9AA42EDBF9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0.97885</cdr:x>
      <cdr:y>0.26328</cdr:y>
    </cdr:from>
    <cdr:to>
      <cdr:x>1</cdr:x>
      <cdr:y>0.62878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12604853" y="1760230"/>
          <a:ext cx="1559661" cy="2861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lt-LT" sz="800" b="1">
              <a:latin typeface="Verdana" panose="020B0604030504040204" pitchFamily="34" charset="0"/>
              <a:ea typeface="Verdana" panose="020B0604030504040204" pitchFamily="34" charset="0"/>
            </a:rPr>
            <a:t>Dalyvių</a:t>
          </a:r>
          <a:r>
            <a:rPr lang="lt-LT" sz="800" b="1" baseline="0">
              <a:latin typeface="Verdana" panose="020B0604030504040204" pitchFamily="34" charset="0"/>
              <a:ea typeface="Verdana" panose="020B0604030504040204" pitchFamily="34" charset="0"/>
            </a:rPr>
            <a:t> skaičius</a:t>
          </a:r>
          <a:endParaRPr lang="lt-LT" sz="800" b="1">
            <a:latin typeface="Verdana" panose="020B0604030504040204" pitchFamily="34" charset="0"/>
            <a:ea typeface="Verdana" panose="020B060403050404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CC"/>
  </sheetPr>
  <dimension ref="A1:U41"/>
  <sheetViews>
    <sheetView showGridLines="0" tabSelected="1" zoomScaleNormal="100" workbookViewId="0"/>
  </sheetViews>
  <sheetFormatPr defaultColWidth="8.85546875" defaultRowHeight="12.75" x14ac:dyDescent="0.2"/>
  <cols>
    <col min="1" max="1" width="41" style="2" customWidth="1"/>
    <col min="2" max="2" width="7.85546875" style="2" bestFit="1" customWidth="1"/>
    <col min="3" max="3" width="44.42578125" style="2" customWidth="1"/>
    <col min="4" max="4" width="15.140625" style="1" customWidth="1"/>
    <col min="5" max="5" width="18.85546875" style="1" customWidth="1"/>
    <col min="6" max="6" width="16.85546875" style="1" customWidth="1"/>
    <col min="7" max="7" width="13.7109375" style="1" customWidth="1"/>
    <col min="8" max="8" width="2" style="1" customWidth="1"/>
    <col min="9" max="9" width="16.5703125" style="2" customWidth="1"/>
    <col min="10" max="10" width="17.7109375" style="2" customWidth="1"/>
    <col min="11" max="11" width="18.7109375" style="2" customWidth="1"/>
    <col min="12" max="12" width="19.5703125" style="2" customWidth="1"/>
    <col min="13" max="14" width="17.85546875" style="2" customWidth="1"/>
    <col min="15" max="15" width="2" style="1" customWidth="1"/>
    <col min="16" max="17" width="19.5703125" style="2" customWidth="1"/>
    <col min="18" max="18" width="2" style="1" customWidth="1"/>
    <col min="19" max="19" width="19.140625" style="2" customWidth="1"/>
    <col min="20" max="20" width="17.85546875" style="2" customWidth="1"/>
    <col min="21" max="21" width="9.85546875" style="2" bestFit="1" customWidth="1"/>
    <col min="22" max="22" width="5.5703125" style="1" bestFit="1" customWidth="1"/>
    <col min="23" max="23" width="9.85546875" style="1" bestFit="1" customWidth="1"/>
    <col min="24" max="16384" width="8.85546875" style="1"/>
  </cols>
  <sheetData>
    <row r="1" spans="1:21" x14ac:dyDescent="0.2">
      <c r="A1" s="63">
        <v>46112</v>
      </c>
      <c r="B1" s="16"/>
      <c r="C1" s="17"/>
      <c r="D1" s="18"/>
      <c r="E1" s="19"/>
      <c r="F1" s="19"/>
      <c r="G1" s="19"/>
      <c r="H1" s="19"/>
      <c r="I1" s="77" t="s">
        <v>17</v>
      </c>
      <c r="J1" s="78"/>
      <c r="K1" s="78"/>
      <c r="L1" s="78"/>
      <c r="M1" s="78"/>
      <c r="N1" s="79"/>
      <c r="O1" s="19"/>
      <c r="P1" s="76" t="s">
        <v>51</v>
      </c>
      <c r="Q1" s="76"/>
      <c r="R1" s="19"/>
      <c r="S1" s="80" t="s">
        <v>53</v>
      </c>
      <c r="T1" s="81"/>
    </row>
    <row r="2" spans="1:21" ht="63.75" x14ac:dyDescent="0.2">
      <c r="A2" s="20" t="s">
        <v>0</v>
      </c>
      <c r="B2" s="20" t="s">
        <v>1</v>
      </c>
      <c r="C2" s="20" t="s">
        <v>2</v>
      </c>
      <c r="D2" s="21" t="s">
        <v>35</v>
      </c>
      <c r="E2" s="21" t="s">
        <v>24</v>
      </c>
      <c r="F2" s="21" t="s">
        <v>56</v>
      </c>
      <c r="G2" s="22" t="s">
        <v>7</v>
      </c>
      <c r="H2" s="19"/>
      <c r="I2" s="22" t="s">
        <v>47</v>
      </c>
      <c r="J2" s="61" t="s">
        <v>87</v>
      </c>
      <c r="K2" s="22" t="s">
        <v>49</v>
      </c>
      <c r="L2" s="22" t="s">
        <v>59</v>
      </c>
      <c r="M2" s="22" t="s">
        <v>60</v>
      </c>
      <c r="N2" s="55" t="s">
        <v>61</v>
      </c>
      <c r="O2" s="19"/>
      <c r="P2" s="22" t="s">
        <v>29</v>
      </c>
      <c r="Q2" s="22" t="s">
        <v>30</v>
      </c>
      <c r="R2" s="19"/>
      <c r="S2" s="22" t="s">
        <v>31</v>
      </c>
      <c r="T2" s="22" t="s">
        <v>32</v>
      </c>
    </row>
    <row r="3" spans="1:21" s="24" customFormat="1" x14ac:dyDescent="0.2">
      <c r="A3" s="23" t="s">
        <v>6</v>
      </c>
      <c r="B3" s="23"/>
      <c r="C3" s="23"/>
      <c r="E3" s="25"/>
      <c r="G3" s="48" t="s">
        <v>55</v>
      </c>
      <c r="I3" s="26">
        <v>-1.0722512024540205</v>
      </c>
      <c r="J3" s="26">
        <v>2.4896431177863114</v>
      </c>
      <c r="K3" s="26">
        <v>4.496443309660104</v>
      </c>
      <c r="L3" s="26">
        <v>0.22403239374517075</v>
      </c>
      <c r="M3" s="26">
        <v>0.83773422388144969</v>
      </c>
      <c r="N3" s="26">
        <v>1.8871201771772734</v>
      </c>
      <c r="P3" s="26">
        <v>4.4474699005331901</v>
      </c>
      <c r="Q3" s="26">
        <v>-0.23521348378269813</v>
      </c>
      <c r="S3" s="6"/>
      <c r="T3" s="6"/>
      <c r="U3" s="6"/>
    </row>
    <row r="4" spans="1:21" x14ac:dyDescent="0.2">
      <c r="A4" s="27" t="s">
        <v>3</v>
      </c>
      <c r="B4" s="27" t="s">
        <v>15</v>
      </c>
      <c r="C4" s="27" t="s">
        <v>88</v>
      </c>
      <c r="D4" s="64" t="s">
        <v>100</v>
      </c>
      <c r="E4" s="29">
        <v>0</v>
      </c>
      <c r="F4" s="28">
        <v>9.8062799999999992</v>
      </c>
      <c r="G4" s="30">
        <v>3216</v>
      </c>
      <c r="H4" s="31"/>
      <c r="I4" s="32">
        <v>-0.95300690108446329</v>
      </c>
      <c r="J4" s="32">
        <v>2.5867937372362038</v>
      </c>
      <c r="K4" s="32">
        <v>4.1613845590548149</v>
      </c>
      <c r="L4" s="32">
        <v>0.18684235495571855</v>
      </c>
      <c r="M4" s="32">
        <v>0.10343940840917831</v>
      </c>
      <c r="N4" s="32" t="s">
        <v>40</v>
      </c>
      <c r="O4" s="31"/>
      <c r="P4" s="32">
        <v>4.1349688340765134</v>
      </c>
      <c r="Q4" s="32">
        <v>0.46430434460316139</v>
      </c>
      <c r="R4" s="31"/>
      <c r="S4" s="32">
        <v>3.4616112683758118</v>
      </c>
      <c r="T4" s="32">
        <v>2.5998213411219511</v>
      </c>
    </row>
    <row r="5" spans="1:21" x14ac:dyDescent="0.2">
      <c r="A5" s="27" t="s">
        <v>97</v>
      </c>
      <c r="B5" s="27" t="s">
        <v>13</v>
      </c>
      <c r="C5" s="27" t="s">
        <v>92</v>
      </c>
      <c r="D5" s="64" t="s">
        <v>101</v>
      </c>
      <c r="E5" s="29">
        <v>0</v>
      </c>
      <c r="F5" s="28">
        <v>15.780495</v>
      </c>
      <c r="G5" s="30">
        <v>3891</v>
      </c>
      <c r="H5" s="31"/>
      <c r="I5" s="32">
        <v>-1.1475703783396018</v>
      </c>
      <c r="J5" s="32">
        <v>2.5102268501301817</v>
      </c>
      <c r="K5" s="32">
        <v>4.9070976843275549</v>
      </c>
      <c r="L5" s="32">
        <v>0.44483779888184749</v>
      </c>
      <c r="M5" s="32">
        <v>1.2895461970208855</v>
      </c>
      <c r="N5" s="32">
        <v>2.2734446840432465</v>
      </c>
      <c r="O5" s="31"/>
      <c r="P5" s="32">
        <v>4.8246835512723019</v>
      </c>
      <c r="Q5" s="32">
        <v>-1.1307432544888418</v>
      </c>
      <c r="R5" s="31"/>
      <c r="S5" s="32">
        <v>4.0232378715157893</v>
      </c>
      <c r="T5" s="32">
        <v>3.6788823170957685</v>
      </c>
    </row>
    <row r="6" spans="1:21" x14ac:dyDescent="0.2">
      <c r="A6" s="27" t="s">
        <v>23</v>
      </c>
      <c r="B6" s="27" t="s">
        <v>8</v>
      </c>
      <c r="C6" s="27" t="s">
        <v>46</v>
      </c>
      <c r="D6" s="64" t="s">
        <v>102</v>
      </c>
      <c r="E6" s="29" t="s">
        <v>25</v>
      </c>
      <c r="F6" s="28">
        <v>11.753602000000001</v>
      </c>
      <c r="G6" s="30">
        <v>2781</v>
      </c>
      <c r="H6" s="31"/>
      <c r="I6" s="32">
        <v>-1.070615034168565</v>
      </c>
      <c r="J6" s="32">
        <v>2.3809523809523725</v>
      </c>
      <c r="K6" s="32">
        <v>4.2246415776223678</v>
      </c>
      <c r="L6" s="32">
        <v>-4.1394550110174233E-2</v>
      </c>
      <c r="M6" s="32">
        <v>0.84376505426029258</v>
      </c>
      <c r="N6" s="32">
        <v>1.3684373130666838</v>
      </c>
      <c r="O6" s="31"/>
      <c r="P6" s="32">
        <v>4.2017456390304186</v>
      </c>
      <c r="Q6" s="32">
        <v>0.38351049366998069</v>
      </c>
      <c r="R6" s="31"/>
      <c r="S6" s="32">
        <v>4.3234665560023799</v>
      </c>
      <c r="T6" s="32">
        <v>3.6427137360393922</v>
      </c>
    </row>
    <row r="7" spans="1:21" x14ac:dyDescent="0.2">
      <c r="A7" s="6"/>
      <c r="B7" s="6"/>
      <c r="C7" s="6"/>
      <c r="D7" s="65"/>
      <c r="E7" s="34"/>
      <c r="F7" s="33"/>
      <c r="G7" s="35"/>
      <c r="H7" s="31"/>
      <c r="I7" s="36"/>
      <c r="J7" s="36"/>
      <c r="K7" s="36"/>
      <c r="L7" s="36"/>
      <c r="M7" s="36"/>
      <c r="N7" s="36"/>
      <c r="O7" s="31"/>
      <c r="P7" s="36"/>
      <c r="Q7" s="36"/>
      <c r="R7" s="31"/>
      <c r="S7" s="36"/>
      <c r="T7" s="36"/>
    </row>
    <row r="8" spans="1:21" s="24" customFormat="1" x14ac:dyDescent="0.2">
      <c r="A8" s="37" t="s">
        <v>4</v>
      </c>
      <c r="B8" s="23"/>
      <c r="C8" s="23"/>
      <c r="D8" s="66"/>
      <c r="E8" s="38"/>
      <c r="F8" s="39"/>
      <c r="G8" s="48" t="s">
        <v>55</v>
      </c>
      <c r="H8" s="40"/>
      <c r="I8" s="26">
        <v>-1.8578231856002434</v>
      </c>
      <c r="J8" s="26">
        <v>6.4672206587797909</v>
      </c>
      <c r="K8" s="26">
        <v>7.8755006834935042</v>
      </c>
      <c r="L8" s="26">
        <v>3.4360449105726762</v>
      </c>
      <c r="M8" s="26">
        <v>4.3491186017948564</v>
      </c>
      <c r="N8" s="26">
        <v>4.2223999099066027</v>
      </c>
      <c r="O8" s="40"/>
      <c r="P8" s="26">
        <v>8.9777783455154712</v>
      </c>
      <c r="Q8" s="26">
        <v>4.0495390334824011</v>
      </c>
      <c r="R8" s="40"/>
      <c r="S8" s="41"/>
      <c r="T8" s="41"/>
      <c r="U8" s="6"/>
    </row>
    <row r="9" spans="1:21" x14ac:dyDescent="0.2">
      <c r="A9" s="27" t="s">
        <v>3</v>
      </c>
      <c r="B9" s="27" t="s">
        <v>14</v>
      </c>
      <c r="C9" s="27" t="s">
        <v>89</v>
      </c>
      <c r="D9" s="64" t="s">
        <v>102</v>
      </c>
      <c r="E9" s="29" t="s">
        <v>26</v>
      </c>
      <c r="F9" s="28">
        <v>61.547562999999997</v>
      </c>
      <c r="G9" s="30">
        <v>21965</v>
      </c>
      <c r="H9" s="31"/>
      <c r="I9" s="32">
        <v>-1.7222820236813763</v>
      </c>
      <c r="J9" s="32">
        <v>7.0339976553341232</v>
      </c>
      <c r="K9" s="32">
        <v>8.4318924777898818</v>
      </c>
      <c r="L9" s="32">
        <v>3.1951598725399322</v>
      </c>
      <c r="M9" s="32">
        <v>3.7657370644850419</v>
      </c>
      <c r="N9" s="32">
        <v>3.7465188961294471</v>
      </c>
      <c r="O9" s="31"/>
      <c r="P9" s="32">
        <v>8.9938588187050925</v>
      </c>
      <c r="Q9" s="32">
        <v>4.4348826031979982</v>
      </c>
      <c r="R9" s="31"/>
      <c r="S9" s="32">
        <v>6.3559785869652954</v>
      </c>
      <c r="T9" s="32">
        <v>5.8421658000089982</v>
      </c>
    </row>
    <row r="10" spans="1:21" x14ac:dyDescent="0.2">
      <c r="A10" s="27" t="s">
        <v>97</v>
      </c>
      <c r="B10" s="27" t="s">
        <v>12</v>
      </c>
      <c r="C10" s="27" t="s">
        <v>93</v>
      </c>
      <c r="D10" s="67" t="s">
        <v>103</v>
      </c>
      <c r="E10" s="29" t="s">
        <v>27</v>
      </c>
      <c r="F10" s="28">
        <v>36.095289999999999</v>
      </c>
      <c r="G10" s="30">
        <v>6148</v>
      </c>
      <c r="H10" s="31"/>
      <c r="I10" s="32">
        <v>-1.3122656668452137</v>
      </c>
      <c r="J10" s="32">
        <v>7.4970828471411899</v>
      </c>
      <c r="K10" s="32">
        <v>8.3252647028650308</v>
      </c>
      <c r="L10" s="32">
        <v>4.0502142300987032</v>
      </c>
      <c r="M10" s="32">
        <v>5.3438664461981755</v>
      </c>
      <c r="N10" s="32">
        <v>5.033844191860104</v>
      </c>
      <c r="O10" s="31"/>
      <c r="P10" s="32">
        <v>9.7254991036293426</v>
      </c>
      <c r="Q10" s="32">
        <v>3.2808844787930891</v>
      </c>
      <c r="R10" s="31"/>
      <c r="S10" s="32">
        <v>6.2884288784946465</v>
      </c>
      <c r="T10" s="32">
        <v>6.6604068638490164</v>
      </c>
    </row>
    <row r="11" spans="1:21" x14ac:dyDescent="0.2">
      <c r="A11" s="27" t="s">
        <v>39</v>
      </c>
      <c r="B11" s="27" t="s">
        <v>37</v>
      </c>
      <c r="C11" s="54" t="s">
        <v>66</v>
      </c>
      <c r="D11" s="67" t="s">
        <v>104</v>
      </c>
      <c r="E11" s="29" t="s">
        <v>41</v>
      </c>
      <c r="F11" s="28">
        <v>1.1548750000000001</v>
      </c>
      <c r="G11" s="30">
        <v>233</v>
      </c>
      <c r="H11" s="31"/>
      <c r="I11" s="32">
        <v>-1.6077771546083475</v>
      </c>
      <c r="J11" s="32">
        <v>2.8833936076629874</v>
      </c>
      <c r="K11" s="32">
        <v>4.5525377034122849</v>
      </c>
      <c r="L11" s="32">
        <v>6.4727437710065949E-2</v>
      </c>
      <c r="M11" s="32" t="s">
        <v>40</v>
      </c>
      <c r="N11" s="32" t="s">
        <v>40</v>
      </c>
      <c r="O11" s="31"/>
      <c r="P11" s="32">
        <v>5.1971485756861835</v>
      </c>
      <c r="Q11" s="32">
        <v>0.59356431767580986</v>
      </c>
      <c r="R11" s="31"/>
      <c r="S11" s="32">
        <v>6.2740805495715062</v>
      </c>
      <c r="T11" s="32" t="s">
        <v>40</v>
      </c>
    </row>
    <row r="12" spans="1:21" x14ac:dyDescent="0.2">
      <c r="A12" s="27" t="s">
        <v>39</v>
      </c>
      <c r="B12" s="27" t="s">
        <v>38</v>
      </c>
      <c r="C12" s="27" t="s">
        <v>72</v>
      </c>
      <c r="D12" s="67" t="s">
        <v>104</v>
      </c>
      <c r="E12" s="29" t="s">
        <v>42</v>
      </c>
      <c r="F12" s="28">
        <v>4.9086249999999998</v>
      </c>
      <c r="G12" s="30">
        <v>1350</v>
      </c>
      <c r="H12" s="31"/>
      <c r="I12" s="32">
        <v>-2.8731045490821838</v>
      </c>
      <c r="J12" s="32">
        <v>3.768758526603011</v>
      </c>
      <c r="K12" s="32">
        <v>5.9211622066671188</v>
      </c>
      <c r="L12" s="32">
        <v>2.1818653424557244</v>
      </c>
      <c r="M12" s="32" t="s">
        <v>40</v>
      </c>
      <c r="N12" s="32" t="s">
        <v>40</v>
      </c>
      <c r="O12" s="31"/>
      <c r="P12" s="32">
        <v>8.1706245520370544</v>
      </c>
      <c r="Q12" s="32">
        <v>3.6030877535115025</v>
      </c>
      <c r="R12" s="31"/>
      <c r="S12" s="32">
        <v>8.1507317768742809</v>
      </c>
      <c r="T12" s="32" t="s">
        <v>40</v>
      </c>
    </row>
    <row r="13" spans="1:21" x14ac:dyDescent="0.2">
      <c r="A13" s="27" t="s">
        <v>39</v>
      </c>
      <c r="B13" s="27" t="s">
        <v>70</v>
      </c>
      <c r="C13" s="27" t="s">
        <v>84</v>
      </c>
      <c r="D13" s="67" t="s">
        <v>105</v>
      </c>
      <c r="E13" s="29" t="s">
        <v>41</v>
      </c>
      <c r="F13" s="28">
        <v>3.4068019999999999</v>
      </c>
      <c r="G13" s="30">
        <v>3203</v>
      </c>
      <c r="H13" s="31"/>
      <c r="I13" s="32">
        <v>-1.953055008063076</v>
      </c>
      <c r="J13" s="32">
        <v>2.1371908539430828</v>
      </c>
      <c r="K13" s="32">
        <v>4.1363848734677688</v>
      </c>
      <c r="L13" s="32" t="s">
        <v>40</v>
      </c>
      <c r="M13" s="32" t="s">
        <v>40</v>
      </c>
      <c r="N13" s="32" t="s">
        <v>40</v>
      </c>
      <c r="O13" s="31"/>
      <c r="P13" s="32">
        <v>5.1818544225870289</v>
      </c>
      <c r="Q13" s="59" t="s">
        <v>40</v>
      </c>
      <c r="R13" s="31"/>
      <c r="S13" s="32" t="s">
        <v>40</v>
      </c>
      <c r="T13" s="32" t="s">
        <v>40</v>
      </c>
    </row>
    <row r="14" spans="1:21" x14ac:dyDescent="0.2">
      <c r="A14" s="27" t="s">
        <v>39</v>
      </c>
      <c r="B14" s="27" t="s">
        <v>69</v>
      </c>
      <c r="C14" s="27" t="s">
        <v>85</v>
      </c>
      <c r="D14" s="67" t="s">
        <v>105</v>
      </c>
      <c r="E14" s="29" t="s">
        <v>42</v>
      </c>
      <c r="F14" s="28">
        <v>15.549751000000001</v>
      </c>
      <c r="G14" s="30">
        <v>19028</v>
      </c>
      <c r="H14" s="31"/>
      <c r="I14" s="32">
        <v>-2.7726120033812474</v>
      </c>
      <c r="J14" s="32">
        <v>4.1187652756404347</v>
      </c>
      <c r="K14" s="32">
        <v>6.1074214054809506</v>
      </c>
      <c r="L14" s="32" t="s">
        <v>40</v>
      </c>
      <c r="M14" s="32" t="s">
        <v>40</v>
      </c>
      <c r="N14" s="32" t="s">
        <v>40</v>
      </c>
      <c r="O14" s="31"/>
      <c r="P14" s="32">
        <v>8.1706344943299314</v>
      </c>
      <c r="Q14" s="59" t="s">
        <v>40</v>
      </c>
      <c r="R14" s="31"/>
      <c r="S14" s="32" t="s">
        <v>40</v>
      </c>
      <c r="T14" s="32" t="s">
        <v>40</v>
      </c>
    </row>
    <row r="15" spans="1:21" x14ac:dyDescent="0.2">
      <c r="A15" s="27" t="s">
        <v>23</v>
      </c>
      <c r="B15" s="27" t="s">
        <v>43</v>
      </c>
      <c r="C15" s="27" t="s">
        <v>44</v>
      </c>
      <c r="D15" s="67" t="s">
        <v>106</v>
      </c>
      <c r="E15" s="29" t="s">
        <v>58</v>
      </c>
      <c r="F15" s="28">
        <v>9.2665740000000003</v>
      </c>
      <c r="G15" s="30">
        <v>4165</v>
      </c>
      <c r="H15" s="31"/>
      <c r="I15" s="32">
        <v>-2.7546531302876431</v>
      </c>
      <c r="J15" s="32">
        <v>5.9196461481754614</v>
      </c>
      <c r="K15" s="32">
        <v>7.9677670981263216</v>
      </c>
      <c r="L15" s="32">
        <v>3.7281717317369401</v>
      </c>
      <c r="M15" s="32" t="s">
        <v>40</v>
      </c>
      <c r="N15" s="32" t="s">
        <v>40</v>
      </c>
      <c r="O15" s="31"/>
      <c r="P15" s="32">
        <v>9.3740047730254794</v>
      </c>
      <c r="Q15" s="32">
        <v>5.1514060386647076</v>
      </c>
      <c r="R15" s="31"/>
      <c r="S15" s="32">
        <v>7.5960376398966982</v>
      </c>
      <c r="T15" s="32" t="s">
        <v>40</v>
      </c>
    </row>
    <row r="16" spans="1:21" x14ac:dyDescent="0.2">
      <c r="A16" s="27" t="s">
        <v>81</v>
      </c>
      <c r="B16" s="27" t="s">
        <v>83</v>
      </c>
      <c r="C16" s="27" t="s">
        <v>80</v>
      </c>
      <c r="D16" s="67" t="s">
        <v>107</v>
      </c>
      <c r="E16" s="29" t="s">
        <v>42</v>
      </c>
      <c r="F16" s="28">
        <v>2.5331459999999999</v>
      </c>
      <c r="G16" s="30">
        <v>906</v>
      </c>
      <c r="H16" s="31"/>
      <c r="I16" s="32">
        <v>-2.0471948741990986</v>
      </c>
      <c r="J16" s="32">
        <v>7.1269868398564418</v>
      </c>
      <c r="K16" s="32">
        <v>8.794684195531822</v>
      </c>
      <c r="L16" s="32" t="s">
        <v>40</v>
      </c>
      <c r="M16" s="32" t="s">
        <v>40</v>
      </c>
      <c r="N16" s="32" t="s">
        <v>40</v>
      </c>
      <c r="O16" s="31"/>
      <c r="P16" s="32">
        <v>9.8306483196170866</v>
      </c>
      <c r="Q16" s="59" t="s">
        <v>40</v>
      </c>
      <c r="R16" s="31"/>
      <c r="S16" s="32" t="s">
        <v>40</v>
      </c>
      <c r="T16" s="32" t="s">
        <v>40</v>
      </c>
    </row>
    <row r="17" spans="1:21" x14ac:dyDescent="0.2">
      <c r="A17" s="6"/>
      <c r="B17" s="6"/>
      <c r="C17" s="6"/>
      <c r="D17" s="68"/>
      <c r="E17" s="34"/>
      <c r="F17" s="33"/>
      <c r="G17" s="49"/>
      <c r="H17" s="31"/>
      <c r="I17" s="36"/>
      <c r="J17" s="36"/>
      <c r="K17" s="36"/>
      <c r="L17" s="36"/>
      <c r="M17" s="36"/>
      <c r="N17" s="36"/>
      <c r="O17" s="31"/>
      <c r="P17" s="36"/>
      <c r="Q17" s="36"/>
      <c r="R17" s="31"/>
      <c r="S17" s="36"/>
      <c r="T17" s="36"/>
    </row>
    <row r="18" spans="1:21" s="24" customFormat="1" x14ac:dyDescent="0.2">
      <c r="A18" s="23" t="s">
        <v>5</v>
      </c>
      <c r="B18" s="23"/>
      <c r="C18" s="23"/>
      <c r="D18" s="69"/>
      <c r="E18" s="38"/>
      <c r="F18" s="39"/>
      <c r="G18" s="48" t="s">
        <v>55</v>
      </c>
      <c r="H18" s="40"/>
      <c r="I18" s="26">
        <v>-2.6802288349147707</v>
      </c>
      <c r="J18" s="26">
        <v>9.9873727079212475</v>
      </c>
      <c r="K18" s="26">
        <v>11.01322958303647</v>
      </c>
      <c r="L18" s="26">
        <v>7.2747459189173371</v>
      </c>
      <c r="M18" s="26">
        <v>8.7608073357417471</v>
      </c>
      <c r="N18" s="26">
        <v>7.223185530386635</v>
      </c>
      <c r="O18" s="40"/>
      <c r="P18" s="26">
        <v>14.655865767668223</v>
      </c>
      <c r="Q18" s="26">
        <v>9.6673364597556795</v>
      </c>
      <c r="R18" s="40"/>
      <c r="S18" s="41"/>
      <c r="T18" s="41"/>
      <c r="U18" s="6"/>
    </row>
    <row r="19" spans="1:21" x14ac:dyDescent="0.2">
      <c r="A19" s="27" t="s">
        <v>3</v>
      </c>
      <c r="B19" s="27" t="s">
        <v>16</v>
      </c>
      <c r="C19" s="27" t="s">
        <v>90</v>
      </c>
      <c r="D19" s="67" t="s">
        <v>103</v>
      </c>
      <c r="E19" s="29" t="s">
        <v>28</v>
      </c>
      <c r="F19" s="28">
        <v>23.542369999999998</v>
      </c>
      <c r="G19" s="30">
        <v>6196</v>
      </c>
      <c r="H19" s="31"/>
      <c r="I19" s="32">
        <v>-2.1382463690156062</v>
      </c>
      <c r="J19" s="32">
        <v>10.963708447697474</v>
      </c>
      <c r="K19" s="32">
        <v>12.207083689354658</v>
      </c>
      <c r="L19" s="32">
        <v>6.0695234554377198</v>
      </c>
      <c r="M19" s="32">
        <v>8.424476610717079</v>
      </c>
      <c r="N19" s="32">
        <v>7.1215029176118438</v>
      </c>
      <c r="O19" s="31"/>
      <c r="P19" s="32">
        <v>14.258273049294811</v>
      </c>
      <c r="Q19" s="32">
        <v>9.0427600126529839</v>
      </c>
      <c r="R19" s="31"/>
      <c r="S19" s="32">
        <v>11.12141561327331</v>
      </c>
      <c r="T19" s="32">
        <v>12.181510543252937</v>
      </c>
    </row>
    <row r="20" spans="1:21" x14ac:dyDescent="0.2">
      <c r="A20" s="27" t="s">
        <v>97</v>
      </c>
      <c r="B20" s="27" t="s">
        <v>10</v>
      </c>
      <c r="C20" s="27" t="s">
        <v>94</v>
      </c>
      <c r="D20" s="67" t="s">
        <v>101</v>
      </c>
      <c r="E20" s="29" t="s">
        <v>28</v>
      </c>
      <c r="F20" s="28">
        <v>26.513559999999998</v>
      </c>
      <c r="G20" s="30">
        <v>9183</v>
      </c>
      <c r="H20" s="31"/>
      <c r="I20" s="32">
        <v>-1.2341869793273674</v>
      </c>
      <c r="J20" s="32">
        <v>11.203751954142781</v>
      </c>
      <c r="K20" s="32">
        <v>12.245358603025114</v>
      </c>
      <c r="L20" s="32">
        <v>9.9289561412188476</v>
      </c>
      <c r="M20" s="32">
        <v>9.4589594531669707</v>
      </c>
      <c r="N20" s="32">
        <v>6.5350819325621368</v>
      </c>
      <c r="O20" s="31"/>
      <c r="P20" s="32">
        <v>22.721368675301235</v>
      </c>
      <c r="Q20" s="32">
        <v>13.897726429149927</v>
      </c>
      <c r="R20" s="31"/>
      <c r="S20" s="32">
        <v>8.5657951405189987</v>
      </c>
      <c r="T20" s="32">
        <v>10.162827211178554</v>
      </c>
    </row>
    <row r="21" spans="1:21" x14ac:dyDescent="0.2">
      <c r="A21" s="27" t="s">
        <v>97</v>
      </c>
      <c r="B21" s="27" t="s">
        <v>11</v>
      </c>
      <c r="C21" s="27" t="s">
        <v>95</v>
      </c>
      <c r="D21" s="67" t="s">
        <v>103</v>
      </c>
      <c r="E21" s="29" t="s">
        <v>28</v>
      </c>
      <c r="F21" s="28">
        <v>125.008438</v>
      </c>
      <c r="G21" s="30">
        <v>21872</v>
      </c>
      <c r="H21" s="31"/>
      <c r="I21" s="32">
        <v>-1.5030866958933409</v>
      </c>
      <c r="J21" s="32">
        <v>11.494834919991881</v>
      </c>
      <c r="K21" s="32">
        <v>10.865585399791033</v>
      </c>
      <c r="L21" s="32">
        <v>7.3782125190414494</v>
      </c>
      <c r="M21" s="32">
        <v>9.1805232009025683</v>
      </c>
      <c r="N21" s="32">
        <v>7.7525201203171745</v>
      </c>
      <c r="O21" s="31"/>
      <c r="P21" s="32">
        <v>13.971217213084518</v>
      </c>
      <c r="Q21" s="32">
        <v>9.0625410987173147</v>
      </c>
      <c r="R21" s="31"/>
      <c r="S21" s="32">
        <v>9.8854740231738116</v>
      </c>
      <c r="T21" s="32">
        <v>10.983846073304134</v>
      </c>
    </row>
    <row r="22" spans="1:21" x14ac:dyDescent="0.2">
      <c r="A22" s="27" t="s">
        <v>97</v>
      </c>
      <c r="B22" s="27" t="s">
        <v>91</v>
      </c>
      <c r="C22" s="27" t="s">
        <v>96</v>
      </c>
      <c r="D22" s="67" t="s">
        <v>108</v>
      </c>
      <c r="E22" s="29" t="s">
        <v>28</v>
      </c>
      <c r="F22" s="28">
        <v>11.850904999999999</v>
      </c>
      <c r="G22" s="30">
        <v>5231</v>
      </c>
      <c r="H22" s="31"/>
      <c r="I22" s="32">
        <v>-3.9296134208606781</v>
      </c>
      <c r="J22" s="32">
        <v>10.682773109243705</v>
      </c>
      <c r="K22" s="32" t="s">
        <v>40</v>
      </c>
      <c r="L22" s="32" t="s">
        <v>40</v>
      </c>
      <c r="M22" s="32" t="s">
        <v>40</v>
      </c>
      <c r="N22" s="32" t="s">
        <v>40</v>
      </c>
      <c r="O22" s="31"/>
      <c r="P22" s="32" t="s">
        <v>40</v>
      </c>
      <c r="Q22" s="32" t="s">
        <v>40</v>
      </c>
      <c r="R22" s="31"/>
      <c r="S22" s="32" t="s">
        <v>40</v>
      </c>
      <c r="T22" s="32" t="s">
        <v>40</v>
      </c>
    </row>
    <row r="23" spans="1:21" x14ac:dyDescent="0.2">
      <c r="A23" s="27" t="s">
        <v>23</v>
      </c>
      <c r="B23" s="27" t="s">
        <v>9</v>
      </c>
      <c r="C23" s="27" t="s">
        <v>45</v>
      </c>
      <c r="D23" s="67" t="s">
        <v>102</v>
      </c>
      <c r="E23" s="29" t="s">
        <v>28</v>
      </c>
      <c r="F23" s="28">
        <v>84.273707000000002</v>
      </c>
      <c r="G23" s="30">
        <v>18948</v>
      </c>
      <c r="H23" s="31"/>
      <c r="I23" s="32">
        <v>-3.8276128037022628</v>
      </c>
      <c r="J23" s="32">
        <v>9.0640717253444247</v>
      </c>
      <c r="K23" s="32">
        <v>11.125248503021901</v>
      </c>
      <c r="L23" s="32">
        <v>6.784769891317799</v>
      </c>
      <c r="M23" s="32">
        <v>8.0125253076217096</v>
      </c>
      <c r="N23" s="32">
        <v>6.6828822001090193</v>
      </c>
      <c r="O23" s="31"/>
      <c r="P23" s="32">
        <v>14.242289221756899</v>
      </c>
      <c r="Q23" s="32">
        <v>9.6515173627188986</v>
      </c>
      <c r="R23" s="31"/>
      <c r="S23" s="32">
        <v>11.341525930803048</v>
      </c>
      <c r="T23" s="32">
        <v>11.28359511891877</v>
      </c>
    </row>
    <row r="24" spans="1:21" x14ac:dyDescent="0.2">
      <c r="A24" s="27" t="s">
        <v>23</v>
      </c>
      <c r="B24" s="27" t="s">
        <v>65</v>
      </c>
      <c r="C24" s="27" t="s">
        <v>71</v>
      </c>
      <c r="D24" s="67" t="s">
        <v>109</v>
      </c>
      <c r="E24" s="29" t="s">
        <v>28</v>
      </c>
      <c r="F24" s="28">
        <v>17.599222999999999</v>
      </c>
      <c r="G24" s="30">
        <v>7015</v>
      </c>
      <c r="H24" s="31"/>
      <c r="I24" s="59">
        <v>-5.4323468047291605</v>
      </c>
      <c r="J24" s="59">
        <v>6.8074707627858277</v>
      </c>
      <c r="K24" s="59">
        <v>11.904872367076781</v>
      </c>
      <c r="L24" s="59" t="s">
        <v>40</v>
      </c>
      <c r="M24" s="59" t="s">
        <v>40</v>
      </c>
      <c r="N24" s="59" t="s">
        <v>40</v>
      </c>
      <c r="O24" s="31"/>
      <c r="P24" s="32">
        <v>16.484062340646123</v>
      </c>
      <c r="Q24" s="32" t="s">
        <v>40</v>
      </c>
      <c r="R24" s="31"/>
      <c r="S24" s="32" t="s">
        <v>40</v>
      </c>
      <c r="T24" s="59" t="s">
        <v>40</v>
      </c>
    </row>
    <row r="25" spans="1:21" x14ac:dyDescent="0.2">
      <c r="A25" s="27" t="s">
        <v>39</v>
      </c>
      <c r="B25" s="27" t="s">
        <v>36</v>
      </c>
      <c r="C25" s="27" t="s">
        <v>67</v>
      </c>
      <c r="D25" s="67" t="s">
        <v>104</v>
      </c>
      <c r="E25" s="29" t="s">
        <v>28</v>
      </c>
      <c r="F25" s="28">
        <v>17.139434000000001</v>
      </c>
      <c r="G25" s="30">
        <v>3900</v>
      </c>
      <c r="H25" s="31"/>
      <c r="I25" s="32">
        <v>-2.9613864396473066</v>
      </c>
      <c r="J25" s="32">
        <v>7.4902330594099453</v>
      </c>
      <c r="K25" s="32">
        <v>8.9779066672132082</v>
      </c>
      <c r="L25" s="32">
        <v>6.478869538530807</v>
      </c>
      <c r="M25" s="32" t="s">
        <v>40</v>
      </c>
      <c r="N25" s="32" t="s">
        <v>40</v>
      </c>
      <c r="O25" s="31"/>
      <c r="P25" s="32">
        <v>13.106556237723943</v>
      </c>
      <c r="Q25" s="32">
        <v>8.4700372301416582</v>
      </c>
      <c r="R25" s="31"/>
      <c r="S25" s="59">
        <v>12.100245414838138</v>
      </c>
      <c r="T25" s="59" t="s">
        <v>40</v>
      </c>
    </row>
    <row r="26" spans="1:21" x14ac:dyDescent="0.2">
      <c r="A26" s="27" t="s">
        <v>39</v>
      </c>
      <c r="B26" s="27" t="s">
        <v>68</v>
      </c>
      <c r="C26" s="27" t="s">
        <v>86</v>
      </c>
      <c r="D26" s="67" t="s">
        <v>105</v>
      </c>
      <c r="E26" s="29" t="s">
        <v>28</v>
      </c>
      <c r="F26" s="28">
        <v>36.685218999999996</v>
      </c>
      <c r="G26" s="30">
        <v>47718</v>
      </c>
      <c r="H26" s="31"/>
      <c r="I26" s="32">
        <v>-3.2563828160831698</v>
      </c>
      <c r="J26" s="32">
        <v>7.6648234793704972</v>
      </c>
      <c r="K26" s="32">
        <v>9.3470412598577681</v>
      </c>
      <c r="L26" s="32" t="s">
        <v>40</v>
      </c>
      <c r="M26" s="32" t="s">
        <v>40</v>
      </c>
      <c r="N26" s="32" t="s">
        <v>40</v>
      </c>
      <c r="O26" s="31"/>
      <c r="P26" s="32">
        <v>13.123003916479071</v>
      </c>
      <c r="Q26" s="59" t="s">
        <v>40</v>
      </c>
      <c r="R26" s="31"/>
      <c r="S26" s="59" t="s">
        <v>40</v>
      </c>
      <c r="T26" s="59" t="s">
        <v>40</v>
      </c>
    </row>
    <row r="27" spans="1:21" x14ac:dyDescent="0.2">
      <c r="A27" s="27" t="s">
        <v>3</v>
      </c>
      <c r="B27" s="27" t="s">
        <v>63</v>
      </c>
      <c r="C27" s="27" t="s">
        <v>64</v>
      </c>
      <c r="D27" s="67" t="s">
        <v>110</v>
      </c>
      <c r="E27" s="29" t="s">
        <v>28</v>
      </c>
      <c r="F27" s="28">
        <v>6.004791</v>
      </c>
      <c r="G27" s="30">
        <v>1654</v>
      </c>
      <c r="H27" s="31"/>
      <c r="I27" s="32">
        <v>-3.8444244604316613</v>
      </c>
      <c r="J27" s="32">
        <v>6.8804664723032039</v>
      </c>
      <c r="K27" s="32">
        <v>8.6027803312682458</v>
      </c>
      <c r="L27" s="32" t="s">
        <v>40</v>
      </c>
      <c r="M27" s="32" t="s">
        <v>40</v>
      </c>
      <c r="N27" s="32" t="s">
        <v>40</v>
      </c>
      <c r="O27" s="31"/>
      <c r="P27" s="32">
        <v>9.0883741795707138</v>
      </c>
      <c r="Q27" s="59" t="s">
        <v>40</v>
      </c>
      <c r="R27" s="31"/>
      <c r="S27" s="59" t="s">
        <v>40</v>
      </c>
      <c r="T27" s="59" t="s">
        <v>40</v>
      </c>
    </row>
    <row r="28" spans="1:21" x14ac:dyDescent="0.2">
      <c r="A28" s="27" t="s">
        <v>3</v>
      </c>
      <c r="B28" s="27" t="s">
        <v>99</v>
      </c>
      <c r="C28" s="27" t="s">
        <v>98</v>
      </c>
      <c r="D28" s="67" t="s">
        <v>111</v>
      </c>
      <c r="E28" s="29" t="s">
        <v>28</v>
      </c>
      <c r="F28" s="28">
        <v>0.44030399999999997</v>
      </c>
      <c r="G28" s="30">
        <v>161</v>
      </c>
      <c r="H28" s="31"/>
      <c r="I28" s="32">
        <v>-3.9699999999999958</v>
      </c>
      <c r="J28" s="32" t="s">
        <v>40</v>
      </c>
      <c r="K28" s="32" t="s">
        <v>40</v>
      </c>
      <c r="L28" s="32" t="s">
        <v>40</v>
      </c>
      <c r="M28" s="32" t="s">
        <v>40</v>
      </c>
      <c r="N28" s="32" t="s">
        <v>40</v>
      </c>
      <c r="O28" s="31"/>
      <c r="P28" s="32" t="s">
        <v>40</v>
      </c>
      <c r="Q28" s="59" t="s">
        <v>40</v>
      </c>
      <c r="R28" s="31"/>
      <c r="S28" s="59" t="s">
        <v>40</v>
      </c>
      <c r="T28" s="59" t="s">
        <v>40</v>
      </c>
    </row>
    <row r="29" spans="1:21" x14ac:dyDescent="0.2">
      <c r="A29" s="27" t="s">
        <v>81</v>
      </c>
      <c r="B29" s="27" t="s">
        <v>82</v>
      </c>
      <c r="C29" s="27" t="s">
        <v>79</v>
      </c>
      <c r="D29" s="67" t="s">
        <v>107</v>
      </c>
      <c r="E29" s="29" t="s">
        <v>28</v>
      </c>
      <c r="F29" s="28">
        <v>20.293202000000001</v>
      </c>
      <c r="G29" s="30">
        <v>7283</v>
      </c>
      <c r="H29" s="31"/>
      <c r="I29" s="32">
        <v>-2.9168762123715775</v>
      </c>
      <c r="J29" s="32">
        <v>11.392300717170878</v>
      </c>
      <c r="K29" s="32">
        <v>13.133793276514716</v>
      </c>
      <c r="L29" s="32" t="s">
        <v>40</v>
      </c>
      <c r="M29" s="32" t="s">
        <v>40</v>
      </c>
      <c r="N29" s="32" t="s">
        <v>40</v>
      </c>
      <c r="O29" s="31"/>
      <c r="P29" s="32" t="s">
        <v>40</v>
      </c>
      <c r="Q29" s="59" t="s">
        <v>40</v>
      </c>
      <c r="R29" s="31"/>
      <c r="S29" s="59" t="s">
        <v>40</v>
      </c>
      <c r="T29" s="59" t="s">
        <v>40</v>
      </c>
    </row>
    <row r="30" spans="1:21" x14ac:dyDescent="0.2">
      <c r="D30" s="7"/>
      <c r="E30" s="8"/>
      <c r="F30" s="7"/>
      <c r="G30" s="7"/>
      <c r="H30" s="3"/>
      <c r="I30" s="4"/>
      <c r="J30" s="4"/>
      <c r="K30" s="4"/>
      <c r="L30" s="4"/>
      <c r="M30" s="4"/>
      <c r="N30" s="4"/>
      <c r="O30" s="3"/>
      <c r="P30" s="4"/>
      <c r="Q30" s="4"/>
      <c r="R30" s="3"/>
      <c r="S30" s="4"/>
      <c r="T30" s="4"/>
    </row>
    <row r="32" spans="1:21" s="15" customFormat="1" x14ac:dyDescent="0.25">
      <c r="A32" s="5"/>
      <c r="B32" s="5"/>
      <c r="C32" s="5"/>
      <c r="D32" s="42"/>
      <c r="E32" s="43"/>
      <c r="F32" s="44"/>
      <c r="G32" s="45" t="s">
        <v>62</v>
      </c>
      <c r="H32" s="44"/>
      <c r="I32" s="46">
        <v>-2.3649299272820308</v>
      </c>
      <c r="J32" s="46">
        <v>8.5942200538876445</v>
      </c>
      <c r="K32" s="46">
        <v>9.7553488266730763</v>
      </c>
      <c r="L32" s="46">
        <v>5.6417548405937428</v>
      </c>
      <c r="M32" s="46">
        <v>6.918095815181232</v>
      </c>
      <c r="N32" s="46">
        <v>6.4255445437776775</v>
      </c>
      <c r="O32" s="46"/>
      <c r="P32" s="46">
        <v>12.405091106103777</v>
      </c>
      <c r="Q32" s="46">
        <v>7.3139025617017213</v>
      </c>
      <c r="R32" s="44"/>
      <c r="S32" s="47"/>
      <c r="T32" s="47"/>
      <c r="U32" s="5"/>
    </row>
    <row r="34" spans="1:21" x14ac:dyDescent="0.2">
      <c r="A34" s="14" t="s">
        <v>21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21" x14ac:dyDescent="0.2">
      <c r="A35" s="14" t="s">
        <v>48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21" x14ac:dyDescent="0.2">
      <c r="A36" s="14" t="s">
        <v>50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21" x14ac:dyDescent="0.2">
      <c r="A37" s="14" t="s">
        <v>52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21" x14ac:dyDescent="0.2">
      <c r="A38" s="14" t="s">
        <v>54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P38" s="1"/>
      <c r="Q38" s="1"/>
      <c r="S38" s="1"/>
      <c r="T38" s="1"/>
      <c r="U38" s="1"/>
    </row>
    <row r="39" spans="1:21" x14ac:dyDescent="0.2">
      <c r="A39" s="62" t="s">
        <v>112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P39" s="1"/>
      <c r="Q39" s="1"/>
      <c r="S39" s="1"/>
      <c r="T39" s="1"/>
      <c r="U39" s="1"/>
    </row>
    <row r="40" spans="1:21" x14ac:dyDescent="0.2">
      <c r="A40" s="14" t="s">
        <v>57</v>
      </c>
      <c r="P40" s="1"/>
      <c r="Q40" s="1"/>
      <c r="S40" s="1"/>
      <c r="T40" s="1"/>
      <c r="U40" s="1"/>
    </row>
    <row r="41" spans="1:21" x14ac:dyDescent="0.2">
      <c r="A41" s="62"/>
      <c r="P41" s="1"/>
      <c r="Q41" s="1"/>
      <c r="S41" s="1"/>
      <c r="T41" s="1"/>
      <c r="U41" s="1"/>
    </row>
  </sheetData>
  <mergeCells count="3">
    <mergeCell ref="P1:Q1"/>
    <mergeCell ref="I1:N1"/>
    <mergeCell ref="S1:T1"/>
  </mergeCells>
  <phoneticPr fontId="14" type="noConversion"/>
  <conditionalFormatting sqref="I4:N6 I9:N16 P9:Q16 S9:T16">
    <cfRule type="cellIs" dxfId="15" priority="37" operator="greaterThanOrEqual">
      <formula>0</formula>
    </cfRule>
    <cfRule type="cellIs" dxfId="14" priority="38" operator="lessThan">
      <formula>0</formula>
    </cfRule>
  </conditionalFormatting>
  <conditionalFormatting sqref="I19:N29">
    <cfRule type="cellIs" dxfId="13" priority="35" operator="greaterThanOrEqual">
      <formula>0</formula>
    </cfRule>
    <cfRule type="cellIs" dxfId="12" priority="36" operator="lessThan">
      <formula>0</formula>
    </cfRule>
  </conditionalFormatting>
  <conditionalFormatting sqref="I33:T1048576">
    <cfRule type="duplicateValues" dxfId="11" priority="285"/>
  </conditionalFormatting>
  <conditionalFormatting sqref="P4:Q6">
    <cfRule type="cellIs" dxfId="10" priority="226" operator="greaterThanOrEqual">
      <formula>0</formula>
    </cfRule>
    <cfRule type="cellIs" dxfId="9" priority="227" operator="lessThan">
      <formula>0</formula>
    </cfRule>
  </conditionalFormatting>
  <conditionalFormatting sqref="P19:Q29">
    <cfRule type="cellIs" dxfId="8" priority="1" operator="greaterThanOrEqual">
      <formula>0</formula>
    </cfRule>
    <cfRule type="cellIs" dxfId="7" priority="2" operator="lessThan">
      <formula>0</formula>
    </cfRule>
  </conditionalFormatting>
  <conditionalFormatting sqref="S4:T6">
    <cfRule type="cellIs" dxfId="6" priority="220" operator="greaterThanOrEqual">
      <formula>0</formula>
    </cfRule>
    <cfRule type="cellIs" dxfId="5" priority="221" operator="lessThan">
      <formula>0</formula>
    </cfRule>
  </conditionalFormatting>
  <conditionalFormatting sqref="S19:T29">
    <cfRule type="cellIs" dxfId="4" priority="67" operator="greaterThanOrEqual">
      <formula>0</formula>
    </cfRule>
    <cfRule type="cellIs" dxfId="3" priority="68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FFC9"/>
  </sheetPr>
  <dimension ref="A1:T45"/>
  <sheetViews>
    <sheetView showGridLines="0" zoomScaleNormal="100" workbookViewId="0"/>
  </sheetViews>
  <sheetFormatPr defaultRowHeight="15" x14ac:dyDescent="0.25"/>
  <cols>
    <col min="1" max="1" width="54.85546875" customWidth="1"/>
    <col min="2" max="2" width="32.42578125" bestFit="1" customWidth="1"/>
    <col min="3" max="3" width="19.5703125" bestFit="1" customWidth="1"/>
    <col min="4" max="4" width="18.85546875" bestFit="1" customWidth="1"/>
    <col min="6" max="6" width="9.5703125" customWidth="1"/>
    <col min="16" max="16" width="10.5703125" customWidth="1"/>
  </cols>
  <sheetData>
    <row r="1" spans="1:20" s="10" customFormat="1" ht="14.25" x14ac:dyDescent="0.2">
      <c r="A1" s="20" t="s">
        <v>19</v>
      </c>
      <c r="B1" s="20" t="s">
        <v>18</v>
      </c>
      <c r="C1" s="20" t="s">
        <v>7</v>
      </c>
      <c r="D1" s="70"/>
      <c r="E1" s="11"/>
      <c r="F1" s="70"/>
      <c r="G1" s="71"/>
      <c r="I1" s="12"/>
      <c r="J1" s="12"/>
      <c r="K1" s="12"/>
      <c r="L1" s="12"/>
      <c r="N1" s="12"/>
      <c r="O1" s="12"/>
      <c r="Q1" s="13"/>
      <c r="R1" s="13"/>
      <c r="S1" s="13"/>
      <c r="T1" s="13"/>
    </row>
    <row r="2" spans="1:20" s="9" customFormat="1" x14ac:dyDescent="0.25">
      <c r="A2" s="72" t="s">
        <v>3</v>
      </c>
      <c r="B2" s="73">
        <v>101.34130799999998</v>
      </c>
      <c r="C2" s="50">
        <v>33192</v>
      </c>
      <c r="D2"/>
      <c r="E2"/>
      <c r="F2"/>
      <c r="G2" s="2"/>
      <c r="H2" s="6"/>
      <c r="I2" s="6"/>
    </row>
    <row r="3" spans="1:20" s="9" customFormat="1" x14ac:dyDescent="0.25">
      <c r="A3" s="72" t="s">
        <v>97</v>
      </c>
      <c r="B3" s="73">
        <v>215.24868800000002</v>
      </c>
      <c r="C3" s="50">
        <v>46325</v>
      </c>
      <c r="D3"/>
      <c r="E3"/>
      <c r="F3"/>
      <c r="G3" s="2"/>
      <c r="H3" s="6"/>
      <c r="I3" s="6"/>
    </row>
    <row r="4" spans="1:20" s="9" customFormat="1" x14ac:dyDescent="0.25">
      <c r="A4" s="72" t="s">
        <v>23</v>
      </c>
      <c r="B4" s="73">
        <v>122.893106</v>
      </c>
      <c r="C4" s="50">
        <v>32909</v>
      </c>
      <c r="D4"/>
      <c r="E4" s="2"/>
      <c r="F4" s="2"/>
      <c r="G4" s="2"/>
      <c r="H4" s="6"/>
      <c r="I4" s="6"/>
      <c r="O4" s="6"/>
      <c r="P4" s="58"/>
    </row>
    <row r="5" spans="1:20" s="9" customFormat="1" x14ac:dyDescent="0.25">
      <c r="A5" s="72" t="s">
        <v>39</v>
      </c>
      <c r="B5" s="73">
        <v>78.844706000000002</v>
      </c>
      <c r="C5" s="50">
        <v>75432</v>
      </c>
      <c r="D5"/>
      <c r="E5" s="2"/>
      <c r="F5" s="2"/>
      <c r="G5" s="2"/>
      <c r="H5" s="6"/>
      <c r="I5" s="6"/>
      <c r="O5" s="56"/>
      <c r="P5" s="58"/>
    </row>
    <row r="6" spans="1:20" s="9" customFormat="1" x14ac:dyDescent="0.25">
      <c r="A6" s="72" t="s">
        <v>81</v>
      </c>
      <c r="B6" s="73">
        <v>22.826347999999999</v>
      </c>
      <c r="C6" s="50">
        <v>8189</v>
      </c>
      <c r="D6"/>
      <c r="E6" s="2"/>
      <c r="F6" s="2"/>
      <c r="G6" s="2"/>
      <c r="H6" s="6"/>
      <c r="I6" s="6"/>
      <c r="O6" s="56"/>
      <c r="P6" s="58"/>
    </row>
    <row r="7" spans="1:20" s="10" customFormat="1" ht="14.25" x14ac:dyDescent="0.2">
      <c r="A7" s="53" t="s">
        <v>22</v>
      </c>
      <c r="B7" s="51">
        <v>541.15415600000006</v>
      </c>
      <c r="C7" s="52">
        <v>196047</v>
      </c>
      <c r="D7" s="70"/>
      <c r="E7" s="11"/>
      <c r="F7" s="70"/>
      <c r="G7" s="71"/>
      <c r="I7" s="12"/>
      <c r="J7" s="12"/>
      <c r="K7" s="12"/>
      <c r="L7" s="12"/>
      <c r="N7" s="12"/>
      <c r="O7" s="57"/>
      <c r="P7" s="57"/>
      <c r="Q7" s="13"/>
      <c r="R7" s="13"/>
      <c r="S7" s="13"/>
      <c r="T7" s="13"/>
    </row>
    <row r="8" spans="1:20" s="9" customFormat="1" x14ac:dyDescent="0.25">
      <c r="A8"/>
      <c r="B8" s="74"/>
      <c r="C8"/>
      <c r="D8"/>
      <c r="E8" s="2"/>
      <c r="F8" s="2"/>
      <c r="G8" s="2"/>
      <c r="H8" s="6"/>
      <c r="I8" s="6"/>
    </row>
    <row r="9" spans="1:20" s="10" customFormat="1" ht="22.7" customHeight="1" x14ac:dyDescent="0.2">
      <c r="A9" s="70"/>
      <c r="B9" s="70"/>
      <c r="C9" s="70"/>
      <c r="D9" s="70"/>
      <c r="E9" s="11"/>
      <c r="F9" s="70"/>
      <c r="G9" s="71"/>
      <c r="I9" s="12"/>
      <c r="J9" s="12"/>
      <c r="K9" s="12"/>
      <c r="L9" s="12"/>
      <c r="N9" s="12"/>
      <c r="O9" s="12"/>
      <c r="Q9" s="13"/>
      <c r="R9" s="13"/>
      <c r="S9" s="13"/>
      <c r="T9" s="13"/>
    </row>
    <row r="10" spans="1:20" s="9" customFormat="1" x14ac:dyDescent="0.25">
      <c r="A10"/>
      <c r="B10"/>
      <c r="C10"/>
      <c r="D10"/>
      <c r="E10"/>
      <c r="F10"/>
      <c r="G10"/>
    </row>
    <row r="11" spans="1:20" s="9" customFormat="1" x14ac:dyDescent="0.25">
      <c r="A11"/>
      <c r="B11"/>
      <c r="C11"/>
      <c r="D11"/>
      <c r="E11"/>
      <c r="F11"/>
      <c r="G11"/>
    </row>
    <row r="12" spans="1:20" s="9" customFormat="1" x14ac:dyDescent="0.25">
      <c r="A12"/>
      <c r="B12"/>
      <c r="C12"/>
      <c r="D12"/>
      <c r="E12"/>
      <c r="F12"/>
      <c r="G12"/>
    </row>
    <row r="13" spans="1:20" s="9" customFormat="1" x14ac:dyDescent="0.25">
      <c r="A13"/>
      <c r="B13"/>
      <c r="C13"/>
      <c r="D13"/>
      <c r="E13"/>
      <c r="F13"/>
      <c r="G13"/>
    </row>
    <row r="14" spans="1:20" s="9" customFormat="1" x14ac:dyDescent="0.25">
      <c r="A14"/>
      <c r="B14"/>
      <c r="C14"/>
      <c r="D14"/>
      <c r="E14"/>
      <c r="F14"/>
      <c r="G14"/>
    </row>
    <row r="15" spans="1:20" s="9" customFormat="1" x14ac:dyDescent="0.25">
      <c r="A15"/>
      <c r="B15"/>
      <c r="C15"/>
      <c r="D15"/>
      <c r="E15"/>
      <c r="F15"/>
      <c r="G15"/>
    </row>
    <row r="16" spans="1:20" s="9" customFormat="1" x14ac:dyDescent="0.25">
      <c r="A16"/>
      <c r="B16"/>
      <c r="C16"/>
      <c r="D16"/>
      <c r="E16"/>
      <c r="F16"/>
      <c r="G16"/>
    </row>
    <row r="17" spans="1:7" s="9" customFormat="1" x14ac:dyDescent="0.25">
      <c r="A17"/>
      <c r="B17"/>
      <c r="C17"/>
      <c r="D17"/>
      <c r="E17"/>
      <c r="F17"/>
      <c r="G17"/>
    </row>
    <row r="18" spans="1:7" s="9" customFormat="1" x14ac:dyDescent="0.25">
      <c r="A18"/>
      <c r="B18"/>
      <c r="C18"/>
      <c r="D18"/>
      <c r="E18"/>
      <c r="F18"/>
      <c r="G18"/>
    </row>
    <row r="19" spans="1:7" s="9" customFormat="1" x14ac:dyDescent="0.25">
      <c r="A19"/>
      <c r="B19"/>
      <c r="C19"/>
      <c r="D19"/>
      <c r="E19"/>
      <c r="F19"/>
      <c r="G19"/>
    </row>
    <row r="20" spans="1:7" s="9" customFormat="1" x14ac:dyDescent="0.25">
      <c r="A20"/>
      <c r="B20"/>
      <c r="C20"/>
      <c r="D20"/>
      <c r="E20"/>
      <c r="F20"/>
      <c r="G20"/>
    </row>
    <row r="21" spans="1:7" s="9" customFormat="1" x14ac:dyDescent="0.25">
      <c r="A21"/>
      <c r="B21"/>
      <c r="C21"/>
      <c r="D21"/>
      <c r="E21"/>
      <c r="F21"/>
      <c r="G21"/>
    </row>
    <row r="22" spans="1:7" ht="33" customHeight="1" x14ac:dyDescent="0.25">
      <c r="A22" s="20" t="s">
        <v>20</v>
      </c>
      <c r="B22" s="20" t="s">
        <v>33</v>
      </c>
      <c r="C22" s="20" t="s">
        <v>34</v>
      </c>
    </row>
    <row r="23" spans="1:7" x14ac:dyDescent="0.25">
      <c r="A23" s="72" t="s">
        <v>92</v>
      </c>
      <c r="B23" s="73">
        <v>15.780495</v>
      </c>
      <c r="C23" s="50">
        <v>3891</v>
      </c>
    </row>
    <row r="24" spans="1:7" x14ac:dyDescent="0.25">
      <c r="A24" s="72" t="s">
        <v>93</v>
      </c>
      <c r="B24" s="73">
        <v>36.095289999999999</v>
      </c>
      <c r="C24" s="50">
        <v>6148</v>
      </c>
    </row>
    <row r="25" spans="1:7" x14ac:dyDescent="0.25">
      <c r="A25" s="72" t="s">
        <v>94</v>
      </c>
      <c r="B25" s="73">
        <v>26.513559999999998</v>
      </c>
      <c r="C25" s="50">
        <v>9183</v>
      </c>
    </row>
    <row r="26" spans="1:7" x14ac:dyDescent="0.25">
      <c r="A26" s="72" t="s">
        <v>95</v>
      </c>
      <c r="B26" s="73">
        <v>125.008438</v>
      </c>
      <c r="C26" s="50">
        <v>21872</v>
      </c>
    </row>
    <row r="27" spans="1:7" x14ac:dyDescent="0.25">
      <c r="A27" s="72" t="s">
        <v>96</v>
      </c>
      <c r="B27" s="73">
        <v>11.850904999999999</v>
      </c>
      <c r="C27" s="50">
        <v>5231</v>
      </c>
    </row>
    <row r="28" spans="1:7" x14ac:dyDescent="0.25">
      <c r="A28" s="72" t="s">
        <v>88</v>
      </c>
      <c r="B28" s="73">
        <v>9.8062799999999992</v>
      </c>
      <c r="C28" s="50">
        <v>3216</v>
      </c>
    </row>
    <row r="29" spans="1:7" x14ac:dyDescent="0.25">
      <c r="A29" s="72" t="s">
        <v>89</v>
      </c>
      <c r="B29" s="73">
        <v>61.547562999999997</v>
      </c>
      <c r="C29" s="50">
        <v>21965</v>
      </c>
    </row>
    <row r="30" spans="1:7" x14ac:dyDescent="0.25">
      <c r="A30" s="72" t="s">
        <v>90</v>
      </c>
      <c r="B30" s="73">
        <v>23.542369999999998</v>
      </c>
      <c r="C30" s="50">
        <v>6196</v>
      </c>
    </row>
    <row r="31" spans="1:7" x14ac:dyDescent="0.25">
      <c r="A31" s="72" t="s">
        <v>64</v>
      </c>
      <c r="B31" s="73">
        <v>6.004791</v>
      </c>
      <c r="C31" s="50">
        <v>1654</v>
      </c>
    </row>
    <row r="32" spans="1:7" x14ac:dyDescent="0.25">
      <c r="A32" s="72" t="s">
        <v>98</v>
      </c>
      <c r="B32" s="73">
        <v>0.44030399999999997</v>
      </c>
      <c r="C32" s="50">
        <v>161</v>
      </c>
    </row>
    <row r="33" spans="1:3" x14ac:dyDescent="0.25">
      <c r="A33" s="72" t="s">
        <v>44</v>
      </c>
      <c r="B33" s="73">
        <v>9.2665740000000003</v>
      </c>
      <c r="C33" s="50">
        <v>4165</v>
      </c>
    </row>
    <row r="34" spans="1:3" x14ac:dyDescent="0.25">
      <c r="A34" s="72" t="s">
        <v>46</v>
      </c>
      <c r="B34" s="73">
        <v>11.753602000000001</v>
      </c>
      <c r="C34" s="50">
        <v>2781</v>
      </c>
    </row>
    <row r="35" spans="1:3" x14ac:dyDescent="0.25">
      <c r="A35" s="72" t="s">
        <v>45</v>
      </c>
      <c r="B35" s="73">
        <v>84.273707000000002</v>
      </c>
      <c r="C35" s="50">
        <v>18948</v>
      </c>
    </row>
    <row r="36" spans="1:3" x14ac:dyDescent="0.25">
      <c r="A36" s="72" t="s">
        <v>71</v>
      </c>
      <c r="B36" s="73">
        <v>17.599222999999999</v>
      </c>
      <c r="C36" s="50">
        <v>7015</v>
      </c>
    </row>
    <row r="37" spans="1:3" x14ac:dyDescent="0.25">
      <c r="A37" s="75" t="s">
        <v>73</v>
      </c>
      <c r="B37" s="73">
        <v>1.1548750000000001</v>
      </c>
      <c r="C37" s="50">
        <v>233</v>
      </c>
    </row>
    <row r="38" spans="1:3" x14ac:dyDescent="0.25">
      <c r="A38" s="75" t="s">
        <v>74</v>
      </c>
      <c r="B38" s="73">
        <v>4.9086249999999998</v>
      </c>
      <c r="C38" s="50">
        <v>1350</v>
      </c>
    </row>
    <row r="39" spans="1:3" x14ac:dyDescent="0.25">
      <c r="A39" s="75" t="s">
        <v>75</v>
      </c>
      <c r="B39" s="73">
        <v>3.4068019999999999</v>
      </c>
      <c r="C39" s="50">
        <v>3203</v>
      </c>
    </row>
    <row r="40" spans="1:3" x14ac:dyDescent="0.25">
      <c r="A40" s="75" t="s">
        <v>76</v>
      </c>
      <c r="B40" s="73">
        <v>15.549751000000001</v>
      </c>
      <c r="C40" s="50">
        <v>19028</v>
      </c>
    </row>
    <row r="41" spans="1:3" x14ac:dyDescent="0.25">
      <c r="A41" s="72" t="s">
        <v>77</v>
      </c>
      <c r="B41" s="73">
        <v>17.139434000000001</v>
      </c>
      <c r="C41" s="50">
        <v>3900</v>
      </c>
    </row>
    <row r="42" spans="1:3" x14ac:dyDescent="0.25">
      <c r="A42" s="72" t="s">
        <v>78</v>
      </c>
      <c r="B42" s="73">
        <v>36.685218999999996</v>
      </c>
      <c r="C42" s="50">
        <v>47718</v>
      </c>
    </row>
    <row r="43" spans="1:3" x14ac:dyDescent="0.25">
      <c r="A43" s="72" t="s">
        <v>79</v>
      </c>
      <c r="B43" s="73">
        <v>20.293202000000001</v>
      </c>
      <c r="C43" s="50">
        <v>7283</v>
      </c>
    </row>
    <row r="44" spans="1:3" x14ac:dyDescent="0.25">
      <c r="A44" s="72" t="s">
        <v>80</v>
      </c>
      <c r="B44" s="73">
        <v>2.5331459999999999</v>
      </c>
      <c r="C44" s="50">
        <v>906</v>
      </c>
    </row>
    <row r="45" spans="1:3" x14ac:dyDescent="0.25">
      <c r="A45" s="53" t="s">
        <v>22</v>
      </c>
      <c r="B45" s="51">
        <v>541.15415599999994</v>
      </c>
      <c r="C45" s="60">
        <v>196047</v>
      </c>
    </row>
  </sheetData>
  <conditionalFormatting sqref="I1:R1">
    <cfRule type="duplicateValues" dxfId="2" priority="6"/>
  </conditionalFormatting>
  <conditionalFormatting sqref="I7:R7">
    <cfRule type="duplicateValues" dxfId="1" priority="1"/>
  </conditionalFormatting>
  <conditionalFormatting sqref="I9:R9">
    <cfRule type="duplicateValues" dxfId="0" priority="5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2026-03-31</vt:lpstr>
      <vt:lpstr>Papildoma informacija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2026-05-12T10:40:30Z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2026-05-12T10:40:28Z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75ece5ec-353f-4de3-96d5-ac49b8f1805d</vt:lpwstr>
  </property>
  <property fmtid="{D5CDD505-2E9C-101B-9397-08002B2CF9AE}" pid="8" name="MSIP_Label_e5564178-1ca1-4992-b45e-fdaf9919e704_ContentBits">
    <vt:lpwstr>0</vt:lpwstr>
  </property>
  <property fmtid="{D5CDD505-2E9C-101B-9397-08002B2CF9AE}" pid="9" name="MSIP_Label_e5564178-1ca1-4992-b45e-fdaf9919e704_Tag">
    <vt:lpwstr>10, 0, 1, 1</vt:lpwstr>
  </property>
</Properties>
</file>