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4DE0988-1A24-4F08-858E-2B6FBA098F85}" xr6:coauthVersionLast="47" xr6:coauthVersionMax="47" xr10:uidLastSave="{00000000-0000-0000-0000-000000000000}"/>
  <bookViews>
    <workbookView xWindow="-110" yWindow="-110" windowWidth="19420" windowHeight="11500" tabRatio="803" xr2:uid="{00000000-000D-0000-FFFF-FFFF00000000}"/>
  </bookViews>
  <sheets>
    <sheet name="2024-06-30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3" i="12" l="1"/>
  <c r="A24" i="12"/>
  <c r="A25" i="12"/>
  <c r="A26" i="12"/>
  <c r="A27" i="12"/>
  <c r="A28" i="12"/>
  <c r="A29" i="12"/>
  <c r="A30" i="12"/>
  <c r="A32" i="12"/>
  <c r="A33" i="12"/>
  <c r="A34" i="12"/>
  <c r="B42" i="12" l="1"/>
  <c r="C43" i="12"/>
  <c r="C42" i="12"/>
  <c r="B40" i="12"/>
  <c r="B37" i="12"/>
  <c r="B41" i="12"/>
  <c r="B31" i="12"/>
  <c r="B39" i="12"/>
  <c r="C30" i="12"/>
  <c r="C28" i="12"/>
  <c r="C35" i="12"/>
  <c r="C37" i="12"/>
  <c r="C34" i="12"/>
  <c r="C25" i="12"/>
  <c r="C29" i="12"/>
  <c r="C31" i="12"/>
  <c r="C32" i="12"/>
  <c r="C36" i="12"/>
  <c r="C27" i="12"/>
  <c r="C24" i="12"/>
  <c r="C33" i="12"/>
  <c r="C41" i="12"/>
  <c r="C39" i="12"/>
  <c r="C26" i="12"/>
  <c r="C23" i="12"/>
  <c r="C40" i="12"/>
  <c r="C38" i="12"/>
  <c r="B34" i="12"/>
  <c r="B26" i="12"/>
  <c r="B25" i="12"/>
  <c r="B27" i="12"/>
  <c r="B33" i="12"/>
  <c r="C3" i="12" l="1"/>
  <c r="C2" i="12"/>
  <c r="C6" i="12"/>
  <c r="C4" i="12"/>
  <c r="C5" i="12"/>
  <c r="B43" i="12"/>
  <c r="B6" i="12" s="1"/>
  <c r="B24" i="12"/>
  <c r="B35" i="12"/>
  <c r="B23" i="12"/>
  <c r="B3" i="12" s="1"/>
  <c r="B32" i="12"/>
  <c r="B4" i="12" s="1"/>
  <c r="B38" i="12"/>
  <c r="C44" i="12"/>
  <c r="B36" i="12"/>
  <c r="B5" i="12" s="1"/>
  <c r="B29" i="12"/>
  <c r="B28" i="12"/>
  <c r="B2" i="12" s="1"/>
  <c r="B30" i="12"/>
  <c r="C7" i="12" l="1"/>
  <c r="B7" i="12"/>
  <c r="B44" i="12"/>
</calcChain>
</file>

<file path=xl/sharedStrings.xml><?xml version="1.0" encoding="utf-8"?>
<sst xmlns="http://schemas.openxmlformats.org/spreadsheetml/2006/main" count="241" uniqueCount="110">
  <si>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</si>
  <si>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</si>
  <si>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</si>
  <si>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</si>
  <si>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</si>
  <si>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INVL Medio III 47+</t>
  </si>
  <si>
    <t>INVL Apdairus</t>
  </si>
  <si>
    <t>INVL Drąsus</t>
  </si>
  <si>
    <t>INVL Extremo III 16+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</si>
  <si>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</si>
  <si>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</si>
  <si>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</si>
  <si>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</si>
  <si>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</si>
  <si>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</si>
  <si>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</si>
  <si>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</si>
  <si>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</si>
  <si>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</si>
  <si>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</si>
  <si>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</si>
  <si>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</si>
  <si>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</si>
  <si>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FONDŲ GRĄŽA</t>
  </si>
  <si>
    <t>Grynųjų aktyvų vertė, mln.</t>
  </si>
  <si>
    <t>Pensijų kaupimo bendrovė</t>
  </si>
  <si>
    <t>Fondas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</si>
  <si>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</si>
  <si>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IŠ VISO:</t>
  </si>
  <si>
    <t>UAB „SEB investicijų valdymas“</t>
  </si>
  <si>
    <t>Rizikingų aktyvų dalis fonde (investicijų į akcijas dalis), proc.</t>
  </si>
  <si>
    <t>iki 8</t>
  </si>
  <si>
    <t>iki 50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</si>
  <si>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</si>
  <si>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</si>
  <si>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</si>
  <si>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</si>
  <si>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</si>
  <si>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</si>
  <si>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</si>
  <si>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</si>
  <si>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</si>
  <si>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</si>
  <si>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</si>
  <si>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</si>
  <si>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UAB „Swedbank investicijų valdymas“</t>
  </si>
  <si>
    <t>-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</si>
  <si>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</si>
  <si>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</si>
  <si>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</si>
  <si>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</si>
  <si>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</si>
  <si>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</si>
  <si>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</si>
  <si>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</si>
  <si>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</si>
  <si>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</si>
  <si>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</si>
  <si>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</si>
  <si>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</si>
  <si>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</si>
  <si>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</si>
  <si>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</si>
  <si>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</si>
  <si>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</si>
  <si>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</si>
  <si>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</si>
  <si>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</si>
  <si>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</si>
  <si>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</si>
  <si>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</si>
  <si>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S051</t>
  </si>
  <si>
    <t>Pensijos fondas 60+ (apriboto nutraukimo)</t>
  </si>
  <si>
    <t>Pensijos fondas 18+ (apriboto nutraukimo)</t>
  </si>
  <si>
    <t>S052</t>
  </si>
  <si>
    <t>S053</t>
  </si>
  <si>
    <t>S054</t>
  </si>
  <si>
    <t>SEB index. Klimato ateitis</t>
  </si>
  <si>
    <t>Pensijos fondas 50+ (apriboto nutraukimo)</t>
  </si>
  <si>
    <t>Swedbank Pensijos fondas 60+ (apriboto nutraukimo)</t>
  </si>
  <si>
    <t>Swedbank Pensijos fondas 50+ (apriboto nutraukimo)</t>
  </si>
  <si>
    <t>Swedbank Pensijos fondas 60+</t>
  </si>
  <si>
    <t>Swedbank Pensijos fondas 50+</t>
  </si>
  <si>
    <t>Swedbank Pensijos fondas 18+ (apriboto nutraukimo)</t>
  </si>
  <si>
    <t>Swedbank Pensijos fondas 18+</t>
  </si>
  <si>
    <t>Goindex pasaulio akcijų</t>
  </si>
  <si>
    <t>Goindex subalansuotas</t>
  </si>
  <si>
    <t>Goindex, UAB</t>
  </si>
  <si>
    <t>S056</t>
  </si>
  <si>
    <t>S057</t>
  </si>
  <si>
    <t>Pensijos fondas 60+</t>
  </si>
  <si>
    <t>Pensijos fondas 50+</t>
  </si>
  <si>
    <t>Pensijos fondas 18+</t>
  </si>
  <si>
    <t>vidutinė metinė grąža [2] per praėjusius 1 metus, proc.</t>
  </si>
  <si>
    <t>Luminor ateitis 58 +</t>
  </si>
  <si>
    <t>Luminor ateitis 50 – 58</t>
  </si>
  <si>
    <t>Luminor ateitis 16 – 50</t>
  </si>
  <si>
    <t>UAB „SB Asset Management“</t>
  </si>
  <si>
    <t>2 m. 2 mėn.</t>
  </si>
  <si>
    <t>2 m. 5 mėn.</t>
  </si>
  <si>
    <t>10 m.  11 mėn.</t>
  </si>
  <si>
    <t>19 m. 9 mėn.</t>
  </si>
  <si>
    <t>19 m. 11 mėn.</t>
  </si>
  <si>
    <t>11 m. 4 mėn.</t>
  </si>
  <si>
    <t xml:space="preserve">17 m. </t>
  </si>
  <si>
    <t>4 m. 9 mėn.</t>
  </si>
  <si>
    <t>4 m. 7 mėn.</t>
  </si>
  <si>
    <t>2 m. 8 mėn.</t>
  </si>
  <si>
    <t>3 m. 4 mėn.</t>
  </si>
  <si>
    <r>
      <t xml:space="preserve">[5] Svertiniam vidurkiui apskaičiuoti naudotas </t>
    </r>
    <r>
      <rPr>
        <b/>
        <sz val="10"/>
        <color theme="1"/>
        <rFont val="Verdana"/>
        <family val="2"/>
        <charset val="186"/>
      </rPr>
      <t xml:space="preserve">2024-09-30 </t>
    </r>
    <r>
      <rPr>
        <sz val="10"/>
        <color theme="1"/>
        <rFont val="Verdana"/>
        <family val="2"/>
        <charset val="186"/>
      </rPr>
      <t>dienos fondų grynųjų aktyvų dydis.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</si>
</sst>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C00000"/>
      <name val="Verdana"/>
      <family val="2"/>
      <charset val="186"/>
    </font>
    <font>
      <sz val="8"/>
      <name val="Calibri"/>
      <family val="2"/>
      <scheme val="minor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vertical="center"/>
    </xf>
    <xf numFmtId="9" fontId="8" fillId="3" borderId="0" xfId="2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2" fontId="8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0" borderId="0" xfId="0" applyFont="1" applyFill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5" fontId="3" fillId="0" borderId="2" xfId="1" applyNumberFormat="1" applyFont="1" applyFill="1" applyBorder="1" applyAlignment="1">
      <alignment wrapText="1"/>
    </xf>
    <xf numFmtId="2" fontId="8" fillId="3" borderId="1" xfId="0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right" wrapText="1"/>
    </xf>
    <xf numFmtId="2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Alignment="1">
      <alignment horizontal="left"/>
    </xf>
    <xf numFmtId="2" fontId="3" fillId="0" borderId="0" xfId="0" applyNumberFormat="1" applyFont="1" applyFill="1" applyAlignment="1">
      <alignment horizontal="left"/>
    </xf>
    <xf numFmtId="14" fontId="3" fillId="0" borderId="2" xfId="0" applyNumberFormat="1" applyFont="1" applyFill="1" applyBorder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6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2" fontId="13" fillId="0" borderId="2" xfId="0" applyNumberFormat="1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/>
    <xf numFmtId="2" fontId="3" fillId="0" borderId="2" xfId="0" applyNumberFormat="1" applyFont="1" applyFill="1" applyBorder="1" applyAlignment="1">
      <alignment horizontal="left" vertical="center"/>
    </xf>
    <xf numFmtId="14" fontId="15" fillId="2" borderId="1" xfId="0" applyNumberFormat="1" applyFont="1" applyFill="1" applyBorder="1" applyAlignment="1">
      <alignment horizontal="left" wrapText="1"/>
    </xf>
    <xf numFmtId="165" fontId="8" fillId="3" borderId="1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5" xfId="1" applyNumberFormat="1" applyFont="1" applyFill="1" applyBorder="1" applyAlignment="1">
      <alignment horizontal="center" vertical="center" wrapText="1"/>
    </xf>
    <xf numFmtId="165" fontId="8" fillId="3" borderId="6" xfId="1" applyNumberFormat="1" applyFont="1" applyFill="1" applyBorder="1" applyAlignment="1">
      <alignment horizontal="center" vertical="center" wrapText="1"/>
    </xf>
    <xf numFmtId="165" fontId="8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FFFFC1"/>
      <color rgb="FFE31C48"/>
      <color rgb="FF99FFCC"/>
      <color rgb="FF903F98"/>
      <color rgb="FFFCAF17"/>
      <color rgb="FF00B07D"/>
      <color rgb="FF009900"/>
      <color rgb="FF9C5BCD"/>
      <color rgb="FF99FF99"/>
      <color rgb="FFC9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9465811910555754E-2"/>
                  <c:y val="0.11216546562327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0.17043661004209132"/>
                  <c:y val="-4.66856889476500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3.4883117532413258E-2"/>
                  <c:y val="4.51416430170939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-4.4193890683279113E-2"/>
                  <c:y val="3.8015770562727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dLbl>
              <c:idx val="4"/>
              <c:layout>
                <c:manualLayout>
                  <c:x val="0.1347623517688607"/>
                  <c:y val="-3.970220566383926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E2-4EFC-A634-C5BC003C0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„SB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informacija'!$B$2:$B$6</c:f>
              <c:numCache>
                <c:formatCode>0.00</c:formatCode>
                <c:ptCount val="5"/>
                <c:pt idx="0">
                  <c:v>88.91169099999999</c:v>
                </c:pt>
                <c:pt idx="1">
                  <c:v>154.20039200000002</c:v>
                </c:pt>
                <c:pt idx="2">
                  <c:v>85.634360999999998</c:v>
                </c:pt>
                <c:pt idx="3">
                  <c:v>33.686518</c:v>
                </c:pt>
                <c:pt idx="4">
                  <c:v>5.7319180000000003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2.3966388601351762E-2"/>
                  <c:y val="-4.247268863002918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0.24716930758457886"/>
                  <c:y val="-2.259468191547126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-6.2319964027934556E-2"/>
                  <c:y val="3.83055488305227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„SB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informacija'!$C$2:$C$6</c:f>
              <c:numCache>
                <c:formatCode>_-* #\ ##0\ _€_-;\-* #\ ##0\ _€_-;_-* "-"??\ _€_-;_-@_-</c:formatCode>
                <c:ptCount val="5"/>
                <c:pt idx="0">
                  <c:v>33519</c:v>
                </c:pt>
                <c:pt idx="1">
                  <c:v>36961</c:v>
                </c:pt>
                <c:pt idx="2">
                  <c:v>23162</c:v>
                </c:pt>
                <c:pt idx="3">
                  <c:v>46022</c:v>
                </c:pt>
                <c:pt idx="4">
                  <c:v>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32813591122453"/>
          <c:y val="0.16651391228766224"/>
          <c:w val="0.76300882871189213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informacija'!$C$22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informacija'!$A$23:$A$43</c:f>
              <c:strCache>
                <c:ptCount val="21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f>'Papildoma informacija'!$C$23:$C$43</c:f>
              <c:numCache>
                <c:formatCode>_-* #\ ##0\ _€_-;\-* #\ ##0\ _€_-;_-* "-"??\ _€_-;_-@_-</c:formatCode>
                <c:ptCount val="21"/>
                <c:pt idx="0">
                  <c:v>3148</c:v>
                </c:pt>
                <c:pt idx="1">
                  <c:v>1969</c:v>
                </c:pt>
                <c:pt idx="2">
                  <c:v>5579</c:v>
                </c:pt>
                <c:pt idx="3">
                  <c:v>5501</c:v>
                </c:pt>
                <c:pt idx="4">
                  <c:v>20764</c:v>
                </c:pt>
                <c:pt idx="5">
                  <c:v>3628</c:v>
                </c:pt>
                <c:pt idx="6">
                  <c:v>23480</c:v>
                </c:pt>
                <c:pt idx="7">
                  <c:v>5276</c:v>
                </c:pt>
                <c:pt idx="8">
                  <c:v>1135</c:v>
                </c:pt>
                <c:pt idx="9">
                  <c:v>2286</c:v>
                </c:pt>
                <c:pt idx="10">
                  <c:v>2379</c:v>
                </c:pt>
                <c:pt idx="11">
                  <c:v>14937</c:v>
                </c:pt>
                <c:pt idx="12">
                  <c:v>3560</c:v>
                </c:pt>
                <c:pt idx="13">
                  <c:v>176</c:v>
                </c:pt>
                <c:pt idx="14">
                  <c:v>980</c:v>
                </c:pt>
                <c:pt idx="15">
                  <c:v>1916</c:v>
                </c:pt>
                <c:pt idx="16">
                  <c:v>12255</c:v>
                </c:pt>
                <c:pt idx="17">
                  <c:v>2393</c:v>
                </c:pt>
                <c:pt idx="18">
                  <c:v>28302</c:v>
                </c:pt>
                <c:pt idx="19">
                  <c:v>1650</c:v>
                </c:pt>
                <c:pt idx="20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informacija'!$B$22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informacija'!$A$23:$A$43</c:f>
              <c:strCache>
                <c:ptCount val="21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f>'Papildoma informacija'!$B$23:$B$43</c:f>
              <c:numCache>
                <c:formatCode>0.00</c:formatCode>
                <c:ptCount val="21"/>
                <c:pt idx="0">
                  <c:v>12.955869</c:v>
                </c:pt>
                <c:pt idx="1">
                  <c:v>4.5189409999999999</c:v>
                </c:pt>
                <c:pt idx="2">
                  <c:v>27.232413999999999</c:v>
                </c:pt>
                <c:pt idx="3">
                  <c:v>15.898953000000001</c:v>
                </c:pt>
                <c:pt idx="4">
                  <c:v>93.594215000000005</c:v>
                </c:pt>
                <c:pt idx="5">
                  <c:v>9.7630239999999997</c:v>
                </c:pt>
                <c:pt idx="6">
                  <c:v>56.330964999999999</c:v>
                </c:pt>
                <c:pt idx="7">
                  <c:v>18.601441000000001</c:v>
                </c:pt>
                <c:pt idx="8">
                  <c:v>4.2162610000000003</c:v>
                </c:pt>
                <c:pt idx="9">
                  <c:v>3.9894539999999998</c:v>
                </c:pt>
                <c:pt idx="10">
                  <c:v>10.006646999999999</c:v>
                </c:pt>
                <c:pt idx="11">
                  <c:v>64.340643999999998</c:v>
                </c:pt>
                <c:pt idx="12">
                  <c:v>7.2976159999999997</c:v>
                </c:pt>
                <c:pt idx="13">
                  <c:v>0.81503999999999999</c:v>
                </c:pt>
                <c:pt idx="14">
                  <c:v>2.8920319999999999</c:v>
                </c:pt>
                <c:pt idx="15">
                  <c:v>1.330093</c:v>
                </c:pt>
                <c:pt idx="16">
                  <c:v>6.0572549999999996</c:v>
                </c:pt>
                <c:pt idx="17">
                  <c:v>9.3268500000000003</c:v>
                </c:pt>
                <c:pt idx="18">
                  <c:v>13.265248</c:v>
                </c:pt>
                <c:pt idx="19">
                  <c:v>5.2783540000000002</c:v>
                </c:pt>
                <c:pt idx="20">
                  <c:v>0.45356400000000002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44824</xdr:rowOff>
    </xdr:from>
    <xdr:to>
      <xdr:col>1</xdr:col>
      <xdr:colOff>1963271</xdr:colOff>
      <xdr:row>19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7</xdr:row>
      <xdr:rowOff>44823</xdr:rowOff>
    </xdr:from>
    <xdr:to>
      <xdr:col>6</xdr:col>
      <xdr:colOff>21963</xdr:colOff>
      <xdr:row>19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10433</xdr:colOff>
      <xdr:row>20</xdr:row>
      <xdr:rowOff>66475</xdr:rowOff>
    </xdr:from>
    <xdr:to>
      <xdr:col>16</xdr:col>
      <xdr:colOff>88355</xdr:colOff>
      <xdr:row>46</xdr:row>
      <xdr:rowOff>163285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</sheetPr>
  <dimension ref="A1:U40"/>
  <sheetViews>
    <sheetView showGridLines="0" tabSelected="1" zoomScale="85" zoomScaleNormal="85" workbookViewId="0">
      <selection activeCell="A6" sqref="A6"/>
    </sheetView>
  </sheetViews>
  <sheetFormatPr defaultColWidth="8.85546875" defaultRowHeight="12.75" x14ac:dyDescent="0.2"/>
  <cols>
    <col min="1" max="1" width="41" style="2" customWidth="1"/>
    <col min="2" max="2" width="7.85546875" style="2" bestFit="1" customWidth="1"/>
    <col min="3" max="3" width="44.42578125" style="2" customWidth="1"/>
    <col min="4" max="4" width="15.140625" style="1" customWidth="1"/>
    <col min="5" max="5" width="18.85546875" style="1" customWidth="1"/>
    <col min="6" max="6" width="16.85546875" style="1" customWidth="1"/>
    <col min="7" max="7" width="11.85546875" style="1" customWidth="1"/>
    <col min="8" max="8" width="2" style="1" customWidth="1"/>
    <col min="9" max="9" width="14.85546875" style="2" customWidth="1"/>
    <col min="10" max="10" width="17.7109375" style="2" customWidth="1"/>
    <col min="11" max="11" width="18.7109375" style="2" customWidth="1"/>
    <col min="12" max="12" width="19.5703125" style="2" customWidth="1"/>
    <col min="13" max="14" width="17.85546875" style="2" customWidth="1"/>
    <col min="15" max="15" width="2" style="1" customWidth="1"/>
    <col min="16" max="17" width="19.5703125" style="2" customWidth="1"/>
    <col min="18" max="18" width="2" style="1" customWidth="1"/>
    <col min="19" max="19" width="19.140625" style="2" customWidth="1"/>
    <col min="20" max="20" width="17.85546875" style="2" customWidth="1"/>
    <col min="21" max="21" width="9.85546875" style="2" bestFit="1" customWidth="1"/>
    <col min="22" max="22" width="5.5703125" style="1" bestFit="1" customWidth="1"/>
    <col min="23" max="23" width="9.85546875" style="1" bestFit="1" customWidth="1"/>
    <col min="24" max="16384" width="8.85546875" style="1"/>
  </cols>
  <sheetData>
    <row r="1" spans="1:21" x14ac:dyDescent="0.2">
      <c r="A1" s="71">
        <v>45565</v>
      </c>
      <c r="B1" s="19"/>
      <c r="C1" s="20"/>
      <c r="D1" s="21"/>
      <c r="E1" s="22"/>
      <c r="F1" s="22"/>
      <c r="G1" s="22"/>
      <c r="H1" s="22"/>
      <c r="I1" s="73" t="s">
        <v>23</v>
      </c>
      <c r="J1" s="74"/>
      <c r="K1" s="74"/>
      <c r="L1" s="74"/>
      <c r="M1" s="74"/>
      <c r="N1" s="75"/>
      <c r="O1" s="22"/>
      <c r="P1" s="72" t="s">
        <v>57</v>
      </c>
      <c r="Q1" s="72"/>
      <c r="R1" s="22"/>
      <c r="S1" s="76" t="s">
        <v>59</v>
      </c>
      <c r="T1" s="77"/>
    </row>
    <row r="2" spans="1:21" ht="78" customHeight="1" x14ac:dyDescent="0.2">
      <c r="A2" s="23" t="s">
        <v>0</v>
      </c>
      <c r="B2" s="23" t="s">
        <v>1</v>
      </c>
      <c r="C2" s="23" t="s">
        <v>2</v>
      </c>
      <c r="D2" s="24" t="s">
        <v>41</v>
      </c>
      <c r="E2" s="24" t="s">
        <v>30</v>
      </c>
      <c r="F2" s="24" t="s">
        <v>62</v>
      </c>
      <c r="G2" s="25" t="s">
        <v>12</v>
      </c>
      <c r="H2" s="22"/>
      <c r="I2" s="25" t="s">
        <v>53</v>
      </c>
      <c r="J2" s="68" t="s">
        <v>93</v>
      </c>
      <c r="K2" s="25" t="s">
        <v>55</v>
      </c>
      <c r="L2" s="25" t="s">
        <v>65</v>
      </c>
      <c r="M2" s="25" t="s">
        <v>66</v>
      </c>
      <c r="N2" s="62" t="s">
        <v>67</v>
      </c>
      <c r="O2" s="22"/>
      <c r="P2" s="25" t="s">
        <v>35</v>
      </c>
      <c r="Q2" s="25" t="s">
        <v>36</v>
      </c>
      <c r="R2" s="22"/>
      <c r="S2" s="25" t="s">
        <v>37</v>
      </c>
      <c r="T2" s="25" t="s">
        <v>38</v>
      </c>
    </row>
    <row r="3" spans="1:21" s="27" customFormat="1" x14ac:dyDescent="0.2">
      <c r="A3" s="26" t="s">
        <v>11</v>
      </c>
      <c r="B3" s="26"/>
      <c r="C3" s="26"/>
      <c r="E3" s="28"/>
      <c r="G3" s="51" t="s">
        <v>61</v>
      </c>
      <c r="I3" s="29">
        <v>4.624510631943318</v>
      </c>
      <c r="J3" s="29">
        <v>9.7044683032936803</v>
      </c>
      <c r="K3" s="29">
        <v>-0.76167292073322868</v>
      </c>
      <c r="L3" s="29">
        <v>-0.11963126637088518</v>
      </c>
      <c r="M3" s="29">
        <v>1.0780069230900684</v>
      </c>
      <c r="N3" s="29">
        <v>2.2026256836554743</v>
      </c>
      <c r="P3" s="29">
        <v>-1.4905996387870608</v>
      </c>
      <c r="Q3" s="29">
        <v>-0.44499511976209849</v>
      </c>
      <c r="S3" s="6"/>
      <c r="T3" s="6"/>
      <c r="U3" s="6"/>
    </row>
    <row r="4" spans="1:21" x14ac:dyDescent="0.2">
      <c r="A4" s="30" t="s">
        <v>3</v>
      </c>
      <c r="B4" s="30" t="s">
        <v>21</v>
      </c>
      <c r="C4" s="30" t="s">
        <v>94</v>
      </c>
      <c r="D4" s="70" t="s">
        <v>100</v>
      </c>
      <c r="E4" s="32">
        <v>0</v>
      </c>
      <c r="F4" s="31">
        <v>9.7630239999999997</v>
      </c>
      <c r="G4" s="33">
        <v>3628</v>
      </c>
      <c r="H4" s="34"/>
      <c r="I4" s="35">
        <v>4.6120843761172869</v>
      </c>
      <c r="J4" s="35">
        <v>10.124200225818614</v>
      </c>
      <c r="K4" s="35">
        <v>-0.44038511013380077</v>
      </c>
      <c r="L4" s="35">
        <v>-0.62383299394120906</v>
      </c>
      <c r="M4" s="35">
        <v>-3.7516457002151338E-2</v>
      </c>
      <c r="N4" s="35" t="s">
        <v>46</v>
      </c>
      <c r="O4" s="34"/>
      <c r="P4" s="35">
        <v>-0.15150923264205529</v>
      </c>
      <c r="Q4" s="35">
        <v>-0.15497942860437375</v>
      </c>
      <c r="R4" s="34"/>
      <c r="S4" s="35">
        <v>3.3271558350816091</v>
      </c>
      <c r="T4" s="35">
        <v>2.420939799930705</v>
      </c>
    </row>
    <row r="5" spans="1:21" x14ac:dyDescent="0.2">
      <c r="A5" s="30" t="s">
        <v>97</v>
      </c>
      <c r="B5" s="30" t="s">
        <v>19</v>
      </c>
      <c r="C5" s="30" t="s">
        <v>4</v>
      </c>
      <c r="D5" s="70" t="s">
        <v>101</v>
      </c>
      <c r="E5" s="32">
        <v>0</v>
      </c>
      <c r="F5" s="31">
        <v>12.955869</v>
      </c>
      <c r="G5" s="33">
        <v>3148</v>
      </c>
      <c r="H5" s="34"/>
      <c r="I5" s="35">
        <v>4.9684542586750702</v>
      </c>
      <c r="J5" s="35">
        <v>9.9091659785301331</v>
      </c>
      <c r="K5" s="35">
        <v>-0.61226024540887991</v>
      </c>
      <c r="L5" s="35">
        <v>0.10929811649409427</v>
      </c>
      <c r="M5" s="35">
        <v>1.4174370047728591</v>
      </c>
      <c r="N5" s="35">
        <v>2.820228373302669</v>
      </c>
      <c r="O5" s="34"/>
      <c r="P5" s="35">
        <v>-3.3559860796332219</v>
      </c>
      <c r="Q5" s="35">
        <v>-1.6825161126570398</v>
      </c>
      <c r="R5" s="34"/>
      <c r="S5" s="35">
        <v>4.7269027556931764</v>
      </c>
      <c r="T5" s="35">
        <v>3.7293428763619754</v>
      </c>
    </row>
    <row r="6" spans="1:21" x14ac:dyDescent="0.2">
      <c r="A6" s="30" t="s">
        <v>29</v>
      </c>
      <c r="B6" s="30" t="s">
        <v>13</v>
      </c>
      <c r="C6" s="30" t="s">
        <v>52</v>
      </c>
      <c r="D6" s="70" t="s">
        <v>102</v>
      </c>
      <c r="E6" s="32" t="s">
        <v>31</v>
      </c>
      <c r="F6" s="31">
        <v>10.006646999999999</v>
      </c>
      <c r="G6" s="33">
        <v>2379</v>
      </c>
      <c r="H6" s="34"/>
      <c r="I6" s="35">
        <v>4.1913214990138004</v>
      </c>
      <c r="J6" s="35">
        <v>9.029927760577916</v>
      </c>
      <c r="K6" s="35">
        <v>-1.2685871402746463</v>
      </c>
      <c r="L6" s="35">
        <v>7.5894215087690675E-2</v>
      </c>
      <c r="M6" s="35">
        <v>0.67514094782037404</v>
      </c>
      <c r="N6" s="35">
        <v>1.4029992412400771</v>
      </c>
      <c r="O6" s="34"/>
      <c r="P6" s="35">
        <v>-0.38192351694368298</v>
      </c>
      <c r="Q6" s="35">
        <v>0.87430091571785162</v>
      </c>
      <c r="R6" s="34"/>
      <c r="S6" s="35">
        <v>4.7528084924502112</v>
      </c>
      <c r="T6" s="35">
        <v>3.6736904107665036</v>
      </c>
    </row>
    <row r="7" spans="1:21" x14ac:dyDescent="0.2">
      <c r="A7" s="6"/>
      <c r="B7" s="6"/>
      <c r="C7" s="6"/>
      <c r="D7" s="58"/>
      <c r="E7" s="37"/>
      <c r="F7" s="36"/>
      <c r="G7" s="38"/>
      <c r="H7" s="34"/>
      <c r="I7" s="39"/>
      <c r="J7" s="39"/>
      <c r="K7" s="39"/>
      <c r="L7" s="39"/>
      <c r="M7" s="39"/>
      <c r="N7" s="39"/>
      <c r="O7" s="34"/>
      <c r="P7" s="39"/>
      <c r="Q7" s="39"/>
      <c r="R7" s="34"/>
      <c r="S7" s="39"/>
      <c r="T7" s="39"/>
    </row>
    <row r="8" spans="1:21" s="27" customFormat="1" x14ac:dyDescent="0.2">
      <c r="A8" s="40" t="s">
        <v>9</v>
      </c>
      <c r="B8" s="26"/>
      <c r="C8" s="26"/>
      <c r="D8" s="59"/>
      <c r="E8" s="41"/>
      <c r="F8" s="42"/>
      <c r="G8" s="51" t="s">
        <v>61</v>
      </c>
      <c r="H8" s="43"/>
      <c r="I8" s="29">
        <v>9.3922590357866849</v>
      </c>
      <c r="J8" s="29">
        <v>15.623293237172728</v>
      </c>
      <c r="K8" s="29">
        <v>2.3047856782982334</v>
      </c>
      <c r="L8" s="29">
        <v>3.8248761397448137</v>
      </c>
      <c r="M8" s="29">
        <v>4.0202581308377123</v>
      </c>
      <c r="N8" s="29">
        <v>4.7139402959687153</v>
      </c>
      <c r="O8" s="43"/>
      <c r="P8" s="29">
        <v>2.9427517042331641</v>
      </c>
      <c r="Q8" s="29">
        <v>4.4026512674035727</v>
      </c>
      <c r="R8" s="43"/>
      <c r="S8" s="44"/>
      <c r="T8" s="44"/>
      <c r="U8" s="6"/>
    </row>
    <row r="9" spans="1:21" x14ac:dyDescent="0.2">
      <c r="A9" s="30" t="s">
        <v>3</v>
      </c>
      <c r="B9" s="30" t="s">
        <v>20</v>
      </c>
      <c r="C9" s="30" t="s">
        <v>95</v>
      </c>
      <c r="D9" s="70" t="s">
        <v>102</v>
      </c>
      <c r="E9" s="32" t="s">
        <v>32</v>
      </c>
      <c r="F9" s="31">
        <v>56.330964999999999</v>
      </c>
      <c r="G9" s="33">
        <v>23480</v>
      </c>
      <c r="H9" s="34"/>
      <c r="I9" s="35">
        <v>9.736793668323207</v>
      </c>
      <c r="J9" s="35">
        <v>16.240982647689584</v>
      </c>
      <c r="K9" s="35">
        <v>2.1707829059337769</v>
      </c>
      <c r="L9" s="35">
        <v>3.6027529780127354</v>
      </c>
      <c r="M9" s="35">
        <v>3.4330779618840346</v>
      </c>
      <c r="N9" s="35">
        <v>4.3495266115522124</v>
      </c>
      <c r="O9" s="34"/>
      <c r="P9" s="35">
        <v>3.953739143814694</v>
      </c>
      <c r="Q9" s="35">
        <v>4.7498048124953618</v>
      </c>
      <c r="R9" s="34"/>
      <c r="S9" s="35">
        <v>6.6917344303515538</v>
      </c>
      <c r="T9" s="35">
        <v>5.8993057817039478</v>
      </c>
    </row>
    <row r="10" spans="1:21" x14ac:dyDescent="0.2">
      <c r="A10" s="30" t="s">
        <v>97</v>
      </c>
      <c r="B10" s="30" t="s">
        <v>17</v>
      </c>
      <c r="C10" s="30" t="s">
        <v>6</v>
      </c>
      <c r="D10" s="70" t="s">
        <v>103</v>
      </c>
      <c r="E10" s="32" t="s">
        <v>33</v>
      </c>
      <c r="F10" s="31">
        <v>4.5189409999999999</v>
      </c>
      <c r="G10" s="33">
        <v>1969</v>
      </c>
      <c r="H10" s="34"/>
      <c r="I10" s="35">
        <v>9.1266719118804129</v>
      </c>
      <c r="J10" s="35">
        <v>18.076049943246318</v>
      </c>
      <c r="K10" s="35">
        <v>0.47716048052148796</v>
      </c>
      <c r="L10" s="35">
        <v>2.4817138407009276</v>
      </c>
      <c r="M10" s="35">
        <v>3.4155093132095082</v>
      </c>
      <c r="N10" s="35" t="s">
        <v>46</v>
      </c>
      <c r="O10" s="34"/>
      <c r="P10" s="35">
        <v>0.9848953199840027</v>
      </c>
      <c r="Q10" s="35">
        <v>3.2798495828309626</v>
      </c>
      <c r="R10" s="34"/>
      <c r="S10" s="35">
        <v>10.506344868583746</v>
      </c>
      <c r="T10" s="35">
        <v>8.734849291284025</v>
      </c>
    </row>
    <row r="11" spans="1:21" x14ac:dyDescent="0.2">
      <c r="A11" s="30" t="s">
        <v>97</v>
      </c>
      <c r="B11" s="30" t="s">
        <v>18</v>
      </c>
      <c r="C11" s="30" t="s">
        <v>5</v>
      </c>
      <c r="D11" s="70" t="s">
        <v>104</v>
      </c>
      <c r="E11" s="32" t="s">
        <v>33</v>
      </c>
      <c r="F11" s="31">
        <v>27.232413999999999</v>
      </c>
      <c r="G11" s="33">
        <v>5579</v>
      </c>
      <c r="H11" s="34"/>
      <c r="I11" s="35">
        <v>9.4342655094824757</v>
      </c>
      <c r="J11" s="35">
        <v>14.648930796430371</v>
      </c>
      <c r="K11" s="35">
        <v>2.9460570250267271</v>
      </c>
      <c r="L11" s="35">
        <v>4.5072278119844711</v>
      </c>
      <c r="M11" s="35">
        <v>5.3352076528560444</v>
      </c>
      <c r="N11" s="35">
        <v>5.4677395919983329</v>
      </c>
      <c r="O11" s="34"/>
      <c r="P11" s="35">
        <v>1.0509849410131444</v>
      </c>
      <c r="Q11" s="35">
        <v>3.8708724970416331</v>
      </c>
      <c r="R11" s="34"/>
      <c r="S11" s="35">
        <v>7.9129177579654071</v>
      </c>
      <c r="T11" s="35">
        <v>7.1251725106579125</v>
      </c>
    </row>
    <row r="12" spans="1:21" x14ac:dyDescent="0.2">
      <c r="A12" s="30" t="s">
        <v>45</v>
      </c>
      <c r="B12" s="30" t="s">
        <v>43</v>
      </c>
      <c r="C12" s="61" t="s">
        <v>72</v>
      </c>
      <c r="D12" s="70" t="s">
        <v>105</v>
      </c>
      <c r="E12" s="32" t="s">
        <v>47</v>
      </c>
      <c r="F12" s="31">
        <v>0.81503999999999999</v>
      </c>
      <c r="G12" s="33">
        <v>176</v>
      </c>
      <c r="H12" s="34"/>
      <c r="I12" s="35">
        <v>5.5307489344428751</v>
      </c>
      <c r="J12" s="35">
        <v>11.66111886610115</v>
      </c>
      <c r="K12" s="35">
        <v>-0.84768533522996403</v>
      </c>
      <c r="L12" s="35" t="s">
        <v>46</v>
      </c>
      <c r="M12" s="35" t="s">
        <v>46</v>
      </c>
      <c r="N12" s="35" t="s">
        <v>46</v>
      </c>
      <c r="O12" s="34"/>
      <c r="P12" s="35">
        <v>-0.57226094614020173</v>
      </c>
      <c r="Q12" s="35" t="s">
        <v>46</v>
      </c>
      <c r="R12" s="34"/>
      <c r="S12" s="35" t="s">
        <v>46</v>
      </c>
      <c r="T12" s="35" t="s">
        <v>46</v>
      </c>
    </row>
    <row r="13" spans="1:21" x14ac:dyDescent="0.2">
      <c r="A13" s="30" t="s">
        <v>45</v>
      </c>
      <c r="B13" s="30" t="s">
        <v>44</v>
      </c>
      <c r="C13" s="30" t="s">
        <v>78</v>
      </c>
      <c r="D13" s="70" t="s">
        <v>105</v>
      </c>
      <c r="E13" s="32" t="s">
        <v>48</v>
      </c>
      <c r="F13" s="31">
        <v>2.8920319999999999</v>
      </c>
      <c r="G13" s="33">
        <v>980</v>
      </c>
      <c r="H13" s="34"/>
      <c r="I13" s="35">
        <v>7.9522862823061757</v>
      </c>
      <c r="J13" s="35">
        <v>14.32672983060581</v>
      </c>
      <c r="K13" s="35">
        <v>1.6937206209723277</v>
      </c>
      <c r="L13" s="35" t="s">
        <v>46</v>
      </c>
      <c r="M13" s="35" t="s">
        <v>46</v>
      </c>
      <c r="N13" s="35" t="s">
        <v>46</v>
      </c>
      <c r="O13" s="34"/>
      <c r="P13" s="35">
        <v>2.6730753750052516</v>
      </c>
      <c r="Q13" s="35" t="s">
        <v>46</v>
      </c>
      <c r="R13" s="34"/>
      <c r="S13" s="35" t="s">
        <v>46</v>
      </c>
      <c r="T13" s="35" t="s">
        <v>46</v>
      </c>
    </row>
    <row r="14" spans="1:21" x14ac:dyDescent="0.2">
      <c r="A14" s="30" t="s">
        <v>45</v>
      </c>
      <c r="B14" s="30" t="s">
        <v>76</v>
      </c>
      <c r="C14" s="30" t="s">
        <v>90</v>
      </c>
      <c r="D14" s="70" t="s">
        <v>99</v>
      </c>
      <c r="E14" s="32" t="s">
        <v>47</v>
      </c>
      <c r="F14" s="31">
        <v>1.330093</v>
      </c>
      <c r="G14" s="33">
        <v>1916</v>
      </c>
      <c r="H14" s="34"/>
      <c r="I14" s="35">
        <v>5.2943462210996772</v>
      </c>
      <c r="J14" s="35">
        <v>11.512345679012359</v>
      </c>
      <c r="K14" s="35" t="s">
        <v>46</v>
      </c>
      <c r="L14" s="35" t="s">
        <v>46</v>
      </c>
      <c r="M14" s="35" t="s">
        <v>46</v>
      </c>
      <c r="N14" s="35" t="s">
        <v>46</v>
      </c>
      <c r="O14" s="34"/>
      <c r="P14" s="35" t="s">
        <v>46</v>
      </c>
      <c r="Q14" s="66" t="s">
        <v>46</v>
      </c>
      <c r="R14" s="34"/>
      <c r="S14" s="35" t="s">
        <v>46</v>
      </c>
      <c r="T14" s="35" t="s">
        <v>46</v>
      </c>
    </row>
    <row r="15" spans="1:21" x14ac:dyDescent="0.2">
      <c r="A15" s="30" t="s">
        <v>45</v>
      </c>
      <c r="B15" s="30" t="s">
        <v>75</v>
      </c>
      <c r="C15" s="30" t="s">
        <v>91</v>
      </c>
      <c r="D15" s="70" t="s">
        <v>99</v>
      </c>
      <c r="E15" s="32" t="s">
        <v>48</v>
      </c>
      <c r="F15" s="31">
        <v>6.0572549999999996</v>
      </c>
      <c r="G15" s="33">
        <v>12255</v>
      </c>
      <c r="H15" s="34"/>
      <c r="I15" s="35">
        <v>8.1403171552138396</v>
      </c>
      <c r="J15" s="35">
        <v>14.617500254660287</v>
      </c>
      <c r="K15" s="35" t="s">
        <v>46</v>
      </c>
      <c r="L15" s="35" t="s">
        <v>46</v>
      </c>
      <c r="M15" s="35" t="s">
        <v>46</v>
      </c>
      <c r="N15" s="35" t="s">
        <v>46</v>
      </c>
      <c r="O15" s="34"/>
      <c r="P15" s="35" t="s">
        <v>46</v>
      </c>
      <c r="Q15" s="66" t="s">
        <v>46</v>
      </c>
      <c r="R15" s="34"/>
      <c r="S15" s="35" t="s">
        <v>46</v>
      </c>
      <c r="T15" s="35" t="s">
        <v>46</v>
      </c>
    </row>
    <row r="16" spans="1:21" x14ac:dyDescent="0.2">
      <c r="A16" s="30" t="s">
        <v>29</v>
      </c>
      <c r="B16" s="30" t="s">
        <v>49</v>
      </c>
      <c r="C16" s="30" t="s">
        <v>50</v>
      </c>
      <c r="D16" s="70" t="s">
        <v>106</v>
      </c>
      <c r="E16" s="32" t="s">
        <v>64</v>
      </c>
      <c r="F16" s="31">
        <v>3.9894539999999998</v>
      </c>
      <c r="G16" s="33">
        <v>2286</v>
      </c>
      <c r="H16" s="34"/>
      <c r="I16" s="35">
        <v>9.5164941785252477</v>
      </c>
      <c r="J16" s="35">
        <v>15.41411042944787</v>
      </c>
      <c r="K16" s="35">
        <v>2.9767269497399163</v>
      </c>
      <c r="L16" s="35" t="s">
        <v>46</v>
      </c>
      <c r="M16" s="35" t="s">
        <v>46</v>
      </c>
      <c r="N16" s="35" t="s">
        <v>46</v>
      </c>
      <c r="O16" s="34"/>
      <c r="P16" s="35">
        <v>4.7123431280635897</v>
      </c>
      <c r="Q16" s="35" t="s">
        <v>46</v>
      </c>
      <c r="R16" s="34"/>
      <c r="S16" s="35" t="s">
        <v>46</v>
      </c>
      <c r="T16" s="35" t="s">
        <v>46</v>
      </c>
    </row>
    <row r="17" spans="1:21" x14ac:dyDescent="0.2">
      <c r="A17" s="30" t="s">
        <v>87</v>
      </c>
      <c r="B17" s="30" t="s">
        <v>89</v>
      </c>
      <c r="C17" s="30" t="s">
        <v>86</v>
      </c>
      <c r="D17" s="70" t="s">
        <v>98</v>
      </c>
      <c r="E17" s="32" t="s">
        <v>48</v>
      </c>
      <c r="F17" s="31">
        <v>0.45356400000000002</v>
      </c>
      <c r="G17" s="33">
        <v>179</v>
      </c>
      <c r="H17" s="34"/>
      <c r="I17" s="35">
        <v>10.490902198635332</v>
      </c>
      <c r="J17" s="35">
        <v>15.687636435800734</v>
      </c>
      <c r="K17" s="35" t="s">
        <v>46</v>
      </c>
      <c r="L17" s="35" t="s">
        <v>46</v>
      </c>
      <c r="M17" s="35" t="s">
        <v>46</v>
      </c>
      <c r="N17" s="35" t="s">
        <v>46</v>
      </c>
      <c r="O17" s="34"/>
      <c r="P17" s="35" t="s">
        <v>46</v>
      </c>
      <c r="Q17" s="66" t="s">
        <v>46</v>
      </c>
      <c r="R17" s="34"/>
      <c r="S17" s="35" t="s">
        <v>46</v>
      </c>
      <c r="T17" s="35" t="s">
        <v>46</v>
      </c>
    </row>
    <row r="18" spans="1:21" x14ac:dyDescent="0.2">
      <c r="A18" s="6"/>
      <c r="B18" s="6"/>
      <c r="C18" s="6"/>
      <c r="D18" s="58"/>
      <c r="E18" s="37"/>
      <c r="F18" s="36"/>
      <c r="G18" s="52"/>
      <c r="H18" s="34"/>
      <c r="I18" s="39"/>
      <c r="J18" s="39"/>
      <c r="K18" s="39"/>
      <c r="L18" s="39"/>
      <c r="M18" s="39"/>
      <c r="N18" s="39"/>
      <c r="O18" s="34"/>
      <c r="P18" s="39"/>
      <c r="Q18" s="39"/>
      <c r="R18" s="34"/>
      <c r="S18" s="39"/>
      <c r="T18" s="39"/>
    </row>
    <row r="19" spans="1:21" s="27" customFormat="1" x14ac:dyDescent="0.2">
      <c r="A19" s="26" t="s">
        <v>10</v>
      </c>
      <c r="B19" s="26"/>
      <c r="C19" s="26"/>
      <c r="D19" s="60"/>
      <c r="E19" s="41"/>
      <c r="F19" s="42"/>
      <c r="G19" s="51" t="s">
        <v>61</v>
      </c>
      <c r="H19" s="43"/>
      <c r="I19" s="29">
        <v>14.010285479176884</v>
      </c>
      <c r="J19" s="29">
        <v>19.867715423443279</v>
      </c>
      <c r="K19" s="29">
        <v>6.6606119117912597</v>
      </c>
      <c r="L19" s="29">
        <v>9.142799387952449</v>
      </c>
      <c r="M19" s="29">
        <v>8.3168173982460303</v>
      </c>
      <c r="N19" s="29">
        <v>7.8376348831826155</v>
      </c>
      <c r="O19" s="43"/>
      <c r="P19" s="29">
        <v>8.4966258064286873</v>
      </c>
      <c r="Q19" s="29">
        <v>11.227463108754719</v>
      </c>
      <c r="R19" s="43"/>
      <c r="S19" s="44"/>
      <c r="T19" s="44"/>
      <c r="U19" s="6"/>
    </row>
    <row r="20" spans="1:21" x14ac:dyDescent="0.2">
      <c r="A20" s="30" t="s">
        <v>3</v>
      </c>
      <c r="B20" s="30" t="s">
        <v>22</v>
      </c>
      <c r="C20" s="30" t="s">
        <v>96</v>
      </c>
      <c r="D20" s="70" t="s">
        <v>104</v>
      </c>
      <c r="E20" s="32" t="s">
        <v>34</v>
      </c>
      <c r="F20" s="31">
        <v>18.601441000000001</v>
      </c>
      <c r="G20" s="33">
        <v>5276</v>
      </c>
      <c r="H20" s="34"/>
      <c r="I20" s="35">
        <v>15.199161425576513</v>
      </c>
      <c r="J20" s="35">
        <v>21.347073978652919</v>
      </c>
      <c r="K20" s="35">
        <v>4.5742523406711477</v>
      </c>
      <c r="L20" s="35">
        <v>8.8613954176600895</v>
      </c>
      <c r="M20" s="35">
        <v>7.6025764756686431</v>
      </c>
      <c r="N20" s="35">
        <v>7.6810498474323419</v>
      </c>
      <c r="O20" s="34"/>
      <c r="P20" s="35">
        <v>8.5422878682420933</v>
      </c>
      <c r="Q20" s="35">
        <v>10.875466177288118</v>
      </c>
      <c r="R20" s="34"/>
      <c r="S20" s="35">
        <v>13.461265821017932</v>
      </c>
      <c r="T20" s="35">
        <v>12.42238713249106</v>
      </c>
    </row>
    <row r="21" spans="1:21" x14ac:dyDescent="0.2">
      <c r="A21" s="30" t="s">
        <v>97</v>
      </c>
      <c r="B21" s="30" t="s">
        <v>15</v>
      </c>
      <c r="C21" s="30" t="s">
        <v>7</v>
      </c>
      <c r="D21" s="70" t="s">
        <v>101</v>
      </c>
      <c r="E21" s="32" t="s">
        <v>34</v>
      </c>
      <c r="F21" s="31">
        <v>15.898953000000001</v>
      </c>
      <c r="G21" s="33">
        <v>5501</v>
      </c>
      <c r="H21" s="34"/>
      <c r="I21" s="35">
        <v>13.490451036164153</v>
      </c>
      <c r="J21" s="35">
        <v>18.247248094834887</v>
      </c>
      <c r="K21" s="35">
        <v>8.4531062639384267</v>
      </c>
      <c r="L21" s="35">
        <v>9.2997886256925391</v>
      </c>
      <c r="M21" s="35">
        <v>8.684432406411613</v>
      </c>
      <c r="N21" s="35">
        <v>6.9810836967997503</v>
      </c>
      <c r="O21" s="34"/>
      <c r="P21" s="35">
        <v>7.5688245968006607</v>
      </c>
      <c r="Q21" s="35">
        <v>11.890138608589851</v>
      </c>
      <c r="R21" s="34"/>
      <c r="S21" s="35">
        <v>11.974457581813681</v>
      </c>
      <c r="T21" s="35">
        <v>10.548132674912496</v>
      </c>
    </row>
    <row r="22" spans="1:21" x14ac:dyDescent="0.2">
      <c r="A22" s="30" t="s">
        <v>97</v>
      </c>
      <c r="B22" s="30" t="s">
        <v>16</v>
      </c>
      <c r="C22" s="30" t="s">
        <v>8</v>
      </c>
      <c r="D22" s="70" t="s">
        <v>104</v>
      </c>
      <c r="E22" s="32" t="s">
        <v>34</v>
      </c>
      <c r="F22" s="31">
        <v>93.594215000000005</v>
      </c>
      <c r="G22" s="33">
        <v>20764</v>
      </c>
      <c r="H22" s="34"/>
      <c r="I22" s="35">
        <v>13.858664528690866</v>
      </c>
      <c r="J22" s="35">
        <v>18.911483253588514</v>
      </c>
      <c r="K22" s="35">
        <v>6.7890588700958654</v>
      </c>
      <c r="L22" s="35">
        <v>9.1830117662827568</v>
      </c>
      <c r="M22" s="35">
        <v>8.9487005835691349</v>
      </c>
      <c r="N22" s="35">
        <v>8.2380746680565728</v>
      </c>
      <c r="O22" s="34"/>
      <c r="P22" s="35">
        <v>7.9711146566746383</v>
      </c>
      <c r="Q22" s="35">
        <v>10.60646768512008</v>
      </c>
      <c r="R22" s="34"/>
      <c r="S22" s="35">
        <v>12.047056123762806</v>
      </c>
      <c r="T22" s="35">
        <v>11.487080200987062</v>
      </c>
    </row>
    <row r="23" spans="1:21" x14ac:dyDescent="0.2">
      <c r="A23" s="30" t="s">
        <v>29</v>
      </c>
      <c r="B23" s="30" t="s">
        <v>14</v>
      </c>
      <c r="C23" s="30" t="s">
        <v>51</v>
      </c>
      <c r="D23" s="70" t="s">
        <v>102</v>
      </c>
      <c r="E23" s="32" t="s">
        <v>34</v>
      </c>
      <c r="F23" s="31">
        <v>64.340643999999998</v>
      </c>
      <c r="G23" s="33">
        <v>14937</v>
      </c>
      <c r="H23" s="34"/>
      <c r="I23" s="35">
        <v>14.085206806607875</v>
      </c>
      <c r="J23" s="35">
        <v>20.553878461740371</v>
      </c>
      <c r="K23" s="35">
        <v>6.25274805319469</v>
      </c>
      <c r="L23" s="35">
        <v>9.126867139203366</v>
      </c>
      <c r="M23" s="35">
        <v>7.5132911845851025</v>
      </c>
      <c r="N23" s="35">
        <v>7.5120572753231141</v>
      </c>
      <c r="O23" s="34"/>
      <c r="P23" s="35">
        <v>9.5870823490033619</v>
      </c>
      <c r="Q23" s="35">
        <v>12.068819044209821</v>
      </c>
      <c r="R23" s="34"/>
      <c r="S23" s="35">
        <v>12.74641066964409</v>
      </c>
      <c r="T23" s="35">
        <v>11.485070823073084</v>
      </c>
    </row>
    <row r="24" spans="1:21" x14ac:dyDescent="0.2">
      <c r="A24" s="30" t="s">
        <v>29</v>
      </c>
      <c r="B24" s="30" t="s">
        <v>71</v>
      </c>
      <c r="C24" s="30" t="s">
        <v>77</v>
      </c>
      <c r="D24" s="70" t="s">
        <v>107</v>
      </c>
      <c r="E24" s="32" t="s">
        <v>34</v>
      </c>
      <c r="F24" s="31">
        <v>7.2976159999999997</v>
      </c>
      <c r="G24" s="33">
        <v>3560</v>
      </c>
      <c r="H24" s="34"/>
      <c r="I24" s="66">
        <v>17.111380634728125</v>
      </c>
      <c r="J24" s="66">
        <v>24.846460510720835</v>
      </c>
      <c r="K24" s="66" t="s">
        <v>46</v>
      </c>
      <c r="L24" s="66" t="s">
        <v>46</v>
      </c>
      <c r="M24" s="66" t="s">
        <v>46</v>
      </c>
      <c r="N24" s="66" t="s">
        <v>46</v>
      </c>
      <c r="O24" s="34"/>
      <c r="P24" s="35" t="s">
        <v>46</v>
      </c>
      <c r="Q24" s="35" t="s">
        <v>46</v>
      </c>
      <c r="R24" s="34"/>
      <c r="S24" s="35" t="s">
        <v>46</v>
      </c>
      <c r="T24" s="66" t="s">
        <v>46</v>
      </c>
    </row>
    <row r="25" spans="1:21" x14ac:dyDescent="0.2">
      <c r="A25" s="30" t="s">
        <v>45</v>
      </c>
      <c r="B25" s="30" t="s">
        <v>42</v>
      </c>
      <c r="C25" s="30" t="s">
        <v>73</v>
      </c>
      <c r="D25" s="70" t="s">
        <v>105</v>
      </c>
      <c r="E25" s="32" t="s">
        <v>34</v>
      </c>
      <c r="F25" s="31">
        <v>9.3268500000000003</v>
      </c>
      <c r="G25" s="33">
        <v>2393</v>
      </c>
      <c r="H25" s="34"/>
      <c r="I25" s="35">
        <v>11.889394161654687</v>
      </c>
      <c r="J25" s="35">
        <v>18.891746551321042</v>
      </c>
      <c r="K25" s="35">
        <v>6.6687392134935575</v>
      </c>
      <c r="L25" s="35" t="s">
        <v>46</v>
      </c>
      <c r="M25" s="35" t="s">
        <v>46</v>
      </c>
      <c r="N25" s="35" t="s">
        <v>46</v>
      </c>
      <c r="O25" s="34"/>
      <c r="P25" s="35">
        <v>7.7381505450240473</v>
      </c>
      <c r="Q25" s="35" t="s">
        <v>46</v>
      </c>
      <c r="R25" s="34"/>
      <c r="S25" s="66" t="s">
        <v>46</v>
      </c>
      <c r="T25" s="66" t="s">
        <v>46</v>
      </c>
    </row>
    <row r="26" spans="1:21" x14ac:dyDescent="0.2">
      <c r="A26" s="30" t="s">
        <v>45</v>
      </c>
      <c r="B26" s="30" t="s">
        <v>74</v>
      </c>
      <c r="C26" s="30" t="s">
        <v>92</v>
      </c>
      <c r="D26" s="70" t="s">
        <v>99</v>
      </c>
      <c r="E26" s="32" t="s">
        <v>34</v>
      </c>
      <c r="F26" s="31">
        <v>13.265248</v>
      </c>
      <c r="G26" s="33">
        <v>28302</v>
      </c>
      <c r="H26" s="34"/>
      <c r="I26" s="35">
        <v>12.997471673377659</v>
      </c>
      <c r="J26" s="35">
        <v>19.902623211446759</v>
      </c>
      <c r="K26" s="35" t="s">
        <v>46</v>
      </c>
      <c r="L26" s="35" t="s">
        <v>46</v>
      </c>
      <c r="M26" s="35" t="s">
        <v>46</v>
      </c>
      <c r="N26" s="35" t="s">
        <v>46</v>
      </c>
      <c r="O26" s="34"/>
      <c r="P26" s="35" t="s">
        <v>46</v>
      </c>
      <c r="Q26" s="66" t="s">
        <v>46</v>
      </c>
      <c r="R26" s="34"/>
      <c r="S26" s="66" t="s">
        <v>46</v>
      </c>
      <c r="T26" s="66" t="s">
        <v>46</v>
      </c>
    </row>
    <row r="27" spans="1:21" x14ac:dyDescent="0.2">
      <c r="A27" s="30" t="s">
        <v>3</v>
      </c>
      <c r="B27" s="30" t="s">
        <v>69</v>
      </c>
      <c r="C27" s="30" t="s">
        <v>70</v>
      </c>
      <c r="D27" s="70" t="s">
        <v>108</v>
      </c>
      <c r="E27" s="32" t="s">
        <v>34</v>
      </c>
      <c r="F27" s="31">
        <v>4.2162610000000003</v>
      </c>
      <c r="G27" s="33">
        <v>1135</v>
      </c>
      <c r="H27" s="34"/>
      <c r="I27" s="35">
        <v>12.852494577006501</v>
      </c>
      <c r="J27" s="35">
        <v>19.988468191428012</v>
      </c>
      <c r="K27" s="35">
        <v>5.8001722332444938</v>
      </c>
      <c r="L27" s="35" t="s">
        <v>46</v>
      </c>
      <c r="M27" s="35" t="s">
        <v>46</v>
      </c>
      <c r="N27" s="35" t="s">
        <v>46</v>
      </c>
      <c r="O27" s="34"/>
      <c r="P27" s="35" t="s">
        <v>46</v>
      </c>
      <c r="Q27" s="66" t="s">
        <v>46</v>
      </c>
      <c r="R27" s="34"/>
      <c r="S27" s="66" t="s">
        <v>46</v>
      </c>
      <c r="T27" s="66" t="s">
        <v>46</v>
      </c>
    </row>
    <row r="28" spans="1:21" x14ac:dyDescent="0.2">
      <c r="A28" s="30" t="s">
        <v>87</v>
      </c>
      <c r="B28" s="30" t="s">
        <v>88</v>
      </c>
      <c r="C28" s="30" t="s">
        <v>85</v>
      </c>
      <c r="D28" s="70" t="s">
        <v>98</v>
      </c>
      <c r="E28" s="32" t="s">
        <v>34</v>
      </c>
      <c r="F28" s="31">
        <v>5.2783540000000002</v>
      </c>
      <c r="G28" s="33">
        <v>1650</v>
      </c>
      <c r="H28" s="34"/>
      <c r="I28" s="35">
        <v>16.09195402298851</v>
      </c>
      <c r="J28" s="35">
        <v>22.783912470874277</v>
      </c>
      <c r="K28" s="35" t="s">
        <v>46</v>
      </c>
      <c r="L28" s="35" t="s">
        <v>46</v>
      </c>
      <c r="M28" s="35" t="s">
        <v>46</v>
      </c>
      <c r="N28" s="35" t="s">
        <v>46</v>
      </c>
      <c r="O28" s="34"/>
      <c r="P28" s="35" t="s">
        <v>46</v>
      </c>
      <c r="Q28" s="66" t="s">
        <v>46</v>
      </c>
      <c r="R28" s="34"/>
      <c r="S28" s="66" t="s">
        <v>46</v>
      </c>
      <c r="T28" s="66" t="s">
        <v>46</v>
      </c>
    </row>
    <row r="29" spans="1:21" x14ac:dyDescent="0.2">
      <c r="D29" s="7"/>
      <c r="E29" s="8"/>
      <c r="F29" s="7"/>
      <c r="G29" s="9"/>
      <c r="H29" s="3"/>
      <c r="I29" s="4"/>
      <c r="J29" s="4"/>
      <c r="K29" s="4"/>
      <c r="L29" s="4"/>
      <c r="M29" s="4"/>
      <c r="N29" s="4"/>
      <c r="O29" s="3"/>
      <c r="P29" s="4"/>
      <c r="Q29" s="4"/>
      <c r="R29" s="3"/>
      <c r="S29" s="4"/>
      <c r="T29" s="4"/>
    </row>
    <row r="31" spans="1:21" s="18" customFormat="1" x14ac:dyDescent="0.25">
      <c r="A31" s="5"/>
      <c r="B31" s="5"/>
      <c r="C31" s="5"/>
      <c r="D31" s="45"/>
      <c r="E31" s="46"/>
      <c r="F31" s="47"/>
      <c r="G31" s="48" t="s">
        <v>68</v>
      </c>
      <c r="H31" s="47"/>
      <c r="I31" s="49">
        <v>11.876259733169206</v>
      </c>
      <c r="J31" s="49">
        <v>17.769732177590157</v>
      </c>
      <c r="K31" s="49">
        <v>4.6619401991469234</v>
      </c>
      <c r="L31" s="49">
        <v>8.4064488715753605</v>
      </c>
      <c r="M31" s="49">
        <v>6.3187862475651375</v>
      </c>
      <c r="N31" s="49">
        <v>6.6491054246277264</v>
      </c>
      <c r="O31" s="49"/>
      <c r="P31" s="49">
        <v>5.8963589712003648</v>
      </c>
      <c r="Q31" s="49">
        <v>8.0889016579069981</v>
      </c>
      <c r="R31" s="47"/>
      <c r="S31" s="50"/>
      <c r="T31" s="50"/>
      <c r="U31" s="5"/>
    </row>
    <row r="33" spans="1:21" x14ac:dyDescent="0.2">
      <c r="A33" s="17" t="s">
        <v>27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21" x14ac:dyDescent="0.2">
      <c r="A34" s="17" t="s">
        <v>54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21" x14ac:dyDescent="0.2">
      <c r="A35" s="17" t="s">
        <v>56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21" x14ac:dyDescent="0.2">
      <c r="A36" s="17" t="s">
        <v>58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21" x14ac:dyDescent="0.2">
      <c r="A37" s="17" t="s">
        <v>60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P37" s="1"/>
      <c r="Q37" s="1"/>
      <c r="S37" s="1"/>
      <c r="T37" s="1"/>
      <c r="U37" s="1"/>
    </row>
    <row r="38" spans="1:21" x14ac:dyDescent="0.2">
      <c r="A38" s="17" t="s">
        <v>109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P38" s="1"/>
      <c r="Q38" s="1"/>
      <c r="S38" s="1"/>
      <c r="T38" s="1"/>
      <c r="U38" s="1"/>
    </row>
    <row r="39" spans="1:21" x14ac:dyDescent="0.2">
      <c r="A39" s="17" t="s">
        <v>63</v>
      </c>
      <c r="P39" s="1"/>
      <c r="Q39" s="1"/>
      <c r="S39" s="1"/>
      <c r="T39" s="1"/>
      <c r="U39" s="1"/>
    </row>
    <row r="40" spans="1:21" x14ac:dyDescent="0.2">
      <c r="A40" s="69"/>
      <c r="P40" s="1"/>
      <c r="Q40" s="1"/>
      <c r="S40" s="1"/>
      <c r="T40" s="1"/>
      <c r="U40" s="1"/>
    </row>
  </sheetData>
  <mergeCells count="3">
    <mergeCell ref="P1:Q1"/>
    <mergeCell ref="I1:N1"/>
    <mergeCell ref="S1:T1"/>
  </mergeCells>
  <phoneticPr fontId="14" type="noConversion"/>
  <conditionalFormatting sqref="I4:N6">
    <cfRule type="cellIs" dxfId="21" priority="37" operator="greaterThanOrEqual">
      <formula>0</formula>
    </cfRule>
    <cfRule type="cellIs" dxfId="20" priority="38" operator="lessThan">
      <formula>0</formula>
    </cfRule>
  </conditionalFormatting>
  <conditionalFormatting sqref="I9:N17">
    <cfRule type="cellIs" dxfId="19" priority="231" operator="lessThan">
      <formula>0</formula>
    </cfRule>
    <cfRule type="cellIs" dxfId="18" priority="230" operator="greaterThanOrEqual">
      <formula>0</formula>
    </cfRule>
  </conditionalFormatting>
  <conditionalFormatting sqref="I20:N28">
    <cfRule type="cellIs" dxfId="17" priority="35" operator="greaterThanOrEqual">
      <formula>0</formula>
    </cfRule>
    <cfRule type="cellIs" dxfId="16" priority="36" operator="lessThan">
      <formula>0</formula>
    </cfRule>
  </conditionalFormatting>
  <conditionalFormatting sqref="I32:T1048576">
    <cfRule type="duplicateValues" dxfId="15" priority="285"/>
  </conditionalFormatting>
  <conditionalFormatting sqref="P4:Q6">
    <cfRule type="cellIs" dxfId="14" priority="226" operator="greaterThanOrEqual">
      <formula>0</formula>
    </cfRule>
    <cfRule type="cellIs" dxfId="13" priority="227" operator="lessThan">
      <formula>0</formula>
    </cfRule>
  </conditionalFormatting>
  <conditionalFormatting sqref="P9:Q17">
    <cfRule type="cellIs" dxfId="12" priority="3" operator="greaterThanOrEqual">
      <formula>0</formula>
    </cfRule>
    <cfRule type="cellIs" dxfId="11" priority="4" operator="lessThan">
      <formula>0</formula>
    </cfRule>
  </conditionalFormatting>
  <conditionalFormatting sqref="P20:Q28">
    <cfRule type="cellIs" dxfId="10" priority="2" operator="lessThan">
      <formula>0</formula>
    </cfRule>
    <cfRule type="cellIs" dxfId="9" priority="1" operator="greaterThanOrEqual">
      <formula>0</formula>
    </cfRule>
  </conditionalFormatting>
  <conditionalFormatting sqref="S4:T6">
    <cfRule type="cellIs" dxfId="8" priority="220" operator="greaterThanOrEqual">
      <formula>0</formula>
    </cfRule>
    <cfRule type="cellIs" dxfId="7" priority="221" operator="lessThan">
      <formula>0</formula>
    </cfRule>
  </conditionalFormatting>
  <conditionalFormatting sqref="S9:T17">
    <cfRule type="cellIs" dxfId="6" priority="232" operator="greaterThanOrEqual">
      <formula>0</formula>
    </cfRule>
    <cfRule type="cellIs" dxfId="5" priority="233" operator="lessThan">
      <formula>0</formula>
    </cfRule>
  </conditionalFormatting>
  <conditionalFormatting sqref="S20:T28">
    <cfRule type="cellIs" dxfId="4" priority="67" operator="greaterThanOrEqual">
      <formula>0</formula>
    </cfRule>
    <cfRule type="cellIs" dxfId="3" priority="68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4.9989318521683403E-2"/>
  </sheetPr>
  <dimension ref="A1:T44"/>
  <sheetViews>
    <sheetView showGridLines="0" zoomScale="70" zoomScaleNormal="70" workbookViewId="0">
      <selection activeCell="B2" sqref="B2"/>
    </sheetView>
  </sheetViews>
  <sheetFormatPr defaultRowHeight="15" x14ac:dyDescent="0.25"/>
  <cols>
    <col min="1" max="1" width="54.85546875" customWidth="1"/>
    <col min="2" max="2" width="32.42578125" bestFit="1" customWidth="1"/>
    <col min="3" max="3" width="19.5703125" bestFit="1" customWidth="1"/>
    <col min="4" max="4" width="18.85546875" bestFit="1" customWidth="1"/>
    <col min="6" max="6" width="9.5703125" customWidth="1"/>
    <col min="16" max="16" width="10.5703125" customWidth="1"/>
  </cols>
  <sheetData>
    <row r="1" spans="1:20" s="11" customFormat="1" ht="14.25" x14ac:dyDescent="0.2">
      <c r="A1" s="23" t="s">
        <v>25</v>
      </c>
      <c r="B1" s="23" t="s">
        <v>24</v>
      </c>
      <c r="C1" s="23" t="s">
        <v>12</v>
      </c>
      <c r="E1" s="12"/>
      <c r="G1" s="13"/>
      <c r="I1" s="14"/>
      <c r="J1" s="14"/>
      <c r="K1" s="14"/>
      <c r="L1" s="14"/>
      <c r="N1" s="14"/>
      <c r="O1" s="14"/>
      <c r="Q1" s="15"/>
      <c r="R1" s="15"/>
      <c r="S1" s="15"/>
      <c r="T1" s="15"/>
    </row>
    <row r="2" spans="1:20" s="10" customFormat="1" x14ac:dyDescent="0.25">
      <c r="A2" s="30" t="s">
        <v>3</v>
      </c>
      <c r="B2" s="53">
        <f>+B28+B29+B30+B31</f>
        <v>88.91169099999999</v>
      </c>
      <c r="C2" s="54">
        <f>+C28+C29+C30+C31</f>
        <v>33519</v>
      </c>
      <c r="G2" s="6"/>
      <c r="H2" s="6"/>
      <c r="I2" s="6"/>
    </row>
    <row r="3" spans="1:20" s="10" customFormat="1" x14ac:dyDescent="0.25">
      <c r="A3" s="30" t="s">
        <v>97</v>
      </c>
      <c r="B3" s="53">
        <f>+B23+B24+B25+B27+B26</f>
        <v>154.20039200000002</v>
      </c>
      <c r="C3" s="54">
        <f>+C23+C24+C25+C27+C26</f>
        <v>36961</v>
      </c>
      <c r="G3" s="6"/>
      <c r="H3" s="6"/>
      <c r="I3" s="6"/>
    </row>
    <row r="4" spans="1:20" s="10" customFormat="1" x14ac:dyDescent="0.25">
      <c r="A4" s="30" t="s">
        <v>29</v>
      </c>
      <c r="B4" s="53">
        <f>+B33+B34+B32+B35</f>
        <v>85.634360999999998</v>
      </c>
      <c r="C4" s="54">
        <f>+C33+C34+C32+C35</f>
        <v>23162</v>
      </c>
      <c r="E4" s="6"/>
      <c r="F4" s="6"/>
      <c r="G4" s="6"/>
      <c r="H4" s="6"/>
      <c r="I4" s="6"/>
      <c r="O4" s="6"/>
      <c r="P4" s="65"/>
    </row>
    <row r="5" spans="1:20" s="10" customFormat="1" x14ac:dyDescent="0.25">
      <c r="A5" s="30" t="s">
        <v>45</v>
      </c>
      <c r="B5" s="53">
        <f>+B36+B37+B38+B39+B40+B41</f>
        <v>33.686518</v>
      </c>
      <c r="C5" s="54">
        <f>+C36+C37+C38++C39+C40+C41</f>
        <v>46022</v>
      </c>
      <c r="E5" s="6"/>
      <c r="F5" s="6"/>
      <c r="G5" s="6"/>
      <c r="H5" s="6"/>
      <c r="I5" s="6"/>
      <c r="O5" s="63"/>
      <c r="P5" s="65"/>
    </row>
    <row r="6" spans="1:20" s="10" customFormat="1" x14ac:dyDescent="0.25">
      <c r="A6" s="30" t="s">
        <v>87</v>
      </c>
      <c r="B6" s="53">
        <f>B42+B43</f>
        <v>5.7319180000000003</v>
      </c>
      <c r="C6" s="54">
        <f>C42+C43</f>
        <v>1829</v>
      </c>
      <c r="E6" s="6"/>
      <c r="F6" s="6"/>
      <c r="G6" s="6"/>
      <c r="H6" s="6"/>
      <c r="I6" s="6"/>
      <c r="O6" s="63"/>
      <c r="P6" s="65"/>
    </row>
    <row r="7" spans="1:20" s="11" customFormat="1" ht="14.25" x14ac:dyDescent="0.2">
      <c r="A7" s="57" t="s">
        <v>28</v>
      </c>
      <c r="B7" s="55">
        <f>+SUM(B2:B6)</f>
        <v>368.16487999999998</v>
      </c>
      <c r="C7" s="56">
        <f>+SUM(C2:C6)</f>
        <v>141493</v>
      </c>
      <c r="E7" s="12"/>
      <c r="G7" s="13"/>
      <c r="I7" s="14"/>
      <c r="J7" s="14"/>
      <c r="K7" s="14"/>
      <c r="L7" s="14"/>
      <c r="N7" s="14"/>
      <c r="O7" s="64"/>
      <c r="P7" s="64"/>
      <c r="Q7" s="15"/>
      <c r="R7" s="15"/>
      <c r="S7" s="15"/>
      <c r="T7" s="15"/>
    </row>
    <row r="8" spans="1:20" s="10" customFormat="1" x14ac:dyDescent="0.25">
      <c r="B8" s="16"/>
      <c r="E8" s="6"/>
      <c r="F8" s="6"/>
      <c r="G8" s="6"/>
      <c r="H8" s="6"/>
      <c r="I8" s="6"/>
    </row>
    <row r="9" spans="1:20" s="11" customFormat="1" ht="22.7" customHeight="1" x14ac:dyDescent="0.2">
      <c r="E9" s="12"/>
      <c r="G9" s="13"/>
      <c r="I9" s="14"/>
      <c r="J9" s="14"/>
      <c r="K9" s="14"/>
      <c r="L9" s="14"/>
      <c r="N9" s="14"/>
      <c r="O9" s="14"/>
      <c r="Q9" s="15"/>
      <c r="R9" s="15"/>
      <c r="S9" s="15"/>
      <c r="T9" s="15"/>
    </row>
    <row r="10" spans="1:20" s="10" customFormat="1" x14ac:dyDescent="0.25"/>
    <row r="11" spans="1:20" s="10" customFormat="1" x14ac:dyDescent="0.25"/>
    <row r="12" spans="1:20" s="10" customFormat="1" x14ac:dyDescent="0.25"/>
    <row r="13" spans="1:20" s="10" customFormat="1" x14ac:dyDescent="0.25"/>
    <row r="14" spans="1:20" s="10" customFormat="1" x14ac:dyDescent="0.25"/>
    <row r="15" spans="1:20" s="10" customFormat="1" x14ac:dyDescent="0.25"/>
    <row r="16" spans="1:20" s="10" customFormat="1" x14ac:dyDescent="0.25"/>
    <row r="17" spans="1:3" s="10" customFormat="1" x14ac:dyDescent="0.25"/>
    <row r="18" spans="1:3" s="10" customFormat="1" x14ac:dyDescent="0.25"/>
    <row r="19" spans="1:3" s="10" customFormat="1" x14ac:dyDescent="0.25"/>
    <row r="20" spans="1:3" s="10" customFormat="1" x14ac:dyDescent="0.25"/>
    <row r="21" spans="1:3" s="10" customFormat="1" x14ac:dyDescent="0.25"/>
    <row r="22" spans="1:3" ht="33" customHeight="1" x14ac:dyDescent="0.25">
      <c r="A22" s="23" t="s">
        <v>26</v>
      </c>
      <c r="B22" s="23" t="s">
        <v>39</v>
      </c>
      <c r="C22" s="23" t="s">
        <v>40</v>
      </c>
    </row>
    <row r="23" spans="1:3" x14ac:dyDescent="0.25">
      <c r="A23" s="30" t="str">
        <f>+'2024-06-30'!C5</f>
        <v>INVL STABILO III 58+ / INVL Stabilus</v>
      </c>
      <c r="B23" s="53">
        <f>+'2024-06-30'!F5</f>
        <v>12.955869</v>
      </c>
      <c r="C23" s="54">
        <f>+'2024-06-30'!G5</f>
        <v>3148</v>
      </c>
    </row>
    <row r="24" spans="1:3" x14ac:dyDescent="0.25">
      <c r="A24" s="30" t="str">
        <f>+'2024-06-30'!C10</f>
        <v>INVL Apdairus</v>
      </c>
      <c r="B24" s="53">
        <f>+'2024-06-30'!F10</f>
        <v>4.5189409999999999</v>
      </c>
      <c r="C24" s="54">
        <f>+'2024-06-30'!G10</f>
        <v>1969</v>
      </c>
    </row>
    <row r="25" spans="1:3" x14ac:dyDescent="0.25">
      <c r="A25" s="30" t="str">
        <f>+'2024-06-30'!C11</f>
        <v>INVL Medio III 47+</v>
      </c>
      <c r="B25" s="53">
        <f>+'2024-06-30'!F11</f>
        <v>27.232413999999999</v>
      </c>
      <c r="C25" s="54">
        <f>+'2024-06-30'!G11</f>
        <v>5579</v>
      </c>
    </row>
    <row r="26" spans="1:3" x14ac:dyDescent="0.25">
      <c r="A26" s="30" t="str">
        <f>+'2024-06-30'!C21</f>
        <v>INVL Drąsus</v>
      </c>
      <c r="B26" s="53">
        <f>+'2024-06-30'!F21</f>
        <v>15.898953000000001</v>
      </c>
      <c r="C26" s="54">
        <f>+'2024-06-30'!G21</f>
        <v>5501</v>
      </c>
    </row>
    <row r="27" spans="1:3" x14ac:dyDescent="0.25">
      <c r="A27" s="30" t="str">
        <f>+'2024-06-30'!C22</f>
        <v>INVL Extremo III 16+</v>
      </c>
      <c r="B27" s="53">
        <f>+'2024-06-30'!F22</f>
        <v>93.594215000000005</v>
      </c>
      <c r="C27" s="54">
        <f>+'2024-06-30'!G22</f>
        <v>20764</v>
      </c>
    </row>
    <row r="28" spans="1:3" x14ac:dyDescent="0.25">
      <c r="A28" s="30" t="str">
        <f>+'2024-06-30'!C4</f>
        <v>Luminor ateitis 58 +</v>
      </c>
      <c r="B28" s="53">
        <f>+'2024-06-30'!F4</f>
        <v>9.7630239999999997</v>
      </c>
      <c r="C28" s="54">
        <f>+'2024-06-30'!G4</f>
        <v>3628</v>
      </c>
    </row>
    <row r="29" spans="1:3" x14ac:dyDescent="0.25">
      <c r="A29" s="30" t="str">
        <f>+'2024-06-30'!C9</f>
        <v>Luminor ateitis 50 – 58</v>
      </c>
      <c r="B29" s="53">
        <f>+'2024-06-30'!F9</f>
        <v>56.330964999999999</v>
      </c>
      <c r="C29" s="54">
        <f>+'2024-06-30'!G9</f>
        <v>23480</v>
      </c>
    </row>
    <row r="30" spans="1:3" x14ac:dyDescent="0.25">
      <c r="A30" s="30" t="str">
        <f>+'2024-06-30'!C20</f>
        <v>Luminor ateitis 16 – 50</v>
      </c>
      <c r="B30" s="53">
        <f>+'2024-06-30'!F20</f>
        <v>18.601441000000001</v>
      </c>
      <c r="C30" s="54">
        <f>+'2024-06-30'!G20</f>
        <v>5276</v>
      </c>
    </row>
    <row r="31" spans="1:3" x14ac:dyDescent="0.25">
      <c r="A31" s="30" t="s">
        <v>70</v>
      </c>
      <c r="B31" s="53">
        <f>'2024-06-30'!F27</f>
        <v>4.2162610000000003</v>
      </c>
      <c r="C31" s="54">
        <f>'2024-06-30'!G27</f>
        <v>1135</v>
      </c>
    </row>
    <row r="32" spans="1:3" x14ac:dyDescent="0.25">
      <c r="A32" s="30" t="str">
        <f>+'2024-06-30'!C16</f>
        <v>SEB pensija 50+</v>
      </c>
      <c r="B32" s="53">
        <f>+'2024-06-30'!F16</f>
        <v>3.9894539999999998</v>
      </c>
      <c r="C32" s="54">
        <f>+'2024-06-30'!G16</f>
        <v>2286</v>
      </c>
    </row>
    <row r="33" spans="1:3" x14ac:dyDescent="0.25">
      <c r="A33" s="30" t="str">
        <f>+'2024-06-30'!C6</f>
        <v>SEB pensija 58+</v>
      </c>
      <c r="B33" s="53">
        <f>+'2024-06-30'!F6</f>
        <v>10.006646999999999</v>
      </c>
      <c r="C33" s="54">
        <f>+'2024-06-30'!G6</f>
        <v>2379</v>
      </c>
    </row>
    <row r="34" spans="1:3" x14ac:dyDescent="0.25">
      <c r="A34" s="30" t="str">
        <f>+'2024-06-30'!C23</f>
        <v>SEB pensija 18+</v>
      </c>
      <c r="B34" s="53">
        <f>+'2024-06-30'!F23</f>
        <v>64.340643999999998</v>
      </c>
      <c r="C34" s="54">
        <f>+'2024-06-30'!G23</f>
        <v>14937</v>
      </c>
    </row>
    <row r="35" spans="1:3" x14ac:dyDescent="0.25">
      <c r="A35" s="30" t="s">
        <v>77</v>
      </c>
      <c r="B35" s="53">
        <f>+'2024-06-30'!F24</f>
        <v>7.2976159999999997</v>
      </c>
      <c r="C35" s="54">
        <f>+'2024-06-30'!G24</f>
        <v>3560</v>
      </c>
    </row>
    <row r="36" spans="1:3" x14ac:dyDescent="0.25">
      <c r="A36" s="61" t="s">
        <v>79</v>
      </c>
      <c r="B36" s="53">
        <f>+'2024-06-30'!F12</f>
        <v>0.81503999999999999</v>
      </c>
      <c r="C36" s="54">
        <f>+'2024-06-30'!G12</f>
        <v>176</v>
      </c>
    </row>
    <row r="37" spans="1:3" x14ac:dyDescent="0.25">
      <c r="A37" s="61" t="s">
        <v>80</v>
      </c>
      <c r="B37" s="53">
        <f>+'2024-06-30'!F13</f>
        <v>2.8920319999999999</v>
      </c>
      <c r="C37" s="54">
        <f>+'2024-06-30'!G13</f>
        <v>980</v>
      </c>
    </row>
    <row r="38" spans="1:3" x14ac:dyDescent="0.25">
      <c r="A38" s="61" t="s">
        <v>81</v>
      </c>
      <c r="B38" s="53">
        <f>+'2024-06-30'!F14</f>
        <v>1.330093</v>
      </c>
      <c r="C38" s="54">
        <f>+'2024-06-30'!G14</f>
        <v>1916</v>
      </c>
    </row>
    <row r="39" spans="1:3" x14ac:dyDescent="0.25">
      <c r="A39" s="61" t="s">
        <v>82</v>
      </c>
      <c r="B39" s="53">
        <f>+'2024-06-30'!F15</f>
        <v>6.0572549999999996</v>
      </c>
      <c r="C39" s="54">
        <f>+'2024-06-30'!G15</f>
        <v>12255</v>
      </c>
    </row>
    <row r="40" spans="1:3" x14ac:dyDescent="0.25">
      <c r="A40" s="30" t="s">
        <v>83</v>
      </c>
      <c r="B40" s="53">
        <f>+'2024-06-30'!F25</f>
        <v>9.3268500000000003</v>
      </c>
      <c r="C40" s="54">
        <f>+'2024-06-30'!G25</f>
        <v>2393</v>
      </c>
    </row>
    <row r="41" spans="1:3" x14ac:dyDescent="0.25">
      <c r="A41" s="30" t="s">
        <v>84</v>
      </c>
      <c r="B41" s="53">
        <f>+'2024-06-30'!F26</f>
        <v>13.265248</v>
      </c>
      <c r="C41" s="54">
        <f>+'2024-06-30'!G26</f>
        <v>28302</v>
      </c>
    </row>
    <row r="42" spans="1:3" x14ac:dyDescent="0.25">
      <c r="A42" s="30" t="s">
        <v>85</v>
      </c>
      <c r="B42" s="53">
        <f>'2024-06-30'!F28</f>
        <v>5.2783540000000002</v>
      </c>
      <c r="C42" s="54">
        <f>'2024-06-30'!G28</f>
        <v>1650</v>
      </c>
    </row>
    <row r="43" spans="1:3" x14ac:dyDescent="0.25">
      <c r="A43" s="30" t="s">
        <v>86</v>
      </c>
      <c r="B43" s="53">
        <f>'2024-06-30'!F17</f>
        <v>0.45356400000000002</v>
      </c>
      <c r="C43" s="54">
        <f>'2024-06-30'!G17</f>
        <v>179</v>
      </c>
    </row>
    <row r="44" spans="1:3" x14ac:dyDescent="0.25">
      <c r="A44" s="57" t="s">
        <v>28</v>
      </c>
      <c r="B44" s="55">
        <f>+SUM(B23:B43)</f>
        <v>368.16487999999987</v>
      </c>
      <c r="C44" s="67">
        <f>+SUM(C23:C43)</f>
        <v>141493</v>
      </c>
    </row>
  </sheetData>
  <conditionalFormatting sqref="I1:R1">
    <cfRule type="duplicateValues" dxfId="2" priority="6"/>
  </conditionalFormatting>
  <conditionalFormatting sqref="I7:R7">
    <cfRule type="duplicateValues" dxfId="1" priority="1"/>
  </conditionalFormatting>
  <conditionalFormatting sqref="I9:R9">
    <cfRule type="duplicateValues" dxfId="0" priority="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2024-06-30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2026-05-12T11:21:01Z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2026-05-12T11:20:56Z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7644c228-63a7-4f68-bede-d70db278c406</vt:lpwstr>
  </property>
  <property fmtid="{D5CDD505-2E9C-101B-9397-08002B2CF9AE}" pid="8" name="MSIP_Label_e5564178-1ca1-4992-b45e-fdaf9919e704_ContentBits">
    <vt:lpwstr>0</vt:lpwstr>
  </property>
  <property fmtid="{D5CDD505-2E9C-101B-9397-08002B2CF9AE}" pid="9" name="MSIP_Label_e5564178-1ca1-4992-b45e-fdaf9919e704_Tag">
    <vt:lpwstr>10, 0, 1, 1</vt:lpwstr>
  </property>
</Properties>
</file>