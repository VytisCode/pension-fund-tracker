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7665" yWindow="105" windowWidth="7680" windowHeight="10590"/>
  </bookViews>
  <sheets>
    <sheet name="Rezultatai" sheetId="12" r:id="rId1"/>
    <sheet name="Papildomi duomenys" sheetId="10" r:id="rId2"/>
  </sheets>
  <calcPr calcId="145621"/>
</workbook>
</file>

<file path=xl/calcChain.xml><?xml version="1.0" encoding="utf-8"?>
<calcChain xmlns="http://schemas.openxmlformats.org/spreadsheetml/2006/main">
  <c r="B68" i="10" l="1"/>
  <c r="B29" i="10"/>
</calcChain>
</file>

<file path=xl/sharedStrings.xml><?xml version="1.0" encoding="utf-8"?>
<sst xmlns="http://schemas.openxmlformats.org/spreadsheetml/2006/main" count="201" uniqueCount="91">
  <si>
    <t>Fondo pavadinimas</t>
  </si>
  <si>
    <t>SEB pensija 2</t>
  </si>
  <si>
    <t>SEB pensija 3</t>
  </si>
  <si>
    <t>MAŽOS AKCIJŲ DALIES PENSIJŲ FONDAI (IKI 30 PROC.)</t>
  </si>
  <si>
    <t>SEB pensija 1</t>
  </si>
  <si>
    <t>Swedbank Pensija 1</t>
  </si>
  <si>
    <t>Aviva Europensija</t>
  </si>
  <si>
    <t>Aviva Europensija plius</t>
  </si>
  <si>
    <t>Swedbank Pensija 2</t>
  </si>
  <si>
    <t>Swedbank Pensija 3</t>
  </si>
  <si>
    <t>Swedbank Pensija 4</t>
  </si>
  <si>
    <t>Aviva Europensija ekstra</t>
  </si>
  <si>
    <t>Swedbank Pensija 5</t>
  </si>
  <si>
    <t>VIDUTINĖS AKCIJŲ DALIES PENSIJŲ FONDAI (IKI 70 PROC.)</t>
  </si>
  <si>
    <t>AKCIJŲ PENSIJŲ FONDAI (IKI 100 PROC.)</t>
  </si>
  <si>
    <t>Veiklos laikotarpis, metais</t>
  </si>
  <si>
    <t>RIZIKOS RODIKLIAI</t>
  </si>
  <si>
    <t xml:space="preserve"> KONSERVATYVAUS INVESTAVIMO PENSIJŲ FONDAI</t>
  </si>
  <si>
    <t xml:space="preserve">*** Lyginamasis indeksas apibrėžiamas kaip pensijų kaupimo bendrovės pasirinktas rodiklis, su kurio kintančia reikšme lyginama fondo investicijų portfelio investicijų grąža. </t>
  </si>
  <si>
    <t>Iš viso:</t>
  </si>
  <si>
    <t>LYGINAMOJO INDEKSO GRĄŽA***</t>
  </si>
  <si>
    <t>Fondas</t>
  </si>
  <si>
    <t>Viso:</t>
  </si>
  <si>
    <t>Valdymo įmonė</t>
  </si>
  <si>
    <t>Grynieji aktyvai, Eur</t>
  </si>
  <si>
    <t>INVL STABILO II 58+</t>
  </si>
  <si>
    <t>INVL MEZZO II 53+</t>
  </si>
  <si>
    <t xml:space="preserve">INVL MEDIO II 47+ </t>
  </si>
  <si>
    <t>INVL EXTREMO II 16+</t>
  </si>
  <si>
    <t>Fondo dydis, mln. Eur</t>
  </si>
  <si>
    <t>INVL MEDIO II 47+</t>
  </si>
  <si>
    <t>Dalyvių skaičius</t>
  </si>
  <si>
    <t>Investicijų į akcijas dalis</t>
  </si>
  <si>
    <t>FONDŲ GRĄŽA</t>
  </si>
  <si>
    <t>Swedbank Pensijų išmokų fondas</t>
  </si>
  <si>
    <t xml:space="preserve">Svertinis vidurkis*****: </t>
  </si>
  <si>
    <t>iki 30%</t>
  </si>
  <si>
    <t>iki 25%</t>
  </si>
  <si>
    <t xml:space="preserve">Svertinis vidurkis: </t>
  </si>
  <si>
    <t>iki 65%</t>
  </si>
  <si>
    <t>iki 50%</t>
  </si>
  <si>
    <t>iki 70%</t>
  </si>
  <si>
    <t>-</t>
  </si>
  <si>
    <t>20-60%</t>
  </si>
  <si>
    <t>iki 100%</t>
  </si>
  <si>
    <t>60-100%</t>
  </si>
  <si>
    <t>** Apskaičiuota remiantis apskaitos vieneto vertės pokyčiu per nurodytą laikotarpį. Vidutinė metinė grąža gauta taikant geometrinį vidurkį.</t>
  </si>
  <si>
    <t>Pensija 3</t>
  </si>
  <si>
    <t>Europensija plius</t>
  </si>
  <si>
    <t>Pensija 4</t>
  </si>
  <si>
    <t>Pensija 2</t>
  </si>
  <si>
    <t>Pensija 5</t>
  </si>
  <si>
    <t>INVL EXTREMO II 16 + pensijų fondas</t>
  </si>
  <si>
    <t>Europensija ekstra</t>
  </si>
  <si>
    <t>Europensija</t>
  </si>
  <si>
    <t>Pensijų išmokų fondas</t>
  </si>
  <si>
    <t>Pensija 1</t>
  </si>
  <si>
    <t>"Swedbank investicijų valdymas", UAB 124815377</t>
  </si>
  <si>
    <t>UAB "SEB investicijų valdymas" 125277981</t>
  </si>
  <si>
    <t>Uždaroji akcinė gyvybės draudimo ir pensijų bendrovė "Aviva Lietuva" 111744827</t>
  </si>
  <si>
    <t>UAB "INVL Asset Management" 126263073</t>
  </si>
  <si>
    <t>Luminor pensija 1</t>
  </si>
  <si>
    <t>Luminor pensija 2</t>
  </si>
  <si>
    <t>Luminor pensija 3</t>
  </si>
  <si>
    <t>Luminor pensija 4</t>
  </si>
  <si>
    <t>„Luminor investicijų valdymas“, UAB 226299280</t>
  </si>
  <si>
    <t>Grąža* nuo metų pradžios, proc.</t>
  </si>
  <si>
    <t>Vidutinė metinė grąža** per praėjusius 3 metus, proc.</t>
  </si>
  <si>
    <t>Vidutinė metinė grąža** per praėjusius 5 metus, proc.</t>
  </si>
  <si>
    <t>Vidutinė metinė grąža** per praėjusius 10 metų, proc.</t>
  </si>
  <si>
    <t>Vidutinė metinė lyginamojo indekso grąža per praėjusius 3 metus, proc.</t>
  </si>
  <si>
    <t>Vidutinė metinė lyginamojo indekso grąža per praėjusius 5 metus, proc.</t>
  </si>
  <si>
    <t>Standartinis nuokrypis**** per praėjusius 5 metus, proc.</t>
  </si>
  <si>
    <t>Standartinis nuokrypis**** per praėjusius 10 metų, proc.</t>
  </si>
  <si>
    <t>Pastaba: praeities rezultatai negarantuoja, kad tokie patys ar panašūs rezultatai bus ir ateityje.</t>
  </si>
  <si>
    <t xml:space="preserve">**** Rodikliui apskaičiuoti naudoti mėnesiniai apskaitos vieneto verčių pokyčiai, rezultatas perskaičiuotas į metinį.  Standartinis nuokrypis parodo, kaip intensyviai per laikotarpį svyruoja fondo investicinio vieneto vertė. Kuo šis rodiklis didesnis, tuo didesnė rizika. </t>
  </si>
  <si>
    <t>* Apskaitos vieneto vertės pokytis. Juo atsižvelgiama į atskaitymus nuo turto, tačiau neatsižvelgiama į atskaitymus nuo įmokų, dėl to grynoji grąža yra mažesnė. Swedbank GCF pensijų fondų rezultatai apima laikotarpį nuo įsteigimo 2018-03-01.</t>
  </si>
  <si>
    <t>Pensija 1996-2002</t>
  </si>
  <si>
    <t>Pensija 1989-1995</t>
  </si>
  <si>
    <t>Pensija 1982-1988</t>
  </si>
  <si>
    <t>Pensija 1975-1981</t>
  </si>
  <si>
    <t>Pensija 1968-1974</t>
  </si>
  <si>
    <t>Pensija 1961-1967</t>
  </si>
  <si>
    <t>GYVENIMO CIKLO FONDAI (INVESTAVIMO STRATEGIJA KINTA ATSIŽVELGIANT Į PENSIJŲ FONDO DALYVIŲ AMŽIŲ)</t>
  </si>
  <si>
    <t>Swedbank Pensija 1996-2002</t>
  </si>
  <si>
    <t>Swedbank Pensija 1961-1967</t>
  </si>
  <si>
    <t>Swedbank Pensija 1989-1995</t>
  </si>
  <si>
    <t>Swedbank Pensija 1982-1988</t>
  </si>
  <si>
    <t>Swedbank Pensija 1975-1981</t>
  </si>
  <si>
    <t>Swedbank Pensija 1968-1974</t>
  </si>
  <si>
    <t>***** Svertiniam vidurkiui apskaičiuoti naudotas 2018-09-30 dienos fondų grynųjų aktyvų dydis.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</si>
</sst>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_-* #,##0.00\ _L_t_-;\-* #,##0.00\ _L_t_-;_-* &quot;-&quot;??\ _L_t_-;_-@_-"/>
    <numFmt numFmtId="165" formatCode="0.0"/>
    <numFmt numFmtId="166" formatCode="0.00_ ;[Red]\-0.00\ "/>
    <numFmt numFmtId="167" formatCode="_-* #,##0\ _€_-;\-* #,##0\ _€_-;_-* &quot;-&quot;??\ _€_-;_-@_-"/>
    <numFmt numFmtId="168" formatCode="###\ ###\ ###"/>
    <numFmt numFmtId="169" formatCode="###\ ###\ ###\ ###"/>
  </numFmts>
  <fonts count="33" x14ac:knownFonts="1">
    <font>
      <sz val="10"/>
      <name val="Arial"/>
      <charset val="186"/>
    </font>
    <font>
      <sz val="10"/>
      <name val="Arial"/>
      <family val="2"/>
      <charset val="186"/>
    </font>
    <font>
      <sz val="10"/>
      <name val="Helv"/>
    </font>
    <font>
      <b/>
      <sz val="10"/>
      <name val="Helv"/>
      <charset val="186"/>
    </font>
    <font>
      <b/>
      <sz val="11"/>
      <name val="Times New Roman"/>
      <family val="1"/>
      <charset val="186"/>
    </font>
    <font>
      <sz val="11"/>
      <name val="Times New Roman"/>
      <family val="1"/>
      <charset val="186"/>
    </font>
    <font>
      <sz val="11"/>
      <color indexed="64"/>
      <name val="Times New Roman"/>
      <family val="1"/>
      <charset val="186"/>
    </font>
    <font>
      <i/>
      <sz val="11"/>
      <name val="Times New Roman"/>
      <family val="1"/>
      <charset val="186"/>
    </font>
    <font>
      <sz val="11"/>
      <color indexed="8"/>
      <name val="Times New Roman"/>
      <family val="1"/>
      <charset val="186"/>
    </font>
    <font>
      <b/>
      <sz val="11"/>
      <color indexed="8"/>
      <name val="Times New Roman"/>
      <family val="1"/>
      <charset val="186"/>
    </font>
    <font>
      <sz val="10"/>
      <name val="Arial"/>
      <family val="2"/>
    </font>
    <font>
      <u/>
      <sz val="10"/>
      <color indexed="12"/>
      <name val="Arial"/>
      <family val="2"/>
      <charset val="186"/>
    </font>
    <font>
      <b/>
      <sz val="12"/>
      <color indexed="8"/>
      <name val="Times New Roman"/>
      <family val="1"/>
      <charset val="186"/>
    </font>
    <font>
      <b/>
      <sz val="10"/>
      <name val="Arial"/>
      <family val="2"/>
      <charset val="186"/>
    </font>
    <font>
      <sz val="10"/>
      <name val="Times New Roman"/>
      <family val="1"/>
      <charset val="186"/>
    </font>
    <font>
      <sz val="10"/>
      <name val="Arial"/>
      <family val="2"/>
      <charset val="186"/>
    </font>
    <font>
      <sz val="11"/>
      <color theme="1"/>
      <name val="Calibri"/>
      <family val="2"/>
      <charset val="186"/>
      <scheme val="minor"/>
    </font>
    <font>
      <sz val="11"/>
      <color theme="0"/>
      <name val="Calibri"/>
      <family val="2"/>
      <charset val="186"/>
      <scheme val="minor"/>
    </font>
    <font>
      <sz val="11"/>
      <color rgb="FF9C0006"/>
      <name val="Calibri"/>
      <family val="2"/>
      <charset val="186"/>
      <scheme val="minor"/>
    </font>
    <font>
      <b/>
      <sz val="11"/>
      <color rgb="FFFA7D00"/>
      <name val="Calibri"/>
      <family val="2"/>
      <charset val="186"/>
      <scheme val="minor"/>
    </font>
    <font>
      <b/>
      <sz val="11"/>
      <color theme="0"/>
      <name val="Calibri"/>
      <family val="2"/>
      <charset val="186"/>
      <scheme val="minor"/>
    </font>
    <font>
      <i/>
      <sz val="11"/>
      <color rgb="FF7F7F7F"/>
      <name val="Calibri"/>
      <family val="2"/>
      <charset val="186"/>
      <scheme val="minor"/>
    </font>
    <font>
      <sz val="11"/>
      <color rgb="FF006100"/>
      <name val="Calibri"/>
      <family val="2"/>
      <charset val="186"/>
      <scheme val="minor"/>
    </font>
    <font>
      <b/>
      <sz val="15"/>
      <color theme="3"/>
      <name val="Calibri"/>
      <family val="2"/>
      <charset val="186"/>
      <scheme val="minor"/>
    </font>
    <font>
      <b/>
      <sz val="13"/>
      <color theme="3"/>
      <name val="Calibri"/>
      <family val="2"/>
      <charset val="186"/>
      <scheme val="minor"/>
    </font>
    <font>
      <b/>
      <sz val="11"/>
      <color theme="3"/>
      <name val="Calibri"/>
      <family val="2"/>
      <charset val="186"/>
      <scheme val="minor"/>
    </font>
    <font>
      <sz val="11"/>
      <color rgb="FF3F3F76"/>
      <name val="Calibri"/>
      <family val="2"/>
      <charset val="186"/>
      <scheme val="minor"/>
    </font>
    <font>
      <sz val="11"/>
      <color rgb="FFFA7D00"/>
      <name val="Calibri"/>
      <family val="2"/>
      <charset val="186"/>
      <scheme val="minor"/>
    </font>
    <font>
      <sz val="11"/>
      <color rgb="FF9C6500"/>
      <name val="Calibri"/>
      <family val="2"/>
      <charset val="186"/>
      <scheme val="minor"/>
    </font>
    <font>
      <b/>
      <sz val="11"/>
      <color rgb="FF3F3F3F"/>
      <name val="Calibri"/>
      <family val="2"/>
      <charset val="186"/>
      <scheme val="minor"/>
    </font>
    <font>
      <b/>
      <sz val="18"/>
      <color theme="3"/>
      <name val="Cambria"/>
      <family val="2"/>
      <charset val="186"/>
      <scheme val="major"/>
    </font>
    <font>
      <b/>
      <sz val="11"/>
      <color theme="1"/>
      <name val="Calibri"/>
      <family val="2"/>
      <charset val="186"/>
      <scheme val="minor"/>
    </font>
    <font>
      <sz val="11"/>
      <color rgb="FFFF0000"/>
      <name val="Calibri"/>
      <family val="2"/>
      <charset val="186"/>
      <scheme val="minor"/>
    </font>
  </fonts>
  <fills count="35">
    <fill>
      <patternFill patternType="none"/>
    </fill>
    <fill>
      <patternFill patternType="gray125"/>
    </fill>
    <fill>
      <patternFill patternType="solid">
        <fgColor theme="4" tint="0.79998168889431442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/>
      </patternFill>
    </fill>
    <fill>
      <patternFill patternType="solid">
        <fgColor theme="5"/>
      </patternFill>
    </fill>
    <fill>
      <patternFill patternType="solid">
        <fgColor theme="6"/>
      </patternFill>
    </fill>
    <fill>
      <patternFill patternType="solid">
        <fgColor theme="7"/>
      </patternFill>
    </fill>
    <fill>
      <patternFill patternType="solid">
        <fgColor theme="8"/>
      </patternFill>
    </fill>
    <fill>
      <patternFill patternType="solid">
        <fgColor theme="9"/>
      </patternFill>
    </fill>
    <fill>
      <patternFill patternType="solid">
        <fgColor rgb="FFFFC7CE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C6EFCE"/>
      </patternFill>
    </fill>
    <fill>
      <patternFill patternType="solid">
        <fgColor rgb="FFFFCC99"/>
      </patternFill>
    </fill>
    <fill>
      <patternFill patternType="solid">
        <fgColor rgb="FFFFEB9C"/>
      </patternFill>
    </fill>
    <fill>
      <patternFill patternType="solid">
        <fgColor rgb="FFFFFFCC"/>
      </patternFill>
    </fill>
    <fill>
      <patternFill patternType="solid">
        <fgColor rgb="FF75A26E"/>
        <bgColor indexed="64"/>
      </patternFill>
    </fill>
    <fill>
      <patternFill patternType="solid">
        <fgColor theme="0"/>
        <bgColor indexed="64"/>
      </patternFill>
    </fill>
  </fills>
  <borders count="62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54">
    <xf numFmtId="0" fontId="0" fillId="0" borderId="0"/>
    <xf numFmtId="0" fontId="16" fillId="2" borderId="0" applyNumberFormat="0" applyBorder="0" applyAlignment="0" applyProtection="0"/>
    <xf numFmtId="0" fontId="16" fillId="3" borderId="0" applyNumberFormat="0" applyBorder="0" applyAlignment="0" applyProtection="0"/>
    <xf numFmtId="0" fontId="16" fillId="4" borderId="0" applyNumberFormat="0" applyBorder="0" applyAlignment="0" applyProtection="0"/>
    <xf numFmtId="0" fontId="16" fillId="5" borderId="0" applyNumberFormat="0" applyBorder="0" applyAlignment="0" applyProtection="0"/>
    <xf numFmtId="0" fontId="16" fillId="6" borderId="0" applyNumberFormat="0" applyBorder="0" applyAlignment="0" applyProtection="0"/>
    <xf numFmtId="0" fontId="16" fillId="7" borderId="0" applyNumberFormat="0" applyBorder="0" applyAlignment="0" applyProtection="0"/>
    <xf numFmtId="0" fontId="16" fillId="8" borderId="0" applyNumberFormat="0" applyBorder="0" applyAlignment="0" applyProtection="0"/>
    <xf numFmtId="0" fontId="16" fillId="9" borderId="0" applyNumberFormat="0" applyBorder="0" applyAlignment="0" applyProtection="0"/>
    <xf numFmtId="0" fontId="16" fillId="10" borderId="0" applyNumberFormat="0" applyBorder="0" applyAlignment="0" applyProtection="0"/>
    <xf numFmtId="0" fontId="16" fillId="11" borderId="0" applyNumberFormat="0" applyBorder="0" applyAlignment="0" applyProtection="0"/>
    <xf numFmtId="0" fontId="16" fillId="12" borderId="0" applyNumberFormat="0" applyBorder="0" applyAlignment="0" applyProtection="0"/>
    <xf numFmtId="0" fontId="16" fillId="13" borderId="0" applyNumberFormat="0" applyBorder="0" applyAlignment="0" applyProtection="0"/>
    <xf numFmtId="0" fontId="17" fillId="14" borderId="0" applyNumberFormat="0" applyBorder="0" applyAlignment="0" applyProtection="0"/>
    <xf numFmtId="0" fontId="17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7" fillId="18" borderId="0" applyNumberFormat="0" applyBorder="0" applyAlignment="0" applyProtection="0"/>
    <xf numFmtId="0" fontId="17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7" fillId="22" borderId="0" applyNumberFormat="0" applyBorder="0" applyAlignment="0" applyProtection="0"/>
    <xf numFmtId="0" fontId="17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8" fillId="26" borderId="0" applyNumberFormat="0" applyBorder="0" applyAlignment="0" applyProtection="0"/>
    <xf numFmtId="0" fontId="19" fillId="27" borderId="46" applyNumberFormat="0" applyAlignment="0" applyProtection="0"/>
    <xf numFmtId="0" fontId="20" fillId="28" borderId="47" applyNumberFormat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21" fillId="0" borderId="0" applyNumberFormat="0" applyFill="0" applyBorder="0" applyAlignment="0" applyProtection="0"/>
    <xf numFmtId="0" fontId="22" fillId="29" borderId="0" applyNumberFormat="0" applyBorder="0" applyAlignment="0" applyProtection="0"/>
    <xf numFmtId="0" fontId="23" fillId="0" borderId="48" applyNumberFormat="0" applyFill="0" applyAlignment="0" applyProtection="0"/>
    <xf numFmtId="0" fontId="24" fillId="0" borderId="49" applyNumberFormat="0" applyFill="0" applyAlignment="0" applyProtection="0"/>
    <xf numFmtId="0" fontId="25" fillId="0" borderId="50" applyNumberFormat="0" applyFill="0" applyAlignment="0" applyProtection="0"/>
    <xf numFmtId="0" fontId="25" fillId="0" borderId="0" applyNumberFormat="0" applyFill="0" applyBorder="0" applyAlignment="0" applyProtection="0"/>
    <xf numFmtId="0" fontId="11" fillId="0" borderId="0" applyNumberFormat="0" applyFill="0" applyBorder="0" applyAlignment="0" applyProtection="0">
      <alignment vertical="top"/>
      <protection locked="0"/>
    </xf>
    <xf numFmtId="0" fontId="26" fillId="30" borderId="46" applyNumberFormat="0" applyAlignment="0" applyProtection="0"/>
    <xf numFmtId="0" fontId="27" fillId="0" borderId="51" applyNumberFormat="0" applyFill="0" applyAlignment="0" applyProtection="0"/>
    <xf numFmtId="0" fontId="28" fillId="31" borderId="0" applyNumberFormat="0" applyBorder="0" applyAlignment="0" applyProtection="0"/>
    <xf numFmtId="0" fontId="1" fillId="0" borderId="0"/>
    <xf numFmtId="0" fontId="1" fillId="0" borderId="0"/>
    <xf numFmtId="0" fontId="16" fillId="0" borderId="0"/>
    <xf numFmtId="0" fontId="10" fillId="0" borderId="0"/>
    <xf numFmtId="0" fontId="10" fillId="0" borderId="0"/>
    <xf numFmtId="0" fontId="10" fillId="0" borderId="0"/>
    <xf numFmtId="0" fontId="14" fillId="0" borderId="0"/>
    <xf numFmtId="0" fontId="15" fillId="0" borderId="0"/>
    <xf numFmtId="0" fontId="16" fillId="32" borderId="52" applyNumberFormat="0" applyFont="0" applyAlignment="0" applyProtection="0"/>
    <xf numFmtId="0" fontId="29" fillId="27" borderId="53" applyNumberFormat="0" applyAlignment="0" applyProtection="0"/>
    <xf numFmtId="9" fontId="1" fillId="0" borderId="0" applyFont="0" applyFill="0" applyBorder="0" applyAlignment="0" applyProtection="0"/>
    <xf numFmtId="0" fontId="30" fillId="0" borderId="0" applyNumberFormat="0" applyFill="0" applyBorder="0" applyAlignment="0" applyProtection="0"/>
    <xf numFmtId="0" fontId="31" fillId="0" borderId="54" applyNumberFormat="0" applyFill="0" applyAlignment="0" applyProtection="0"/>
    <xf numFmtId="0" fontId="32" fillId="0" borderId="0" applyNumberFormat="0" applyFill="0" applyBorder="0" applyAlignment="0" applyProtection="0"/>
  </cellStyleXfs>
  <cellXfs count="115">
    <xf numFmtId="0" fontId="0" fillId="0" borderId="0" xfId="0"/>
    <xf numFmtId="0" fontId="5" fillId="0" borderId="1" xfId="0" applyFont="1" applyBorder="1" applyAlignment="1">
      <alignment horizontal="left"/>
    </xf>
    <xf numFmtId="0" fontId="5" fillId="0" borderId="2" xfId="0" applyFont="1" applyBorder="1" applyAlignment="1">
      <alignment horizontal="left" wrapText="1"/>
    </xf>
    <xf numFmtId="0" fontId="5" fillId="0" borderId="2" xfId="0" applyFont="1" applyBorder="1" applyAlignment="1">
      <alignment horizontal="left" vertical="top" wrapText="1"/>
    </xf>
    <xf numFmtId="0" fontId="5" fillId="0" borderId="3" xfId="0" applyFont="1" applyBorder="1" applyAlignment="1">
      <alignment horizontal="left" vertical="top" wrapText="1"/>
    </xf>
    <xf numFmtId="0" fontId="6" fillId="0" borderId="2" xfId="0" applyFont="1" applyBorder="1" applyAlignment="1">
      <alignment horizontal="left" vertical="top"/>
    </xf>
    <xf numFmtId="0" fontId="6" fillId="0" borderId="3" xfId="0" applyFont="1" applyBorder="1" applyAlignment="1">
      <alignment horizontal="left" vertical="top"/>
    </xf>
    <xf numFmtId="3" fontId="9" fillId="33" borderId="4" xfId="0" applyNumberFormat="1" applyFont="1" applyFill="1" applyBorder="1" applyAlignment="1">
      <alignment horizontal="center" vertical="center" wrapText="1"/>
    </xf>
    <xf numFmtId="3" fontId="9" fillId="33" borderId="5" xfId="0" applyNumberFormat="1" applyFont="1" applyFill="1" applyBorder="1" applyAlignment="1">
      <alignment horizontal="center" vertical="center" wrapText="1"/>
    </xf>
    <xf numFmtId="166" fontId="8" fillId="0" borderId="6" xfId="0" applyNumberFormat="1" applyFont="1" applyBorder="1" applyAlignment="1">
      <alignment horizontal="center" vertical="center" wrapText="1"/>
    </xf>
    <xf numFmtId="166" fontId="8" fillId="0" borderId="7" xfId="0" applyNumberFormat="1" applyFont="1" applyBorder="1" applyAlignment="1">
      <alignment horizontal="center" vertical="center" wrapText="1"/>
    </xf>
    <xf numFmtId="166" fontId="8" fillId="0" borderId="8" xfId="0" applyNumberFormat="1" applyFont="1" applyBorder="1" applyAlignment="1">
      <alignment horizontal="center" vertical="center" wrapText="1"/>
    </xf>
    <xf numFmtId="166" fontId="8" fillId="0" borderId="9" xfId="0" applyNumberFormat="1" applyFont="1" applyBorder="1" applyAlignment="1">
      <alignment horizontal="center" vertical="center" wrapText="1"/>
    </xf>
    <xf numFmtId="166" fontId="8" fillId="0" borderId="10" xfId="0" applyNumberFormat="1" applyFont="1" applyBorder="1" applyAlignment="1">
      <alignment horizontal="center" vertical="center" wrapText="1"/>
    </xf>
    <xf numFmtId="166" fontId="8" fillId="0" borderId="11" xfId="0" applyNumberFormat="1" applyFont="1" applyBorder="1" applyAlignment="1">
      <alignment horizontal="center" vertical="center" wrapText="1"/>
    </xf>
    <xf numFmtId="166" fontId="8" fillId="0" borderId="12" xfId="0" applyNumberFormat="1" applyFont="1" applyBorder="1" applyAlignment="1">
      <alignment horizontal="center" vertical="center" wrapText="1"/>
    </xf>
    <xf numFmtId="166" fontId="9" fillId="0" borderId="13" xfId="0" applyNumberFormat="1" applyFont="1" applyBorder="1" applyAlignment="1">
      <alignment horizontal="center" vertical="center" wrapText="1"/>
    </xf>
    <xf numFmtId="166" fontId="9" fillId="0" borderId="5" xfId="0" applyNumberFormat="1" applyFont="1" applyBorder="1" applyAlignment="1">
      <alignment horizontal="center" vertical="center" wrapText="1"/>
    </xf>
    <xf numFmtId="166" fontId="9" fillId="0" borderId="4" xfId="0" applyNumberFormat="1" applyFont="1" applyBorder="1" applyAlignment="1">
      <alignment horizontal="center" vertical="center" wrapText="1"/>
    </xf>
    <xf numFmtId="166" fontId="9" fillId="0" borderId="15" xfId="0" applyNumberFormat="1" applyFont="1" applyBorder="1" applyAlignment="1">
      <alignment horizontal="center" vertical="center" wrapText="1"/>
    </xf>
    <xf numFmtId="166" fontId="9" fillId="0" borderId="16" xfId="0" applyNumberFormat="1" applyFont="1" applyBorder="1" applyAlignment="1">
      <alignment horizontal="center" vertical="center" wrapText="1"/>
    </xf>
    <xf numFmtId="166" fontId="8" fillId="0" borderId="17" xfId="0" applyNumberFormat="1" applyFont="1" applyBorder="1" applyAlignment="1">
      <alignment horizontal="center" vertical="center" wrapText="1"/>
    </xf>
    <xf numFmtId="166" fontId="8" fillId="0" borderId="18" xfId="0" applyNumberFormat="1" applyFont="1" applyBorder="1" applyAlignment="1">
      <alignment horizontal="center" vertical="center" wrapText="1"/>
    </xf>
    <xf numFmtId="166" fontId="8" fillId="0" borderId="19" xfId="0" applyNumberFormat="1" applyFont="1" applyBorder="1" applyAlignment="1">
      <alignment horizontal="center" vertical="center" wrapText="1"/>
    </xf>
    <xf numFmtId="166" fontId="9" fillId="0" borderId="20" xfId="0" applyNumberFormat="1" applyFont="1" applyBorder="1" applyAlignment="1">
      <alignment horizontal="center" vertical="center" wrapText="1"/>
    </xf>
    <xf numFmtId="166" fontId="9" fillId="0" borderId="21" xfId="0" applyNumberFormat="1" applyFont="1" applyBorder="1" applyAlignment="1">
      <alignment horizontal="center" vertical="center" wrapText="1"/>
    </xf>
    <xf numFmtId="166" fontId="9" fillId="0" borderId="22" xfId="0" applyNumberFormat="1" applyFont="1" applyBorder="1" applyAlignment="1">
      <alignment horizontal="center" vertical="center" wrapText="1"/>
    </xf>
    <xf numFmtId="166" fontId="8" fillId="0" borderId="23" xfId="0" applyNumberFormat="1" applyFont="1" applyBorder="1" applyAlignment="1">
      <alignment horizontal="center" vertical="center" wrapText="1"/>
    </xf>
    <xf numFmtId="2" fontId="9" fillId="34" borderId="0" xfId="0" applyNumberFormat="1" applyFont="1" applyFill="1" applyBorder="1" applyAlignment="1">
      <alignment horizontal="center" vertical="center" wrapText="1"/>
    </xf>
    <xf numFmtId="2" fontId="8" fillId="34" borderId="0" xfId="0" applyNumberFormat="1" applyFont="1" applyFill="1" applyBorder="1" applyAlignment="1">
      <alignment horizontal="center" vertical="center" wrapText="1"/>
    </xf>
    <xf numFmtId="0" fontId="2" fillId="34" borderId="0" xfId="0" applyFont="1" applyFill="1"/>
    <xf numFmtId="0" fontId="3" fillId="34" borderId="0" xfId="0" applyFont="1" applyFill="1"/>
    <xf numFmtId="3" fontId="8" fillId="34" borderId="0" xfId="0" applyNumberFormat="1" applyFont="1" applyFill="1" applyAlignment="1">
      <alignment horizontal="center"/>
    </xf>
    <xf numFmtId="166" fontId="8" fillId="0" borderId="24" xfId="0" applyNumberFormat="1" applyFont="1" applyBorder="1" applyAlignment="1">
      <alignment horizontal="center" vertical="center" wrapText="1"/>
    </xf>
    <xf numFmtId="166" fontId="8" fillId="0" borderId="25" xfId="0" applyNumberFormat="1" applyFont="1" applyBorder="1" applyAlignment="1">
      <alignment horizontal="center" vertical="center" wrapText="1"/>
    </xf>
    <xf numFmtId="166" fontId="8" fillId="0" borderId="26" xfId="0" applyNumberFormat="1" applyFont="1" applyBorder="1" applyAlignment="1">
      <alignment horizontal="center" vertical="center" wrapText="1"/>
    </xf>
    <xf numFmtId="166" fontId="8" fillId="0" borderId="27" xfId="0" applyNumberFormat="1" applyFont="1" applyBorder="1" applyAlignment="1">
      <alignment horizontal="center" vertical="center" wrapText="1"/>
    </xf>
    <xf numFmtId="166" fontId="8" fillId="0" borderId="28" xfId="0" applyNumberFormat="1" applyFont="1" applyBorder="1" applyAlignment="1">
      <alignment horizontal="center" vertical="center" wrapText="1"/>
    </xf>
    <xf numFmtId="166" fontId="8" fillId="0" borderId="29" xfId="0" applyNumberFormat="1" applyFont="1" applyBorder="1" applyAlignment="1">
      <alignment horizontal="center" vertical="center" wrapText="1"/>
    </xf>
    <xf numFmtId="166" fontId="9" fillId="0" borderId="30" xfId="0" applyNumberFormat="1" applyFont="1" applyBorder="1" applyAlignment="1">
      <alignment horizontal="center" vertical="center" wrapText="1"/>
    </xf>
    <xf numFmtId="166" fontId="9" fillId="0" borderId="31" xfId="0" applyNumberFormat="1" applyFont="1" applyBorder="1" applyAlignment="1">
      <alignment horizontal="center" vertical="center" wrapText="1"/>
    </xf>
    <xf numFmtId="3" fontId="9" fillId="33" borderId="13" xfId="0" applyNumberFormat="1" applyFont="1" applyFill="1" applyBorder="1" applyAlignment="1">
      <alignment horizontal="center" vertical="center" wrapText="1"/>
    </xf>
    <xf numFmtId="3" fontId="9" fillId="33" borderId="31" xfId="0" applyNumberFormat="1" applyFont="1" applyFill="1" applyBorder="1" applyAlignment="1">
      <alignment horizontal="center" vertical="center" wrapText="1"/>
    </xf>
    <xf numFmtId="4" fontId="8" fillId="0" borderId="33" xfId="0" applyNumberFormat="1" applyFont="1" applyBorder="1" applyAlignment="1">
      <alignment horizontal="center" vertical="center" wrapText="1"/>
    </xf>
    <xf numFmtId="4" fontId="8" fillId="0" borderId="34" xfId="0" applyNumberFormat="1" applyFont="1" applyBorder="1" applyAlignment="1">
      <alignment horizontal="center" vertical="center" wrapText="1"/>
    </xf>
    <xf numFmtId="4" fontId="8" fillId="0" borderId="35" xfId="0" applyNumberFormat="1" applyFont="1" applyBorder="1" applyAlignment="1">
      <alignment horizontal="center" vertical="center" wrapText="1"/>
    </xf>
    <xf numFmtId="2" fontId="5" fillId="0" borderId="33" xfId="0" applyNumberFormat="1" applyFont="1" applyBorder="1" applyAlignment="1">
      <alignment horizontal="center" vertical="top" wrapText="1"/>
    </xf>
    <xf numFmtId="2" fontId="5" fillId="0" borderId="34" xfId="0" applyNumberFormat="1" applyFont="1" applyBorder="1" applyAlignment="1">
      <alignment horizontal="center" vertical="top" wrapText="1"/>
    </xf>
    <xf numFmtId="2" fontId="5" fillId="0" borderId="35" xfId="0" applyNumberFormat="1" applyFont="1" applyBorder="1" applyAlignment="1">
      <alignment horizontal="center" vertical="top" wrapText="1"/>
    </xf>
    <xf numFmtId="2" fontId="9" fillId="0" borderId="36" xfId="0" applyNumberFormat="1" applyFont="1" applyBorder="1" applyAlignment="1">
      <alignment horizontal="center" vertical="center" wrapText="1"/>
    </xf>
    <xf numFmtId="165" fontId="5" fillId="0" borderId="37" xfId="0" applyNumberFormat="1" applyFont="1" applyBorder="1" applyAlignment="1">
      <alignment horizontal="center" vertical="top" wrapText="1"/>
    </xf>
    <xf numFmtId="165" fontId="5" fillId="0" borderId="38" xfId="0" applyNumberFormat="1" applyFont="1" applyBorder="1" applyAlignment="1">
      <alignment horizontal="center" vertical="top" wrapText="1"/>
    </xf>
    <xf numFmtId="165" fontId="5" fillId="0" borderId="39" xfId="0" applyNumberFormat="1" applyFont="1" applyBorder="1" applyAlignment="1">
      <alignment horizontal="center" vertical="top" wrapText="1"/>
    </xf>
    <xf numFmtId="0" fontId="12" fillId="0" borderId="9" xfId="0" applyFont="1" applyFill="1" applyBorder="1" applyAlignment="1">
      <alignment horizontal="left" vertical="center"/>
    </xf>
    <xf numFmtId="0" fontId="8" fillId="0" borderId="9" xfId="0" applyFont="1" applyFill="1" applyBorder="1" applyAlignment="1">
      <alignment horizontal="left" vertical="center"/>
    </xf>
    <xf numFmtId="0" fontId="9" fillId="0" borderId="9" xfId="0" applyFont="1" applyFill="1" applyBorder="1" applyAlignment="1">
      <alignment horizontal="left" vertical="center"/>
    </xf>
    <xf numFmtId="0" fontId="8" fillId="0" borderId="0" xfId="0" applyFont="1" applyFill="1" applyBorder="1" applyAlignment="1">
      <alignment horizontal="left" vertical="center"/>
    </xf>
    <xf numFmtId="14" fontId="3" fillId="34" borderId="0" xfId="0" applyNumberFormat="1" applyFont="1" applyFill="1"/>
    <xf numFmtId="9" fontId="5" fillId="0" borderId="33" xfId="0" applyNumberFormat="1" applyFont="1" applyBorder="1" applyAlignment="1">
      <alignment horizontal="center" vertical="top" wrapText="1"/>
    </xf>
    <xf numFmtId="9" fontId="5" fillId="0" borderId="34" xfId="0" applyNumberFormat="1" applyFont="1" applyBorder="1" applyAlignment="1">
      <alignment horizontal="center" vertical="top" wrapText="1"/>
    </xf>
    <xf numFmtId="9" fontId="5" fillId="0" borderId="39" xfId="0" applyNumberFormat="1" applyFont="1" applyBorder="1" applyAlignment="1">
      <alignment horizontal="center" vertical="top" wrapText="1"/>
    </xf>
    <xf numFmtId="167" fontId="0" fillId="0" borderId="0" xfId="0" applyNumberFormat="1"/>
    <xf numFmtId="168" fontId="14" fillId="0" borderId="43" xfId="28" applyNumberFormat="1" applyFont="1" applyBorder="1"/>
    <xf numFmtId="168" fontId="13" fillId="0" borderId="9" xfId="28" applyNumberFormat="1" applyFont="1" applyBorder="1"/>
    <xf numFmtId="168" fontId="0" fillId="0" borderId="9" xfId="28" applyNumberFormat="1" applyFont="1" applyBorder="1"/>
    <xf numFmtId="169" fontId="0" fillId="0" borderId="9" xfId="0" applyNumberFormat="1" applyFill="1" applyBorder="1" applyAlignment="1" applyProtection="1"/>
    <xf numFmtId="169" fontId="13" fillId="0" borderId="9" xfId="28" applyNumberFormat="1" applyFont="1" applyBorder="1"/>
    <xf numFmtId="168" fontId="0" fillId="0" borderId="0" xfId="0" applyNumberFormat="1"/>
    <xf numFmtId="14" fontId="3" fillId="34" borderId="0" xfId="0" applyNumberFormat="1" applyFont="1" applyFill="1" applyAlignment="1">
      <alignment horizontal="center"/>
    </xf>
    <xf numFmtId="0" fontId="7" fillId="0" borderId="14" xfId="0" applyFont="1" applyBorder="1" applyAlignment="1">
      <alignment vertical="top" wrapText="1"/>
    </xf>
    <xf numFmtId="0" fontId="7" fillId="0" borderId="36" xfId="0" applyFont="1" applyBorder="1" applyAlignment="1">
      <alignment vertical="top" wrapText="1"/>
    </xf>
    <xf numFmtId="0" fontId="7" fillId="0" borderId="41" xfId="0" applyFont="1" applyBorder="1" applyAlignment="1">
      <alignment vertical="top" wrapText="1"/>
    </xf>
    <xf numFmtId="2" fontId="5" fillId="0" borderId="37" xfId="0" applyNumberFormat="1" applyFont="1" applyBorder="1" applyAlignment="1">
      <alignment horizontal="center" vertical="top" wrapText="1"/>
    </xf>
    <xf numFmtId="2" fontId="5" fillId="0" borderId="1" xfId="0" applyNumberFormat="1" applyFont="1" applyBorder="1" applyAlignment="1">
      <alignment horizontal="center" vertical="top" wrapText="1"/>
    </xf>
    <xf numFmtId="2" fontId="5" fillId="0" borderId="38" xfId="0" applyNumberFormat="1" applyFont="1" applyBorder="1" applyAlignment="1">
      <alignment horizontal="center" vertical="top" wrapText="1"/>
    </xf>
    <xf numFmtId="2" fontId="5" fillId="0" borderId="2" xfId="0" applyNumberFormat="1" applyFont="1" applyBorder="1" applyAlignment="1">
      <alignment horizontal="center" vertical="top" wrapText="1"/>
    </xf>
    <xf numFmtId="0" fontId="5" fillId="0" borderId="58" xfId="0" applyFont="1" applyBorder="1" applyAlignment="1">
      <alignment horizontal="left" vertical="top" wrapText="1"/>
    </xf>
    <xf numFmtId="165" fontId="5" fillId="0" borderId="59" xfId="0" applyNumberFormat="1" applyFont="1" applyBorder="1" applyAlignment="1">
      <alignment horizontal="center" vertical="top" wrapText="1"/>
    </xf>
    <xf numFmtId="2" fontId="5" fillId="0" borderId="59" xfId="0" applyNumberFormat="1" applyFont="1" applyBorder="1" applyAlignment="1">
      <alignment horizontal="center" vertical="top" wrapText="1"/>
    </xf>
    <xf numFmtId="2" fontId="5" fillId="0" borderId="58" xfId="0" applyNumberFormat="1" applyFont="1" applyBorder="1" applyAlignment="1">
      <alignment horizontal="center" vertical="top" wrapText="1"/>
    </xf>
    <xf numFmtId="0" fontId="5" fillId="0" borderId="60" xfId="0" applyFont="1" applyBorder="1" applyAlignment="1">
      <alignment horizontal="left" vertical="top" wrapText="1"/>
    </xf>
    <xf numFmtId="165" fontId="5" fillId="0" borderId="60" xfId="0" applyNumberFormat="1" applyFont="1" applyBorder="1" applyAlignment="1">
      <alignment horizontal="center" vertical="top" wrapText="1"/>
    </xf>
    <xf numFmtId="2" fontId="5" fillId="0" borderId="60" xfId="0" applyNumberFormat="1" applyFont="1" applyBorder="1" applyAlignment="1">
      <alignment horizontal="center" vertical="top" wrapText="1"/>
    </xf>
    <xf numFmtId="4" fontId="8" fillId="0" borderId="60" xfId="0" applyNumberFormat="1" applyFont="1" applyBorder="1" applyAlignment="1">
      <alignment horizontal="center" vertical="top"/>
    </xf>
    <xf numFmtId="166" fontId="8" fillId="0" borderId="1" xfId="0" applyNumberFormat="1" applyFont="1" applyBorder="1" applyAlignment="1">
      <alignment horizontal="center" vertical="center" wrapText="1"/>
    </xf>
    <xf numFmtId="166" fontId="8" fillId="0" borderId="33" xfId="0" applyNumberFormat="1" applyFont="1" applyBorder="1" applyAlignment="1">
      <alignment horizontal="center" vertical="center" wrapText="1"/>
    </xf>
    <xf numFmtId="0" fontId="5" fillId="0" borderId="38" xfId="0" applyFont="1" applyBorder="1" applyAlignment="1">
      <alignment horizontal="left" vertical="top" wrapText="1"/>
    </xf>
    <xf numFmtId="4" fontId="8" fillId="0" borderId="38" xfId="0" applyNumberFormat="1" applyFont="1" applyBorder="1" applyAlignment="1">
      <alignment horizontal="center" vertical="top"/>
    </xf>
    <xf numFmtId="0" fontId="5" fillId="0" borderId="59" xfId="0" applyFont="1" applyBorder="1" applyAlignment="1">
      <alignment horizontal="left" vertical="top" wrapText="1"/>
    </xf>
    <xf numFmtId="4" fontId="8" fillId="0" borderId="59" xfId="0" applyNumberFormat="1" applyFont="1" applyBorder="1" applyAlignment="1">
      <alignment horizontal="center" vertical="top"/>
    </xf>
    <xf numFmtId="0" fontId="0" fillId="34" borderId="0" xfId="0" applyFill="1" applyBorder="1"/>
    <xf numFmtId="169" fontId="0" fillId="0" borderId="9" xfId="28" applyNumberFormat="1" applyFont="1" applyBorder="1"/>
    <xf numFmtId="166" fontId="8" fillId="0" borderId="61" xfId="0" applyNumberFormat="1" applyFont="1" applyBorder="1" applyAlignment="1">
      <alignment horizontal="center" vertical="center" wrapText="1"/>
    </xf>
    <xf numFmtId="166" fontId="8" fillId="0" borderId="32" xfId="0" applyNumberFormat="1" applyFont="1" applyBorder="1" applyAlignment="1">
      <alignment horizontal="center" vertical="center" wrapText="1"/>
    </xf>
    <xf numFmtId="2" fontId="9" fillId="0" borderId="14" xfId="0" applyNumberFormat="1" applyFont="1" applyBorder="1" applyAlignment="1">
      <alignment horizontal="center" vertical="center" wrapText="1"/>
    </xf>
    <xf numFmtId="168" fontId="13" fillId="0" borderId="0" xfId="28" applyNumberFormat="1" applyFont="1" applyBorder="1"/>
    <xf numFmtId="0" fontId="4" fillId="33" borderId="14" xfId="0" applyFont="1" applyFill="1" applyBorder="1" applyAlignment="1">
      <alignment horizontal="left" vertical="center" wrapText="1"/>
    </xf>
    <xf numFmtId="0" fontId="4" fillId="33" borderId="36" xfId="0" applyFont="1" applyFill="1" applyBorder="1" applyAlignment="1">
      <alignment horizontal="left" vertical="center" wrapText="1"/>
    </xf>
    <xf numFmtId="0" fontId="4" fillId="33" borderId="41" xfId="0" applyFont="1" applyFill="1" applyBorder="1" applyAlignment="1">
      <alignment horizontal="left" vertical="center" wrapText="1"/>
    </xf>
    <xf numFmtId="0" fontId="4" fillId="33" borderId="55" xfId="0" applyFont="1" applyFill="1" applyBorder="1" applyAlignment="1">
      <alignment horizontal="center" vertical="center" wrapText="1"/>
    </xf>
    <xf numFmtId="0" fontId="4" fillId="33" borderId="56" xfId="0" applyFont="1" applyFill="1" applyBorder="1" applyAlignment="1">
      <alignment horizontal="center" vertical="center" wrapText="1"/>
    </xf>
    <xf numFmtId="0" fontId="4" fillId="33" borderId="44" xfId="0" applyFont="1" applyFill="1" applyBorder="1" applyAlignment="1">
      <alignment horizontal="center" vertical="center" wrapText="1"/>
    </xf>
    <xf numFmtId="0" fontId="4" fillId="33" borderId="45" xfId="0" applyFont="1" applyFill="1" applyBorder="1" applyAlignment="1">
      <alignment horizontal="center" vertical="center" wrapText="1"/>
    </xf>
    <xf numFmtId="0" fontId="4" fillId="33" borderId="40" xfId="0" applyFont="1" applyFill="1" applyBorder="1" applyAlignment="1">
      <alignment horizontal="center" vertical="center" wrapText="1"/>
    </xf>
    <xf numFmtId="0" fontId="4" fillId="33" borderId="57" xfId="0" applyFont="1" applyFill="1" applyBorder="1" applyAlignment="1">
      <alignment horizontal="center" vertical="center" wrapText="1"/>
    </xf>
    <xf numFmtId="3" fontId="9" fillId="33" borderId="14" xfId="0" applyNumberFormat="1" applyFont="1" applyFill="1" applyBorder="1" applyAlignment="1">
      <alignment horizontal="center" vertical="center" wrapText="1"/>
    </xf>
    <xf numFmtId="3" fontId="9" fillId="33" borderId="36" xfId="0" applyNumberFormat="1" applyFont="1" applyFill="1" applyBorder="1" applyAlignment="1">
      <alignment horizontal="center" vertical="center" wrapText="1"/>
    </xf>
    <xf numFmtId="3" fontId="9" fillId="33" borderId="42" xfId="0" applyNumberFormat="1" applyFont="1" applyFill="1" applyBorder="1" applyAlignment="1">
      <alignment horizontal="center" vertical="center" wrapText="1"/>
    </xf>
    <xf numFmtId="3" fontId="9" fillId="33" borderId="40" xfId="0" applyNumberFormat="1" applyFont="1" applyFill="1" applyBorder="1" applyAlignment="1">
      <alignment horizontal="center" vertical="center" wrapText="1"/>
    </xf>
    <xf numFmtId="0" fontId="2" fillId="34" borderId="0" xfId="41" applyFont="1" applyFill="1" applyAlignment="1">
      <alignment horizontal="left" wrapText="1"/>
    </xf>
    <xf numFmtId="0" fontId="2" fillId="34" borderId="0" xfId="41" applyFont="1" applyFill="1" applyAlignment="1">
      <alignment horizontal="left"/>
    </xf>
    <xf numFmtId="2" fontId="9" fillId="0" borderId="14" xfId="0" applyNumberFormat="1" applyFont="1" applyBorder="1" applyAlignment="1">
      <alignment horizontal="center" vertical="center" wrapText="1"/>
    </xf>
    <xf numFmtId="2" fontId="9" fillId="0" borderId="41" xfId="0" applyNumberFormat="1" applyFont="1" applyBorder="1" applyAlignment="1">
      <alignment horizontal="center" vertical="center" wrapText="1"/>
    </xf>
    <xf numFmtId="0" fontId="3" fillId="34" borderId="0" xfId="41" applyFont="1" applyFill="1" applyAlignment="1">
      <alignment horizontal="left"/>
    </xf>
    <xf numFmtId="0" fontId="2" fillId="34" borderId="0" xfId="41" applyFont="1" applyFill="1" applyBorder="1" applyAlignment="1">
      <alignment horizontal="left"/>
    </xf>
  </cellXfs>
  <cellStyles count="54">
    <cellStyle name="20% - Accent1" xfId="1" builtinId="30" customBuiltin="1"/>
    <cellStyle name="20% - Accent2" xfId="2" builtinId="34" customBuiltin="1"/>
    <cellStyle name="20% - Accent3" xfId="3" builtinId="38" customBuiltin="1"/>
    <cellStyle name="20% - Accent4" xfId="4" builtinId="42" customBuiltin="1"/>
    <cellStyle name="20% - Accent5" xfId="5" builtinId="46" customBuiltin="1"/>
    <cellStyle name="20% - Accent6" xfId="6" builtinId="50" customBuiltin="1"/>
    <cellStyle name="40% - Accent1" xfId="7" builtinId="31" customBuiltin="1"/>
    <cellStyle name="40% - Accent2" xfId="8" builtinId="35" customBuiltin="1"/>
    <cellStyle name="40% - Accent3" xfId="9" builtinId="39" customBuiltin="1"/>
    <cellStyle name="40% - Accent4" xfId="10" builtinId="43" customBuiltin="1"/>
    <cellStyle name="40% - Accent5" xfId="11" builtinId="47" customBuiltin="1"/>
    <cellStyle name="40% - Accent6" xfId="12" builtinId="51" customBuiltin="1"/>
    <cellStyle name="60% - Accent1" xfId="13" builtinId="32" customBuiltin="1"/>
    <cellStyle name="60% - Accent2" xfId="14" builtinId="36" customBuiltin="1"/>
    <cellStyle name="60% - Accent3" xfId="15" builtinId="40" customBuiltin="1"/>
    <cellStyle name="60% - Accent4" xfId="16" builtinId="44" customBuiltin="1"/>
    <cellStyle name="60% - Accent5" xfId="17" builtinId="48" customBuiltin="1"/>
    <cellStyle name="60% - Accent6" xfId="18" builtinId="52" customBuiltin="1"/>
    <cellStyle name="Accent1" xfId="19" builtinId="29" customBuiltin="1"/>
    <cellStyle name="Accent2" xfId="20" builtinId="33" customBuiltin="1"/>
    <cellStyle name="Accent3" xfId="21" builtinId="37" customBuiltin="1"/>
    <cellStyle name="Accent4" xfId="22" builtinId="41" customBuiltin="1"/>
    <cellStyle name="Accent5" xfId="23" builtinId="45" customBuiltin="1"/>
    <cellStyle name="Accent6" xfId="24" builtinId="49" customBuiltin="1"/>
    <cellStyle name="Bad" xfId="25" builtinId="27" customBuiltin="1"/>
    <cellStyle name="Calculation" xfId="26" builtinId="22" customBuiltin="1"/>
    <cellStyle name="Check Cell" xfId="27" builtinId="23" customBuiltin="1"/>
    <cellStyle name="Comma" xfId="28" builtinId="3"/>
    <cellStyle name="Comma 2" xfId="29"/>
    <cellStyle name="Explanatory Text" xfId="30" builtinId="53" customBuiltin="1"/>
    <cellStyle name="Good" xfId="31" builtinId="26" customBuiltin="1"/>
    <cellStyle name="Heading 1" xfId="32" builtinId="16" customBuiltin="1"/>
    <cellStyle name="Heading 2" xfId="33" builtinId="17" customBuiltin="1"/>
    <cellStyle name="Heading 3" xfId="34" builtinId="18" customBuiltin="1"/>
    <cellStyle name="Heading 4" xfId="35" builtinId="19" customBuiltin="1"/>
    <cellStyle name="Hyperlink 2" xfId="36"/>
    <cellStyle name="Input" xfId="37" builtinId="20" customBuiltin="1"/>
    <cellStyle name="Linked Cell" xfId="38" builtinId="24" customBuiltin="1"/>
    <cellStyle name="Neutral" xfId="39" builtinId="28" customBuiltin="1"/>
    <cellStyle name="Normal" xfId="0" builtinId="0"/>
    <cellStyle name="Normal 2" xfId="40"/>
    <cellStyle name="Normal 3" xfId="41"/>
    <cellStyle name="Normal 4" xfId="42"/>
    <cellStyle name="Normal 5" xfId="43"/>
    <cellStyle name="Normal 6" xfId="44"/>
    <cellStyle name="Normal 7" xfId="45"/>
    <cellStyle name="Normal 8" xfId="46"/>
    <cellStyle name="Normal 9" xfId="47"/>
    <cellStyle name="Note 2" xfId="48"/>
    <cellStyle name="Output" xfId="49" builtinId="21" customBuiltin="1"/>
    <cellStyle name="Percent 2" xfId="50"/>
    <cellStyle name="Title" xfId="51" builtinId="15" customBuiltin="1"/>
    <cellStyle name="Total" xfId="52" builtinId="25" customBuiltin="1"/>
    <cellStyle name="Warning Text" xfId="53" builtinId="11" customBuiltin="1"/>
  </cellStyles>
  <dxfs count="40">
    <dxf>
      <font>
        <strike val="0"/>
        <color rgb="FFFF0000"/>
      </font>
    </dxf>
    <dxf>
      <font>
        <strike val="0"/>
        <color rgb="FF22772D"/>
      </font>
    </dxf>
    <dxf>
      <font>
        <strike val="0"/>
        <color rgb="FFFF0000"/>
      </font>
    </dxf>
    <dxf>
      <font>
        <strike val="0"/>
        <color rgb="FF22772D"/>
      </font>
    </dxf>
    <dxf>
      <font>
        <strike val="0"/>
        <color rgb="FFFF0000"/>
      </font>
    </dxf>
    <dxf>
      <font>
        <strike val="0"/>
        <color rgb="FF22772D"/>
      </font>
    </dxf>
    <dxf>
      <font>
        <strike val="0"/>
        <color rgb="FFFF0000"/>
      </font>
    </dxf>
    <dxf>
      <font>
        <strike val="0"/>
        <color rgb="FF22772D"/>
      </font>
    </dxf>
    <dxf>
      <font>
        <strike val="0"/>
        <color rgb="FFFF0000"/>
      </font>
    </dxf>
    <dxf>
      <font>
        <strike val="0"/>
        <color rgb="FF22772D"/>
      </font>
    </dxf>
    <dxf>
      <font>
        <strike val="0"/>
        <color rgb="FFFF0000"/>
      </font>
    </dxf>
    <dxf>
      <font>
        <strike val="0"/>
        <color rgb="FF22772D"/>
      </font>
    </dxf>
    <dxf>
      <font>
        <strike val="0"/>
        <color rgb="FFFF0000"/>
      </font>
    </dxf>
    <dxf>
      <font>
        <strike val="0"/>
        <color rgb="FF22772D"/>
      </font>
    </dxf>
    <dxf>
      <font>
        <strike val="0"/>
        <color rgb="FFFF0000"/>
      </font>
    </dxf>
    <dxf>
      <font>
        <strike val="0"/>
        <color rgb="FF22772D"/>
      </font>
    </dxf>
    <dxf>
      <font>
        <strike val="0"/>
        <color rgb="FFFF0000"/>
      </font>
    </dxf>
    <dxf>
      <font>
        <strike val="0"/>
        <color rgb="FF22772D"/>
      </font>
    </dxf>
    <dxf>
      <font>
        <strike val="0"/>
        <color rgb="FFFF0000"/>
      </font>
    </dxf>
    <dxf>
      <font>
        <strike val="0"/>
        <color rgb="FF22772D"/>
      </font>
    </dxf>
    <dxf>
      <font>
        <strike val="0"/>
        <color rgb="FFFF0000"/>
      </font>
    </dxf>
    <dxf>
      <font>
        <strike val="0"/>
        <color rgb="FF22772D"/>
      </font>
    </dxf>
    <dxf>
      <font>
        <strike val="0"/>
        <color rgb="FFFF0000"/>
      </font>
    </dxf>
    <dxf>
      <font>
        <strike val="0"/>
        <color rgb="FF22772D"/>
      </font>
    </dxf>
    <dxf>
      <font>
        <strike val="0"/>
        <color rgb="FFFF0000"/>
      </font>
    </dxf>
    <dxf>
      <font>
        <strike val="0"/>
        <color rgb="FF22772D"/>
      </font>
    </dxf>
    <dxf>
      <font>
        <strike val="0"/>
        <color rgb="FFFF0000"/>
      </font>
    </dxf>
    <dxf>
      <font>
        <strike val="0"/>
        <color rgb="FF22772D"/>
      </font>
    </dxf>
    <dxf>
      <font>
        <strike val="0"/>
        <color rgb="FFFF0000"/>
      </font>
    </dxf>
    <dxf>
      <font>
        <strike val="0"/>
        <color rgb="FF22772D"/>
      </font>
    </dxf>
    <dxf>
      <font>
        <strike val="0"/>
        <color rgb="FFFF0000"/>
      </font>
    </dxf>
    <dxf>
      <font>
        <strike val="0"/>
        <color rgb="FF22772D"/>
      </font>
    </dxf>
    <dxf>
      <font>
        <strike val="0"/>
        <color rgb="FFFF0000"/>
      </font>
    </dxf>
    <dxf>
      <font>
        <strike val="0"/>
        <color rgb="FF22772D"/>
      </font>
    </dxf>
    <dxf>
      <font>
        <strike val="0"/>
        <color rgb="FFFF0000"/>
      </font>
    </dxf>
    <dxf>
      <font>
        <strike val="0"/>
        <color rgb="FF22772D"/>
      </font>
    </dxf>
    <dxf>
      <font>
        <strike val="0"/>
        <color rgb="FFFF0000"/>
      </font>
    </dxf>
    <dxf>
      <font>
        <strike val="0"/>
        <color rgb="FF22772D"/>
      </font>
    </dxf>
    <dxf>
      <font>
        <strike val="0"/>
        <color rgb="FFFF0000"/>
      </font>
    </dxf>
    <dxf>
      <font>
        <strike val="0"/>
        <color rgb="FF22772D"/>
      </font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lt-L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lt-LT"/>
        </a:p>
      </c:txPr>
    </c:title>
    <c:autoTitleDeleted val="0"/>
    <c:plotArea>
      <c:layout>
        <c:manualLayout>
          <c:layoutTarget val="inner"/>
          <c:xMode val="edge"/>
          <c:yMode val="edge"/>
          <c:x val="0.10310594737301673"/>
          <c:y val="0.25715894604083578"/>
          <c:w val="0.44413763348074642"/>
          <c:h val="0.58949176807444525"/>
        </c:manualLayout>
      </c:layout>
      <c:pieChart>
        <c:varyColors val="1"/>
        <c:ser>
          <c:idx val="0"/>
          <c:order val="0"/>
          <c:tx>
            <c:strRef>
              <c:f>'Papildomi duomenys'!$B$32</c:f>
              <c:strCache>
                <c:ptCount val="1"/>
                <c:pt idx="0">
                  <c:v>Dalyvių skaičius</c:v>
                </c:pt>
              </c:strCache>
            </c:strRef>
          </c:tx>
          <c:dPt>
            <c:idx val="0"/>
            <c:bubble3D val="0"/>
          </c:dPt>
          <c:dPt>
            <c:idx val="1"/>
            <c:bubble3D val="0"/>
          </c:dPt>
          <c:dPt>
            <c:idx val="2"/>
            <c:bubble3D val="0"/>
          </c:dPt>
          <c:dPt>
            <c:idx val="3"/>
            <c:bubble3D val="0"/>
          </c:dPt>
          <c:dPt>
            <c:idx val="4"/>
            <c:bubble3D val="0"/>
          </c:dPt>
          <c:dLbls>
            <c:dLbl>
              <c:idx val="0"/>
              <c:layout>
                <c:manualLayout>
                  <c:x val="6.4188488066898612E-3"/>
                  <c:y val="2.7775572374782793E-2"/>
                </c:manualLayout>
              </c:layout>
              <c:dLblPos val="bestFit"/>
              <c:showLegendKey val="0"/>
              <c:showVal val="0"/>
              <c:showCatName val="0"/>
              <c:showSerName val="0"/>
              <c:showPercent val="1"/>
              <c:showBubbleSize val="0"/>
            </c:dLbl>
            <c:dLbl>
              <c:idx val="1"/>
              <c:layout>
                <c:manualLayout>
                  <c:x val="4.5554015050444277E-2"/>
                  <c:y val="2.8963000123599508E-3"/>
                </c:manualLayout>
              </c:layout>
              <c:dLblPos val="bestFit"/>
              <c:showLegendKey val="0"/>
              <c:showVal val="0"/>
              <c:showCatName val="0"/>
              <c:showSerName val="0"/>
              <c:showPercent val="1"/>
              <c:showBubbleSize val="0"/>
            </c:dLbl>
            <c:dLbl>
              <c:idx val="2"/>
              <c:layout>
                <c:manualLayout>
                  <c:x val="-6.5656167979002622E-3"/>
                  <c:y val="-4.6799358413531639E-3"/>
                </c:manualLayout>
              </c:layout>
              <c:dLblPos val="bestFit"/>
              <c:showLegendKey val="0"/>
              <c:showVal val="0"/>
              <c:showCatName val="0"/>
              <c:showSerName val="0"/>
              <c:showPercent val="1"/>
              <c:showBubbleSize val="0"/>
            </c:dLbl>
            <c:dLbl>
              <c:idx val="3"/>
              <c:layout>
                <c:manualLayout>
                  <c:x val="-8.145231846019247E-3"/>
                  <c:y val="-3.039989792942549E-2"/>
                </c:manualLayout>
              </c:layout>
              <c:dLblPos val="bestFit"/>
              <c:showLegendKey val="0"/>
              <c:showVal val="0"/>
              <c:showCatName val="0"/>
              <c:showSerName val="0"/>
              <c:showPercent val="1"/>
              <c:showBubbleSize val="0"/>
            </c:dLbl>
            <c:dLbl>
              <c:idx val="4"/>
              <c:layout>
                <c:manualLayout>
                  <c:x val="1.8390666282993674E-2"/>
                  <c:y val="-9.4046138969470922E-3"/>
                </c:manualLayout>
              </c:layout>
              <c:dLblPos val="bestFit"/>
              <c:showLegendKey val="0"/>
              <c:showVal val="0"/>
              <c:showCatName val="0"/>
              <c:showSerName val="0"/>
              <c:showPercent val="1"/>
              <c:showBubbleSize val="0"/>
            </c:dLbl>
            <c:dLbl>
              <c:idx val="5"/>
              <c:layout>
                <c:manualLayout>
                  <c:x val="9.2651790619195859E-3"/>
                  <c:y val="-2.3475763590493016E-2"/>
                </c:manualLayout>
              </c:layout>
              <c:dLblPos val="bestFit"/>
              <c:showLegendKey val="0"/>
              <c:showVal val="0"/>
              <c:showCatName val="0"/>
              <c:showSerName val="0"/>
              <c:showPercent val="1"/>
              <c:showBubbleSize val="0"/>
            </c:dLbl>
            <c:dLbl>
              <c:idx val="6"/>
              <c:layout>
                <c:manualLayout>
                  <c:x val="2.5440046738343755E-2"/>
                  <c:y val="-1.7209704742585846E-2"/>
                </c:manualLayout>
              </c:layout>
              <c:dLblPos val="bestFit"/>
              <c:showLegendKey val="0"/>
              <c:showVal val="0"/>
              <c:showCatName val="0"/>
              <c:showSerName val="0"/>
              <c:showPercent val="1"/>
              <c:showBubbleSize val="0"/>
            </c:dLbl>
            <c:numFmt formatCode="0.00\ %" sourceLinked="0"/>
            <c:txPr>
              <a:bodyPr/>
              <a:lstStyle/>
              <a:p>
                <a:pPr>
                  <a:defRPr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lt-LT"/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1"/>
          </c:dLbls>
          <c:cat>
            <c:strRef>
              <c:f>'Papildomi duomenys'!$A$33:$A$37</c:f>
              <c:strCache>
                <c:ptCount val="5"/>
                <c:pt idx="0">
                  <c:v>"Swedbank investicijų valdymas", UAB 124815377</c:v>
                </c:pt>
                <c:pt idx="1">
                  <c:v>UAB "SEB investicijų valdymas" 125277981</c:v>
                </c:pt>
                <c:pt idx="2">
                  <c:v>Uždaroji akcinė gyvybės draudimo ir pensijų bendrovė "Aviva Lietuva" 111744827</c:v>
                </c:pt>
                <c:pt idx="3">
                  <c:v>„Luminor investicijų valdymas“, UAB 226299280</c:v>
                </c:pt>
                <c:pt idx="4">
                  <c:v>UAB "INVL Asset Management" 126263073</c:v>
                </c:pt>
              </c:strCache>
            </c:strRef>
          </c:cat>
          <c:val>
            <c:numRef>
              <c:f>'Papildomi duomenys'!$B$33:$B$37</c:f>
              <c:numCache>
                <c:formatCode>###\ ###\ ###</c:formatCode>
                <c:ptCount val="5"/>
                <c:pt idx="0">
                  <c:v>521176</c:v>
                </c:pt>
                <c:pt idx="1">
                  <c:v>294773</c:v>
                </c:pt>
                <c:pt idx="2">
                  <c:v>227182</c:v>
                </c:pt>
                <c:pt idx="3">
                  <c:v>133129</c:v>
                </c:pt>
                <c:pt idx="4">
                  <c:v>130550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 w="25400">
          <a:noFill/>
        </a:ln>
      </c:spPr>
    </c:plotArea>
    <c:legend>
      <c:legendPos val="r"/>
      <c:layout>
        <c:manualLayout>
          <c:xMode val="edge"/>
          <c:yMode val="edge"/>
          <c:x val="0.59015721249129582"/>
          <c:y val="0.14673160211632688"/>
          <c:w val="0.37289303122823936"/>
          <c:h val="0.8420140061499084"/>
        </c:manualLayout>
      </c:layout>
      <c:overlay val="0"/>
      <c:txPr>
        <a:bodyPr/>
        <a:lstStyle/>
        <a:p>
          <a:pPr>
            <a:defRPr sz="73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lt-LT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lt-LT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lt-L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lt-LT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'Papildomi duomenys'!$B$70</c:f>
              <c:strCache>
                <c:ptCount val="1"/>
                <c:pt idx="0">
                  <c:v>Grynieji aktyvai, Eur</c:v>
                </c:pt>
              </c:strCache>
            </c:strRef>
          </c:tx>
          <c:dPt>
            <c:idx val="0"/>
            <c:bubble3D val="0"/>
          </c:dPt>
          <c:dPt>
            <c:idx val="1"/>
            <c:bubble3D val="0"/>
          </c:dPt>
          <c:dPt>
            <c:idx val="2"/>
            <c:bubble3D val="0"/>
          </c:dPt>
          <c:dPt>
            <c:idx val="3"/>
            <c:bubble3D val="0"/>
          </c:dPt>
          <c:dPt>
            <c:idx val="4"/>
            <c:bubble3D val="0"/>
          </c:dPt>
          <c:dLbls>
            <c:dLbl>
              <c:idx val="0"/>
              <c:layout>
                <c:manualLayout>
                  <c:x val="6.4188488066898612E-3"/>
                  <c:y val="2.7775572374782793E-2"/>
                </c:manualLayout>
              </c:layout>
              <c:dLblPos val="bestFit"/>
              <c:showLegendKey val="0"/>
              <c:showVal val="0"/>
              <c:showCatName val="0"/>
              <c:showSerName val="0"/>
              <c:showPercent val="1"/>
              <c:showBubbleSize val="0"/>
            </c:dLbl>
            <c:dLbl>
              <c:idx val="1"/>
              <c:layout>
                <c:manualLayout>
                  <c:x val="4.5554015050444277E-2"/>
                  <c:y val="2.8963000123599508E-3"/>
                </c:manualLayout>
              </c:layout>
              <c:dLblPos val="bestFit"/>
              <c:showLegendKey val="0"/>
              <c:showVal val="0"/>
              <c:showCatName val="0"/>
              <c:showSerName val="0"/>
              <c:showPercent val="1"/>
              <c:showBubbleSize val="0"/>
            </c:dLbl>
            <c:dLbl>
              <c:idx val="2"/>
              <c:layout>
                <c:manualLayout>
                  <c:x val="-6.5656167979002622E-3"/>
                  <c:y val="-4.6799358413531639E-3"/>
                </c:manualLayout>
              </c:layout>
              <c:dLblPos val="bestFit"/>
              <c:showLegendKey val="0"/>
              <c:showVal val="0"/>
              <c:showCatName val="0"/>
              <c:showSerName val="0"/>
              <c:showPercent val="1"/>
              <c:showBubbleSize val="0"/>
            </c:dLbl>
            <c:dLbl>
              <c:idx val="3"/>
              <c:layout>
                <c:manualLayout>
                  <c:x val="-8.145231846019247E-3"/>
                  <c:y val="-3.039989792942549E-2"/>
                </c:manualLayout>
              </c:layout>
              <c:dLblPos val="bestFit"/>
              <c:showLegendKey val="0"/>
              <c:showVal val="0"/>
              <c:showCatName val="0"/>
              <c:showSerName val="0"/>
              <c:showPercent val="1"/>
              <c:showBubbleSize val="0"/>
            </c:dLbl>
            <c:dLbl>
              <c:idx val="4"/>
              <c:layout>
                <c:manualLayout>
                  <c:x val="1.8390666282993674E-2"/>
                  <c:y val="-9.4046138969470922E-3"/>
                </c:manualLayout>
              </c:layout>
              <c:dLblPos val="bestFit"/>
              <c:showLegendKey val="0"/>
              <c:showVal val="0"/>
              <c:showCatName val="0"/>
              <c:showSerName val="0"/>
              <c:showPercent val="1"/>
              <c:showBubbleSize val="0"/>
            </c:dLbl>
            <c:dLbl>
              <c:idx val="5"/>
              <c:layout>
                <c:manualLayout>
                  <c:x val="9.2651790619195859E-3"/>
                  <c:y val="-2.3475763590493016E-2"/>
                </c:manualLayout>
              </c:layout>
              <c:dLblPos val="bestFit"/>
              <c:showLegendKey val="0"/>
              <c:showVal val="0"/>
              <c:showCatName val="0"/>
              <c:showSerName val="0"/>
              <c:showPercent val="1"/>
              <c:showBubbleSize val="0"/>
            </c:dLbl>
            <c:dLbl>
              <c:idx val="6"/>
              <c:layout>
                <c:manualLayout>
                  <c:x val="2.5440046738343755E-2"/>
                  <c:y val="-1.7209704742585846E-2"/>
                </c:manualLayout>
              </c:layout>
              <c:dLblPos val="bestFit"/>
              <c:showLegendKey val="0"/>
              <c:showVal val="0"/>
              <c:showCatName val="0"/>
              <c:showSerName val="0"/>
              <c:showPercent val="1"/>
              <c:showBubbleSize val="0"/>
            </c:dLbl>
            <c:numFmt formatCode="0.00\ %" sourceLinked="0"/>
            <c:txPr>
              <a:bodyPr/>
              <a:lstStyle/>
              <a:p>
                <a:pPr>
                  <a:defRPr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lt-LT"/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1"/>
          </c:dLbls>
          <c:cat>
            <c:strRef>
              <c:f>'Papildomi duomenys'!$A$71:$A$75</c:f>
              <c:strCache>
                <c:ptCount val="5"/>
                <c:pt idx="0">
                  <c:v>"Swedbank investicijų valdymas", UAB 124815377</c:v>
                </c:pt>
                <c:pt idx="1">
                  <c:v>UAB "SEB investicijų valdymas" 125277981</c:v>
                </c:pt>
                <c:pt idx="2">
                  <c:v>Uždaroji akcinė gyvybės draudimo ir pensijų bendrovė "Aviva Lietuva" 111744827</c:v>
                </c:pt>
                <c:pt idx="3">
                  <c:v>UAB "INVL Asset Management" 126263073</c:v>
                </c:pt>
                <c:pt idx="4">
                  <c:v>„Luminor investicijų valdymas“, UAB 226299280</c:v>
                </c:pt>
              </c:strCache>
            </c:strRef>
          </c:cat>
          <c:val>
            <c:numRef>
              <c:f>'Papildomi duomenys'!$B$71:$B$75</c:f>
              <c:numCache>
                <c:formatCode>###\ ###\ ###</c:formatCode>
                <c:ptCount val="5"/>
                <c:pt idx="0" formatCode="###\ ###\ ###\ ###">
                  <c:v>1192679239.1699998</c:v>
                </c:pt>
                <c:pt idx="1">
                  <c:v>827675490.21999991</c:v>
                </c:pt>
                <c:pt idx="2">
                  <c:v>487704247.93000001</c:v>
                </c:pt>
                <c:pt idx="3">
                  <c:v>371582568.57860005</c:v>
                </c:pt>
                <c:pt idx="4">
                  <c:v>327841280.26630002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 w="25400">
          <a:noFill/>
        </a:ln>
      </c:spPr>
    </c:plotArea>
    <c:legend>
      <c:legendPos val="r"/>
      <c:layout>
        <c:manualLayout>
          <c:xMode val="edge"/>
          <c:yMode val="edge"/>
          <c:x val="0.59579499098757227"/>
          <c:y val="0.15804300147413081"/>
          <c:w val="0.38161043122621718"/>
          <c:h val="0.8283633552655234"/>
        </c:manualLayout>
      </c:layout>
      <c:overlay val="0"/>
      <c:txPr>
        <a:bodyPr/>
        <a:lstStyle/>
        <a:p>
          <a:pPr>
            <a:defRPr sz="73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lt-LT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lt-LT"/>
    </a:p>
  </c:tx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571500</xdr:colOff>
      <xdr:row>2</xdr:row>
      <xdr:rowOff>106680</xdr:rowOff>
    </xdr:from>
    <xdr:to>
      <xdr:col>8</xdr:col>
      <xdr:colOff>182880</xdr:colOff>
      <xdr:row>21</xdr:row>
      <xdr:rowOff>152400</xdr:rowOff>
    </xdr:to>
    <xdr:graphicFrame macro="">
      <xdr:nvGraphicFramePr>
        <xdr:cNvPr id="1397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670560</xdr:colOff>
      <xdr:row>34</xdr:row>
      <xdr:rowOff>160020</xdr:rowOff>
    </xdr:from>
    <xdr:to>
      <xdr:col>8</xdr:col>
      <xdr:colOff>342900</xdr:colOff>
      <xdr:row>50</xdr:row>
      <xdr:rowOff>137160</xdr:rowOff>
    </xdr:to>
    <xdr:graphicFrame macro="">
      <xdr:nvGraphicFramePr>
        <xdr:cNvPr id="1398" name="Chart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56"/>
  <sheetViews>
    <sheetView tabSelected="1" zoomScale="70" zoomScaleNormal="70" workbookViewId="0"/>
  </sheetViews>
  <sheetFormatPr defaultRowHeight="12.75" zeroHeight="1" x14ac:dyDescent="0.2"/>
  <cols>
    <col min="1" max="1" width="31.5703125" style="90" customWidth="1"/>
    <col min="2" max="4" width="9.7109375" style="90" customWidth="1"/>
    <col min="5" max="5" width="14.5703125" style="90" customWidth="1"/>
    <col min="6" max="7" width="14.28515625" style="90" customWidth="1"/>
    <col min="8" max="8" width="13.7109375" style="90" customWidth="1"/>
    <col min="9" max="10" width="16.28515625" style="90" bestFit="1" customWidth="1"/>
    <col min="11" max="12" width="16.28515625" style="90" customWidth="1"/>
    <col min="13" max="256" width="0" hidden="1" customWidth="1"/>
  </cols>
  <sheetData>
    <row r="1" spans="1:12" ht="15.75" thickBot="1" x14ac:dyDescent="0.3">
      <c r="A1" s="68">
        <v>43373</v>
      </c>
      <c r="B1" s="31"/>
      <c r="C1" s="57"/>
      <c r="D1" s="30"/>
      <c r="E1" s="32"/>
      <c r="F1" s="32"/>
      <c r="G1" s="32"/>
      <c r="H1" s="32"/>
      <c r="I1" s="32"/>
      <c r="J1" s="32"/>
      <c r="K1" s="32"/>
      <c r="L1" s="32"/>
    </row>
    <row r="2" spans="1:12" ht="14.45" customHeight="1" thickBot="1" x14ac:dyDescent="0.25">
      <c r="A2" s="99" t="s">
        <v>0</v>
      </c>
      <c r="B2" s="101" t="s">
        <v>15</v>
      </c>
      <c r="C2" s="103" t="s">
        <v>32</v>
      </c>
      <c r="D2" s="103" t="s">
        <v>29</v>
      </c>
      <c r="E2" s="105" t="s">
        <v>33</v>
      </c>
      <c r="F2" s="106"/>
      <c r="G2" s="106"/>
      <c r="H2" s="106"/>
      <c r="I2" s="107" t="s">
        <v>20</v>
      </c>
      <c r="J2" s="108"/>
      <c r="K2" s="107" t="s">
        <v>16</v>
      </c>
      <c r="L2" s="108"/>
    </row>
    <row r="3" spans="1:12" ht="72" thickBot="1" x14ac:dyDescent="0.25">
      <c r="A3" s="100"/>
      <c r="B3" s="102"/>
      <c r="C3" s="104"/>
      <c r="D3" s="104"/>
      <c r="E3" s="7" t="s">
        <v>66</v>
      </c>
      <c r="F3" s="41" t="s">
        <v>67</v>
      </c>
      <c r="G3" s="41" t="s">
        <v>68</v>
      </c>
      <c r="H3" s="42" t="s">
        <v>69</v>
      </c>
      <c r="I3" s="7" t="s">
        <v>70</v>
      </c>
      <c r="J3" s="42" t="s">
        <v>71</v>
      </c>
      <c r="K3" s="7" t="s">
        <v>72</v>
      </c>
      <c r="L3" s="8" t="s">
        <v>73</v>
      </c>
    </row>
    <row r="4" spans="1:12" ht="22.15" customHeight="1" thickBot="1" x14ac:dyDescent="0.25">
      <c r="A4" s="96" t="s">
        <v>17</v>
      </c>
      <c r="B4" s="97"/>
      <c r="C4" s="97"/>
      <c r="D4" s="97"/>
      <c r="E4" s="97"/>
      <c r="F4" s="97"/>
      <c r="G4" s="97"/>
      <c r="H4" s="97"/>
      <c r="I4" s="97"/>
      <c r="J4" s="97"/>
      <c r="K4" s="97"/>
      <c r="L4" s="98"/>
    </row>
    <row r="5" spans="1:12" ht="15" x14ac:dyDescent="0.25">
      <c r="A5" s="1" t="s">
        <v>6</v>
      </c>
      <c r="B5" s="50">
        <v>14.301369863013699</v>
      </c>
      <c r="C5" s="58">
        <v>0</v>
      </c>
      <c r="D5" s="43">
        <v>57.490847780000003</v>
      </c>
      <c r="E5" s="36">
        <v>0.16583747927032544</v>
      </c>
      <c r="F5" s="10">
        <v>0.33333579839491811</v>
      </c>
      <c r="G5" s="10">
        <v>2.2748514845970957</v>
      </c>
      <c r="H5" s="33">
        <v>4.2137075040433958</v>
      </c>
      <c r="I5" s="9">
        <v>9.0039306652700546E-2</v>
      </c>
      <c r="J5" s="21">
        <v>1.0745045934261288</v>
      </c>
      <c r="K5" s="36">
        <v>1.7749250044028091</v>
      </c>
      <c r="L5" s="21">
        <v>2.8291571099434369</v>
      </c>
    </row>
    <row r="6" spans="1:12" ht="15" x14ac:dyDescent="0.25">
      <c r="A6" s="2" t="s">
        <v>5</v>
      </c>
      <c r="B6" s="51">
        <v>14.301369863013699</v>
      </c>
      <c r="C6" s="59">
        <v>0</v>
      </c>
      <c r="D6" s="44">
        <v>7.98020701</v>
      </c>
      <c r="E6" s="37">
        <v>-7.4719800747202747E-2</v>
      </c>
      <c r="F6" s="12">
        <v>1.1300871695095083</v>
      </c>
      <c r="G6" s="12">
        <v>2.0776047458110458</v>
      </c>
      <c r="H6" s="34">
        <v>2.4256277245508162</v>
      </c>
      <c r="I6" s="11">
        <v>0.28424155654487304</v>
      </c>
      <c r="J6" s="22">
        <v>1.6710494768156448</v>
      </c>
      <c r="K6" s="37">
        <v>2.1144513546972408</v>
      </c>
      <c r="L6" s="22">
        <v>2.0003743738467814</v>
      </c>
    </row>
    <row r="7" spans="1:12" ht="15" x14ac:dyDescent="0.2">
      <c r="A7" s="3" t="s">
        <v>61</v>
      </c>
      <c r="B7" s="51">
        <v>14.301369863013699</v>
      </c>
      <c r="C7" s="59">
        <v>0</v>
      </c>
      <c r="D7" s="44">
        <v>31.810774724800002</v>
      </c>
      <c r="E7" s="37">
        <v>-0.51329911339244028</v>
      </c>
      <c r="F7" s="12">
        <v>-7.025763436940835E-2</v>
      </c>
      <c r="G7" s="12">
        <v>0.97039953337085816</v>
      </c>
      <c r="H7" s="34">
        <v>2.8002784709892925</v>
      </c>
      <c r="I7" s="11">
        <v>0.30378290412969022</v>
      </c>
      <c r="J7" s="22">
        <v>1.7452030308393818</v>
      </c>
      <c r="K7" s="37">
        <v>0.84996473537973982</v>
      </c>
      <c r="L7" s="22">
        <v>1.6749642446814348</v>
      </c>
    </row>
    <row r="8" spans="1:12" ht="15" x14ac:dyDescent="0.2">
      <c r="A8" s="3" t="s">
        <v>25</v>
      </c>
      <c r="B8" s="51">
        <v>14.301369863013699</v>
      </c>
      <c r="C8" s="59">
        <v>0</v>
      </c>
      <c r="D8" s="44">
        <v>16.4128920076</v>
      </c>
      <c r="E8" s="37">
        <v>-1.8595450049455953</v>
      </c>
      <c r="F8" s="12">
        <v>0.54337818684120354</v>
      </c>
      <c r="G8" s="12">
        <v>1.8613261794501623</v>
      </c>
      <c r="H8" s="34">
        <v>4.2498870730231619</v>
      </c>
      <c r="I8" s="11">
        <v>0.26865728409779521</v>
      </c>
      <c r="J8" s="22">
        <v>1.2011144298313736</v>
      </c>
      <c r="K8" s="37">
        <v>1.5171382725150993</v>
      </c>
      <c r="L8" s="22">
        <v>2.0867818664077764</v>
      </c>
    </row>
    <row r="9" spans="1:12" ht="15" x14ac:dyDescent="0.25">
      <c r="A9" s="2" t="s">
        <v>4</v>
      </c>
      <c r="B9" s="51">
        <v>14.301369863013699</v>
      </c>
      <c r="C9" s="59">
        <v>0</v>
      </c>
      <c r="D9" s="44">
        <v>87.558883879999996</v>
      </c>
      <c r="E9" s="37">
        <v>-0.59771309771309289</v>
      </c>
      <c r="F9" s="12">
        <v>-0.31177131417059467</v>
      </c>
      <c r="G9" s="12">
        <v>0.60155516663265018</v>
      </c>
      <c r="H9" s="34">
        <v>2.0092112222542813</v>
      </c>
      <c r="I9" s="11">
        <v>0.74521915077672141</v>
      </c>
      <c r="J9" s="22">
        <v>1.5339468592728389</v>
      </c>
      <c r="K9" s="37">
        <v>0.87944903461032076</v>
      </c>
      <c r="L9" s="22">
        <v>2.6684851229858513</v>
      </c>
    </row>
    <row r="10" spans="1:12" ht="15.75" thickBot="1" x14ac:dyDescent="0.25">
      <c r="A10" s="4" t="s">
        <v>34</v>
      </c>
      <c r="B10" s="52">
        <v>14.301369863013699</v>
      </c>
      <c r="C10" s="60">
        <v>0</v>
      </c>
      <c r="D10" s="45">
        <v>42.588259000000001</v>
      </c>
      <c r="E10" s="38">
        <v>-0.19525801952580135</v>
      </c>
      <c r="F10" s="15">
        <v>0.14013471248117693</v>
      </c>
      <c r="G10" s="15">
        <v>0.35021191919959449</v>
      </c>
      <c r="H10" s="35">
        <v>1.2789507267456646</v>
      </c>
      <c r="I10" s="13">
        <v>-0.21103723591359147</v>
      </c>
      <c r="J10" s="27">
        <v>-8.3346557283425771E-2</v>
      </c>
      <c r="K10" s="38">
        <v>0.30645079949114584</v>
      </c>
      <c r="L10" s="23">
        <v>1.3773986325473659</v>
      </c>
    </row>
    <row r="11" spans="1:12" ht="15.75" thickBot="1" x14ac:dyDescent="0.25">
      <c r="A11" s="69" t="s">
        <v>35</v>
      </c>
      <c r="B11" s="70"/>
      <c r="C11" s="70"/>
      <c r="D11" s="71"/>
      <c r="E11" s="24">
        <v>-0.4042041225280576</v>
      </c>
      <c r="F11" s="19">
        <v>5.5508475077067111E-2</v>
      </c>
      <c r="G11" s="19">
        <v>1.1333910134038345</v>
      </c>
      <c r="H11" s="39">
        <v>2.669070677221733</v>
      </c>
      <c r="I11" s="18">
        <v>0.3189796955966871</v>
      </c>
      <c r="J11" s="17">
        <v>1.152798816999306</v>
      </c>
      <c r="K11" s="26"/>
      <c r="L11" s="20"/>
    </row>
    <row r="12" spans="1:12" ht="21" customHeight="1" thickBot="1" x14ac:dyDescent="0.25">
      <c r="A12" s="96" t="s">
        <v>3</v>
      </c>
      <c r="B12" s="97"/>
      <c r="C12" s="97"/>
      <c r="D12" s="97"/>
      <c r="E12" s="97"/>
      <c r="F12" s="97"/>
      <c r="G12" s="97"/>
      <c r="H12" s="97"/>
      <c r="I12" s="97"/>
      <c r="J12" s="97"/>
      <c r="K12" s="97"/>
      <c r="L12" s="98"/>
    </row>
    <row r="13" spans="1:12" ht="15" x14ac:dyDescent="0.25">
      <c r="A13" s="1" t="s">
        <v>7</v>
      </c>
      <c r="B13" s="50">
        <v>14.301369863013699</v>
      </c>
      <c r="C13" s="46" t="s">
        <v>36</v>
      </c>
      <c r="D13" s="46">
        <v>323.61090032999999</v>
      </c>
      <c r="E13" s="36">
        <v>-0.22164758034723953</v>
      </c>
      <c r="F13" s="10">
        <v>1.8496628505224155</v>
      </c>
      <c r="G13" s="10">
        <v>3.4742555930839858</v>
      </c>
      <c r="H13" s="33">
        <v>4.7326342379807596</v>
      </c>
      <c r="I13" s="9">
        <v>1.6559195181370168</v>
      </c>
      <c r="J13" s="21">
        <v>2.5282753714059414</v>
      </c>
      <c r="K13" s="36">
        <v>3.3683516215625779</v>
      </c>
      <c r="L13" s="21">
        <v>4.293689848759163</v>
      </c>
    </row>
    <row r="14" spans="1:12" ht="15" x14ac:dyDescent="0.2">
      <c r="A14" s="5" t="s">
        <v>62</v>
      </c>
      <c r="B14" s="51">
        <v>14.301369863013699</v>
      </c>
      <c r="C14" s="47" t="s">
        <v>37</v>
      </c>
      <c r="D14" s="47">
        <v>119.5688762093</v>
      </c>
      <c r="E14" s="37">
        <v>-8.0971659919026884E-2</v>
      </c>
      <c r="F14" s="12">
        <v>1.6248827248354747</v>
      </c>
      <c r="G14" s="12">
        <v>2.778098297006526</v>
      </c>
      <c r="H14" s="34">
        <v>4.4065196838081855</v>
      </c>
      <c r="I14" s="11">
        <v>2.5171207494952608</v>
      </c>
      <c r="J14" s="22">
        <v>3.442826846724123</v>
      </c>
      <c r="K14" s="37">
        <v>2.6957158353008066</v>
      </c>
      <c r="L14" s="22">
        <v>3.4080342125079182</v>
      </c>
    </row>
    <row r="15" spans="1:12" ht="15" x14ac:dyDescent="0.2">
      <c r="A15" s="5" t="s">
        <v>26</v>
      </c>
      <c r="B15" s="51">
        <v>14.301369863013699</v>
      </c>
      <c r="C15" s="47" t="s">
        <v>36</v>
      </c>
      <c r="D15" s="47">
        <v>20.2905880522</v>
      </c>
      <c r="E15" s="37">
        <v>-1.2068965517241348</v>
      </c>
      <c r="F15" s="12">
        <v>4.5830237366047966</v>
      </c>
      <c r="G15" s="12">
        <v>4.3692273840658435</v>
      </c>
      <c r="H15" s="34">
        <v>5.7571248688941479</v>
      </c>
      <c r="I15" s="11">
        <v>5.6166889385909302</v>
      </c>
      <c r="J15" s="22">
        <v>5.6633026630535266</v>
      </c>
      <c r="K15" s="37">
        <v>3.4596343914373695</v>
      </c>
      <c r="L15" s="22">
        <v>6.1720721712665894</v>
      </c>
    </row>
    <row r="16" spans="1:12" ht="15.75" thickBot="1" x14ac:dyDescent="0.25">
      <c r="A16" s="6" t="s">
        <v>8</v>
      </c>
      <c r="B16" s="52">
        <v>14.301369863013699</v>
      </c>
      <c r="C16" s="48" t="s">
        <v>36</v>
      </c>
      <c r="D16" s="48">
        <v>275.42619337000002</v>
      </c>
      <c r="E16" s="38">
        <v>0.51227321237992118</v>
      </c>
      <c r="F16" s="15">
        <v>3.0430747353657805</v>
      </c>
      <c r="G16" s="15">
        <v>3.8206578192171659</v>
      </c>
      <c r="H16" s="35">
        <v>3.9909541795844827</v>
      </c>
      <c r="I16" s="14">
        <v>3.5200136554733419</v>
      </c>
      <c r="J16" s="23">
        <v>4.6047521352333476</v>
      </c>
      <c r="K16" s="38">
        <v>2.953793115784098</v>
      </c>
      <c r="L16" s="23">
        <v>4.104751659898664</v>
      </c>
    </row>
    <row r="17" spans="1:12" ht="15.75" thickBot="1" x14ac:dyDescent="0.25">
      <c r="A17" s="69" t="s">
        <v>38</v>
      </c>
      <c r="B17" s="70"/>
      <c r="C17" s="70"/>
      <c r="D17" s="71"/>
      <c r="E17" s="18">
        <v>4.7632589847503563E-2</v>
      </c>
      <c r="F17" s="16">
        <v>2.3331969547622977</v>
      </c>
      <c r="G17" s="16">
        <v>3.5153019405926202</v>
      </c>
      <c r="H17" s="40">
        <v>4.4315315380317521</v>
      </c>
      <c r="I17" s="24">
        <v>2.5988925891659038</v>
      </c>
      <c r="J17" s="20">
        <v>3.5363725429286004</v>
      </c>
      <c r="K17" s="26"/>
      <c r="L17" s="20"/>
    </row>
    <row r="18" spans="1:12" ht="19.149999999999999" customHeight="1" thickBot="1" x14ac:dyDescent="0.25">
      <c r="A18" s="96" t="s">
        <v>13</v>
      </c>
      <c r="B18" s="97"/>
      <c r="C18" s="97"/>
      <c r="D18" s="97"/>
      <c r="E18" s="97"/>
      <c r="F18" s="97"/>
      <c r="G18" s="97"/>
      <c r="H18" s="97"/>
      <c r="I18" s="97"/>
      <c r="J18" s="97"/>
      <c r="K18" s="97"/>
      <c r="L18" s="98"/>
    </row>
    <row r="19" spans="1:12" ht="15" x14ac:dyDescent="0.25">
      <c r="A19" s="1" t="s">
        <v>11</v>
      </c>
      <c r="B19" s="50">
        <v>12.654794520547945</v>
      </c>
      <c r="C19" s="72" t="s">
        <v>39</v>
      </c>
      <c r="D19" s="73">
        <v>106.60249981999999</v>
      </c>
      <c r="E19" s="9">
        <v>-0.46885465505693835</v>
      </c>
      <c r="F19" s="10">
        <v>2.9638508708016431</v>
      </c>
      <c r="G19" s="10">
        <v>4.5663009520937603</v>
      </c>
      <c r="H19" s="33">
        <v>5.4993917346330967</v>
      </c>
      <c r="I19" s="9">
        <v>3.1885946241990704</v>
      </c>
      <c r="J19" s="21">
        <v>3.9408835069995485</v>
      </c>
      <c r="K19" s="36">
        <v>4.9973773658447112</v>
      </c>
      <c r="L19" s="21">
        <v>6.258299956001756</v>
      </c>
    </row>
    <row r="20" spans="1:12" ht="15" x14ac:dyDescent="0.2">
      <c r="A20" s="3" t="s">
        <v>63</v>
      </c>
      <c r="B20" s="51">
        <v>14.301369863013699</v>
      </c>
      <c r="C20" s="74" t="s">
        <v>40</v>
      </c>
      <c r="D20" s="75">
        <v>173.8538453475</v>
      </c>
      <c r="E20" s="11">
        <v>0.61762034514076802</v>
      </c>
      <c r="F20" s="12">
        <v>3.4714305768166032</v>
      </c>
      <c r="G20" s="12">
        <v>4.4285628547171552</v>
      </c>
      <c r="H20" s="34">
        <v>5.7662118808584628</v>
      </c>
      <c r="I20" s="11">
        <v>4.7173013885383641</v>
      </c>
      <c r="J20" s="22">
        <v>5.1079869440672443</v>
      </c>
      <c r="K20" s="37">
        <v>4.583553736905845</v>
      </c>
      <c r="L20" s="22">
        <v>5.4961051594271808</v>
      </c>
    </row>
    <row r="21" spans="1:12" ht="15" x14ac:dyDescent="0.2">
      <c r="A21" s="3" t="s">
        <v>27</v>
      </c>
      <c r="B21" s="51">
        <v>10.882191780821918</v>
      </c>
      <c r="C21" s="74" t="s">
        <v>41</v>
      </c>
      <c r="D21" s="75">
        <v>119.81223264030001</v>
      </c>
      <c r="E21" s="11">
        <v>1.1615628299894265</v>
      </c>
      <c r="F21" s="12">
        <v>7.0386448144127645</v>
      </c>
      <c r="G21" s="12">
        <v>6.8867590025255554</v>
      </c>
      <c r="H21" s="34">
        <v>6.779123252716901</v>
      </c>
      <c r="I21" s="11">
        <v>7.4808217774401609</v>
      </c>
      <c r="J21" s="22">
        <v>7.8922026305000337</v>
      </c>
      <c r="K21" s="37">
        <v>5.7497273865604592</v>
      </c>
      <c r="L21" s="22">
        <v>5.9178766584835847</v>
      </c>
    </row>
    <row r="22" spans="1:12" ht="15" x14ac:dyDescent="0.2">
      <c r="A22" s="3" t="s">
        <v>1</v>
      </c>
      <c r="B22" s="51">
        <v>14.301369863013699</v>
      </c>
      <c r="C22" s="74" t="s">
        <v>43</v>
      </c>
      <c r="D22" s="75">
        <v>565.81471531</v>
      </c>
      <c r="E22" s="11">
        <v>0.62618595825425505</v>
      </c>
      <c r="F22" s="12">
        <v>4.6805296167965249</v>
      </c>
      <c r="G22" s="12">
        <v>4.0654027287290617</v>
      </c>
      <c r="H22" s="34">
        <v>4.344438622014235</v>
      </c>
      <c r="I22" s="11">
        <v>6.0758569253660966</v>
      </c>
      <c r="J22" s="22">
        <v>4.9382609660640009</v>
      </c>
      <c r="K22" s="37">
        <v>5.8789954900682551</v>
      </c>
      <c r="L22" s="22">
        <v>8.5360280721796347</v>
      </c>
    </row>
    <row r="23" spans="1:12" ht="15" x14ac:dyDescent="0.2">
      <c r="A23" s="3" t="s">
        <v>9</v>
      </c>
      <c r="B23" s="51">
        <v>14.301369863013699</v>
      </c>
      <c r="C23" s="74" t="s">
        <v>40</v>
      </c>
      <c r="D23" s="75">
        <v>421.45479505000003</v>
      </c>
      <c r="E23" s="11">
        <v>1.4359563469270586</v>
      </c>
      <c r="F23" s="12">
        <v>4.7837909100162612</v>
      </c>
      <c r="G23" s="12">
        <v>5.1530485044132268</v>
      </c>
      <c r="H23" s="34">
        <v>4.7562192352265997</v>
      </c>
      <c r="I23" s="11">
        <v>5.5104250966342416</v>
      </c>
      <c r="J23" s="22">
        <v>5.9986061731372331</v>
      </c>
      <c r="K23" s="37">
        <v>4.6412518928273014</v>
      </c>
      <c r="L23" s="22">
        <v>6.0145695479136299</v>
      </c>
    </row>
    <row r="24" spans="1:12" ht="15.75" thickBot="1" x14ac:dyDescent="0.25">
      <c r="A24" s="76" t="s">
        <v>10</v>
      </c>
      <c r="B24" s="77">
        <v>12.789041095890411</v>
      </c>
      <c r="C24" s="78" t="s">
        <v>41</v>
      </c>
      <c r="D24" s="79">
        <v>220.65467781000001</v>
      </c>
      <c r="E24" s="13">
        <v>2.2641509433962259</v>
      </c>
      <c r="F24" s="92">
        <v>6.5252672145176494</v>
      </c>
      <c r="G24" s="92">
        <v>6.0794231699776047</v>
      </c>
      <c r="H24" s="93">
        <v>5.2920841789227069</v>
      </c>
      <c r="I24" s="13">
        <v>7.4637604741910613</v>
      </c>
      <c r="J24" s="27">
        <v>7.2831452871659819</v>
      </c>
      <c r="K24" s="11">
        <v>6.245360127919235</v>
      </c>
      <c r="L24" s="22">
        <v>8.9214613434348529</v>
      </c>
    </row>
    <row r="25" spans="1:12" ht="15.75" thickBot="1" x14ac:dyDescent="0.25">
      <c r="A25" s="69" t="s">
        <v>38</v>
      </c>
      <c r="B25" s="70"/>
      <c r="C25" s="70"/>
      <c r="D25" s="71"/>
      <c r="E25" s="18">
        <v>1.0295130529433534</v>
      </c>
      <c r="F25" s="16">
        <v>4.891880045714192</v>
      </c>
      <c r="G25" s="16">
        <v>4.9094329775546051</v>
      </c>
      <c r="H25" s="17">
        <v>4.9940224279527117</v>
      </c>
      <c r="I25" s="25">
        <v>5.8845216208968827</v>
      </c>
      <c r="J25" s="17">
        <v>5.7101834756053957</v>
      </c>
      <c r="K25" s="25"/>
      <c r="L25" s="17"/>
    </row>
    <row r="26" spans="1:12" ht="19.149999999999999" customHeight="1" thickBot="1" x14ac:dyDescent="0.25">
      <c r="A26" s="96" t="s">
        <v>14</v>
      </c>
      <c r="B26" s="97"/>
      <c r="C26" s="97"/>
      <c r="D26" s="97"/>
      <c r="E26" s="97"/>
      <c r="F26" s="97"/>
      <c r="G26" s="97"/>
      <c r="H26" s="97"/>
      <c r="I26" s="97"/>
      <c r="J26" s="97"/>
      <c r="K26" s="97"/>
      <c r="L26" s="98"/>
    </row>
    <row r="27" spans="1:12" ht="15" x14ac:dyDescent="0.2">
      <c r="A27" s="80" t="s">
        <v>64</v>
      </c>
      <c r="B27" s="81">
        <v>1.3205479452054794</v>
      </c>
      <c r="C27" s="82" t="s">
        <v>44</v>
      </c>
      <c r="D27" s="83">
        <v>2.6077839846999997</v>
      </c>
      <c r="E27" s="84">
        <v>1.3949516037198739</v>
      </c>
      <c r="F27" s="10" t="s">
        <v>42</v>
      </c>
      <c r="G27" s="10" t="s">
        <v>42</v>
      </c>
      <c r="H27" s="21" t="s">
        <v>42</v>
      </c>
      <c r="I27" s="9" t="s">
        <v>42</v>
      </c>
      <c r="J27" s="21" t="s">
        <v>42</v>
      </c>
      <c r="K27" s="9" t="s">
        <v>42</v>
      </c>
      <c r="L27" s="85" t="s">
        <v>42</v>
      </c>
    </row>
    <row r="28" spans="1:12" ht="15" x14ac:dyDescent="0.2">
      <c r="A28" s="86" t="s">
        <v>28</v>
      </c>
      <c r="B28" s="51">
        <v>10.926027397260274</v>
      </c>
      <c r="C28" s="74" t="s">
        <v>44</v>
      </c>
      <c r="D28" s="87">
        <v>215.06685587850001</v>
      </c>
      <c r="E28" s="11">
        <v>5.65766341697298</v>
      </c>
      <c r="F28" s="12">
        <v>11.626278898443299</v>
      </c>
      <c r="G28" s="12">
        <v>10.323930558838136</v>
      </c>
      <c r="H28" s="22">
        <v>8.2723929654557224</v>
      </c>
      <c r="I28" s="11">
        <v>11.62954645811598</v>
      </c>
      <c r="J28" s="22">
        <v>10.677920711949529</v>
      </c>
      <c r="K28" s="11">
        <v>9.7822603789684432</v>
      </c>
      <c r="L28" s="22">
        <v>8.9256011335512468</v>
      </c>
    </row>
    <row r="29" spans="1:12" ht="15" x14ac:dyDescent="0.2">
      <c r="A29" s="86" t="s">
        <v>2</v>
      </c>
      <c r="B29" s="51">
        <v>12.520547945205479</v>
      </c>
      <c r="C29" s="74" t="s">
        <v>45</v>
      </c>
      <c r="D29" s="87">
        <v>174.30189103000001</v>
      </c>
      <c r="E29" s="11">
        <v>3.0949589683470169</v>
      </c>
      <c r="F29" s="12">
        <v>8.8217772395441827</v>
      </c>
      <c r="G29" s="12">
        <v>7.1232974708524299</v>
      </c>
      <c r="H29" s="22">
        <v>5.476005930862704</v>
      </c>
      <c r="I29" s="11">
        <v>9.6789048492198724</v>
      </c>
      <c r="J29" s="22">
        <v>7.7336349293687823</v>
      </c>
      <c r="K29" s="11">
        <v>9.1638510373018658</v>
      </c>
      <c r="L29" s="22">
        <v>12.934562277643391</v>
      </c>
    </row>
    <row r="30" spans="1:12" ht="15.75" thickBot="1" x14ac:dyDescent="0.25">
      <c r="A30" s="88" t="s">
        <v>12</v>
      </c>
      <c r="B30" s="77">
        <v>7.4109589041095889</v>
      </c>
      <c r="C30" s="78" t="s">
        <v>44</v>
      </c>
      <c r="D30" s="89">
        <v>182.89934134000001</v>
      </c>
      <c r="E30" s="14">
        <v>3.3720410897722264</v>
      </c>
      <c r="F30" s="15">
        <v>9.0044457133839906</v>
      </c>
      <c r="G30" s="15">
        <v>7.7171513323937679</v>
      </c>
      <c r="H30" s="23" t="s">
        <v>42</v>
      </c>
      <c r="I30" s="14">
        <v>10.344423986913153</v>
      </c>
      <c r="J30" s="23">
        <v>9.109189317310328</v>
      </c>
      <c r="K30" s="14">
        <v>8.9500615499134373</v>
      </c>
      <c r="L30" s="23" t="s">
        <v>42</v>
      </c>
    </row>
    <row r="31" spans="1:12" ht="15.75" thickBot="1" x14ac:dyDescent="0.25">
      <c r="A31" s="69" t="s">
        <v>38</v>
      </c>
      <c r="B31" s="70"/>
      <c r="C31" s="70"/>
      <c r="D31" s="71"/>
      <c r="E31" s="24">
        <v>4.1341357762334834</v>
      </c>
      <c r="F31" s="19">
        <v>9.9341322890501651</v>
      </c>
      <c r="G31" s="19">
        <v>8.5159412186824426</v>
      </c>
      <c r="H31" s="39">
        <v>7.0205833324245486</v>
      </c>
      <c r="I31" s="24">
        <v>10.62468774506659</v>
      </c>
      <c r="J31" s="20">
        <v>9.2797743975109412</v>
      </c>
      <c r="K31" s="26"/>
      <c r="L31" s="20"/>
    </row>
    <row r="32" spans="1:12" ht="21" customHeight="1" thickBot="1" x14ac:dyDescent="0.25">
      <c r="A32" s="96" t="s">
        <v>83</v>
      </c>
      <c r="B32" s="97"/>
      <c r="C32" s="97"/>
      <c r="D32" s="97"/>
      <c r="E32" s="97"/>
      <c r="F32" s="97"/>
      <c r="G32" s="97"/>
      <c r="H32" s="97"/>
      <c r="I32" s="97"/>
      <c r="J32" s="97"/>
      <c r="K32" s="97"/>
      <c r="L32" s="98"/>
    </row>
    <row r="33" spans="1:12" ht="15" x14ac:dyDescent="0.2">
      <c r="A33" s="86" t="s">
        <v>85</v>
      </c>
      <c r="B33" s="51">
        <v>0.58356164383561648</v>
      </c>
      <c r="C33" s="78" t="s">
        <v>41</v>
      </c>
      <c r="D33" s="87">
        <v>9.2523663100000011</v>
      </c>
      <c r="E33" s="11">
        <v>5.600000000000005</v>
      </c>
      <c r="F33" s="12" t="s">
        <v>42</v>
      </c>
      <c r="G33" s="12" t="s">
        <v>42</v>
      </c>
      <c r="H33" s="34" t="s">
        <v>42</v>
      </c>
      <c r="I33" s="11" t="s">
        <v>42</v>
      </c>
      <c r="J33" s="34" t="s">
        <v>42</v>
      </c>
      <c r="K33" s="11" t="s">
        <v>42</v>
      </c>
      <c r="L33" s="22" t="s">
        <v>42</v>
      </c>
    </row>
    <row r="34" spans="1:12" ht="15" x14ac:dyDescent="0.2">
      <c r="A34" s="86" t="s">
        <v>89</v>
      </c>
      <c r="B34" s="51">
        <v>0.58356164383561648</v>
      </c>
      <c r="C34" s="78" t="s">
        <v>44</v>
      </c>
      <c r="D34" s="87">
        <v>12.675506539999999</v>
      </c>
      <c r="E34" s="11">
        <v>7.5399999999999912</v>
      </c>
      <c r="F34" s="12" t="s">
        <v>42</v>
      </c>
      <c r="G34" s="12" t="s">
        <v>42</v>
      </c>
      <c r="H34" s="34" t="s">
        <v>42</v>
      </c>
      <c r="I34" s="11" t="s">
        <v>42</v>
      </c>
      <c r="J34" s="34" t="s">
        <v>42</v>
      </c>
      <c r="K34" s="11" t="s">
        <v>42</v>
      </c>
      <c r="L34" s="22" t="s">
        <v>42</v>
      </c>
    </row>
    <row r="35" spans="1:12" ht="15" x14ac:dyDescent="0.2">
      <c r="A35" s="86" t="s">
        <v>88</v>
      </c>
      <c r="B35" s="51">
        <v>0.58356164383561648</v>
      </c>
      <c r="C35" s="78" t="s">
        <v>44</v>
      </c>
      <c r="D35" s="87">
        <v>9.9923226199999995</v>
      </c>
      <c r="E35" s="11">
        <v>7.1600000000000108</v>
      </c>
      <c r="F35" s="12" t="s">
        <v>42</v>
      </c>
      <c r="G35" s="12" t="s">
        <v>42</v>
      </c>
      <c r="H35" s="34" t="s">
        <v>42</v>
      </c>
      <c r="I35" s="11" t="s">
        <v>42</v>
      </c>
      <c r="J35" s="34" t="s">
        <v>42</v>
      </c>
      <c r="K35" s="11" t="s">
        <v>42</v>
      </c>
      <c r="L35" s="22" t="s">
        <v>42</v>
      </c>
    </row>
    <row r="36" spans="1:12" ht="15" x14ac:dyDescent="0.2">
      <c r="A36" s="86" t="s">
        <v>87</v>
      </c>
      <c r="B36" s="51">
        <v>0.58356164383561648</v>
      </c>
      <c r="C36" s="78" t="s">
        <v>44</v>
      </c>
      <c r="D36" s="87">
        <v>6.4508420499999994</v>
      </c>
      <c r="E36" s="11">
        <v>7.4400000000000022</v>
      </c>
      <c r="F36" s="12" t="s">
        <v>42</v>
      </c>
      <c r="G36" s="12" t="s">
        <v>42</v>
      </c>
      <c r="H36" s="34" t="s">
        <v>42</v>
      </c>
      <c r="I36" s="11" t="s">
        <v>42</v>
      </c>
      <c r="J36" s="34" t="s">
        <v>42</v>
      </c>
      <c r="K36" s="11" t="s">
        <v>42</v>
      </c>
      <c r="L36" s="22" t="s">
        <v>42</v>
      </c>
    </row>
    <row r="37" spans="1:12" ht="15" x14ac:dyDescent="0.2">
      <c r="A37" s="86" t="s">
        <v>86</v>
      </c>
      <c r="B37" s="51">
        <v>0.58356164383561648</v>
      </c>
      <c r="C37" s="78" t="s">
        <v>44</v>
      </c>
      <c r="D37" s="87">
        <v>2.9081696299999997</v>
      </c>
      <c r="E37" s="11">
        <v>7.4699999999999989</v>
      </c>
      <c r="F37" s="12" t="s">
        <v>42</v>
      </c>
      <c r="G37" s="12" t="s">
        <v>42</v>
      </c>
      <c r="H37" s="34" t="s">
        <v>42</v>
      </c>
      <c r="I37" s="11" t="s">
        <v>42</v>
      </c>
      <c r="J37" s="34" t="s">
        <v>42</v>
      </c>
      <c r="K37" s="11" t="s">
        <v>42</v>
      </c>
      <c r="L37" s="22" t="s">
        <v>42</v>
      </c>
    </row>
    <row r="38" spans="1:12" ht="15.75" thickBot="1" x14ac:dyDescent="0.25">
      <c r="A38" s="86" t="s">
        <v>84</v>
      </c>
      <c r="B38" s="51">
        <v>0.58356164383561648</v>
      </c>
      <c r="C38" s="78" t="s">
        <v>44</v>
      </c>
      <c r="D38" s="87">
        <v>0.39655844000000001</v>
      </c>
      <c r="E38" s="13">
        <v>8.4999999999999964</v>
      </c>
      <c r="F38" s="92" t="s">
        <v>42</v>
      </c>
      <c r="G38" s="92" t="s">
        <v>42</v>
      </c>
      <c r="H38" s="93" t="s">
        <v>42</v>
      </c>
      <c r="I38" s="13" t="s">
        <v>42</v>
      </c>
      <c r="J38" s="93" t="s">
        <v>42</v>
      </c>
      <c r="K38" s="13" t="s">
        <v>42</v>
      </c>
      <c r="L38" s="27" t="s">
        <v>42</v>
      </c>
    </row>
    <row r="39" spans="1:12" ht="15.75" thickBot="1" x14ac:dyDescent="0.25">
      <c r="A39" s="69" t="s">
        <v>38</v>
      </c>
      <c r="B39" s="70"/>
      <c r="C39" s="70"/>
      <c r="D39" s="71"/>
      <c r="E39" s="18">
        <v>7.0069652038970505</v>
      </c>
      <c r="F39" s="16"/>
      <c r="G39" s="16"/>
      <c r="H39" s="40"/>
      <c r="I39" s="18"/>
      <c r="J39" s="17"/>
      <c r="K39" s="25"/>
      <c r="L39" s="17"/>
    </row>
    <row r="40" spans="1:12" ht="15" thickBot="1" x14ac:dyDescent="0.25">
      <c r="A40" s="111" t="s">
        <v>19</v>
      </c>
      <c r="B40" s="112"/>
      <c r="C40" s="49"/>
      <c r="D40" s="94">
        <v>3207.4828261649004</v>
      </c>
      <c r="E40" s="18">
        <v>1.3284325730261908</v>
      </c>
      <c r="F40" s="16">
        <v>4.7668531096285074</v>
      </c>
      <c r="G40" s="16">
        <v>4.8768861846147749</v>
      </c>
      <c r="H40" s="40">
        <v>4.5799843187771643</v>
      </c>
      <c r="I40" s="18">
        <v>5.4689952180894865</v>
      </c>
      <c r="J40" s="17">
        <v>5.4253936254390043</v>
      </c>
      <c r="K40" s="25"/>
      <c r="L40" s="17"/>
    </row>
    <row r="41" spans="1:12" ht="15" x14ac:dyDescent="0.2">
      <c r="A41" s="28"/>
      <c r="B41" s="28"/>
      <c r="C41" s="28"/>
      <c r="D41" s="29"/>
      <c r="E41" s="28"/>
      <c r="F41" s="28"/>
      <c r="G41" s="28"/>
      <c r="H41" s="28"/>
      <c r="I41" s="28"/>
      <c r="J41" s="28"/>
      <c r="K41" s="28"/>
      <c r="L41" s="28"/>
    </row>
    <row r="42" spans="1:12" x14ac:dyDescent="0.2">
      <c r="A42" s="113" t="s">
        <v>74</v>
      </c>
      <c r="B42" s="113"/>
      <c r="C42" s="113"/>
      <c r="D42" s="113"/>
      <c r="E42" s="113"/>
      <c r="F42" s="113"/>
      <c r="G42" s="113"/>
      <c r="H42" s="113"/>
      <c r="I42" s="113"/>
      <c r="J42" s="113"/>
      <c r="K42" s="113"/>
      <c r="L42" s="113"/>
    </row>
    <row r="43" spans="1:12" x14ac:dyDescent="0.2">
      <c r="A43" s="114" t="s">
        <v>76</v>
      </c>
      <c r="B43" s="114"/>
      <c r="C43" s="114"/>
      <c r="D43" s="114"/>
      <c r="E43" s="114"/>
      <c r="F43" s="114"/>
      <c r="G43" s="114"/>
      <c r="H43" s="114"/>
      <c r="I43" s="114"/>
      <c r="J43" s="114"/>
      <c r="K43" s="114"/>
      <c r="L43" s="114"/>
    </row>
    <row r="44" spans="1:12" x14ac:dyDescent="0.2">
      <c r="A44" s="110" t="s">
        <v>46</v>
      </c>
      <c r="B44" s="110"/>
      <c r="C44" s="110"/>
      <c r="D44" s="110"/>
      <c r="E44" s="110"/>
      <c r="F44" s="110"/>
      <c r="G44" s="110"/>
      <c r="H44" s="110"/>
      <c r="I44" s="110"/>
      <c r="J44" s="110"/>
      <c r="K44" s="110"/>
      <c r="L44" s="110"/>
    </row>
    <row r="45" spans="1:12" x14ac:dyDescent="0.2">
      <c r="A45" s="110" t="s">
        <v>18</v>
      </c>
      <c r="B45" s="110"/>
      <c r="C45" s="110"/>
      <c r="D45" s="110"/>
      <c r="E45" s="110"/>
      <c r="F45" s="110"/>
      <c r="G45" s="110"/>
      <c r="H45" s="110"/>
      <c r="I45" s="110"/>
      <c r="J45" s="110"/>
      <c r="K45" s="110"/>
      <c r="L45" s="110"/>
    </row>
    <row r="46" spans="1:12" ht="24.6" customHeight="1" x14ac:dyDescent="0.2">
      <c r="A46" s="109" t="s">
        <v>75</v>
      </c>
      <c r="B46" s="109"/>
      <c r="C46" s="109"/>
      <c r="D46" s="109"/>
      <c r="E46" s="109"/>
      <c r="F46" s="109"/>
      <c r="G46" s="109"/>
      <c r="H46" s="109"/>
      <c r="I46" s="109"/>
      <c r="J46" s="109"/>
      <c r="K46" s="109"/>
      <c r="L46" s="109"/>
    </row>
    <row r="47" spans="1:12" x14ac:dyDescent="0.2">
      <c r="A47" s="110" t="s">
        <v>90</v>
      </c>
      <c r="B47" s="110"/>
      <c r="C47" s="110"/>
      <c r="D47" s="110"/>
      <c r="E47" s="110"/>
      <c r="F47" s="110"/>
      <c r="G47" s="110"/>
      <c r="H47" s="110"/>
      <c r="I47" s="110"/>
      <c r="J47" s="110"/>
      <c r="K47" s="110"/>
      <c r="L47" s="110"/>
    </row>
    <row r="48" spans="1:12" x14ac:dyDescent="0.2"/>
    <row r="49" x14ac:dyDescent="0.2"/>
    <row r="50" x14ac:dyDescent="0.2"/>
    <row r="51" x14ac:dyDescent="0.2"/>
    <row r="52" x14ac:dyDescent="0.2"/>
    <row r="53" x14ac:dyDescent="0.2"/>
    <row r="54" x14ac:dyDescent="0.2"/>
    <row r="55" x14ac:dyDescent="0.2"/>
    <row r="56" x14ac:dyDescent="0.2"/>
  </sheetData>
  <mergeCells count="19">
    <mergeCell ref="A46:L46"/>
    <mergeCell ref="A47:L47"/>
    <mergeCell ref="A26:L26"/>
    <mergeCell ref="A40:B40"/>
    <mergeCell ref="A42:L42"/>
    <mergeCell ref="A43:L43"/>
    <mergeCell ref="A44:L44"/>
    <mergeCell ref="A45:L45"/>
    <mergeCell ref="A32:L32"/>
    <mergeCell ref="A18:L18"/>
    <mergeCell ref="A2:A3"/>
    <mergeCell ref="B2:B3"/>
    <mergeCell ref="C2:C3"/>
    <mergeCell ref="D2:D3"/>
    <mergeCell ref="E2:H2"/>
    <mergeCell ref="I2:J2"/>
    <mergeCell ref="K2:L2"/>
    <mergeCell ref="A4:L4"/>
    <mergeCell ref="A12:L12"/>
  </mergeCells>
  <conditionalFormatting sqref="I33 E33 K33 I36 E36 K36 E37:L38 E34:L35">
    <cfRule type="cellIs" dxfId="39" priority="29" operator="greaterThanOrEqual">
      <formula>0</formula>
    </cfRule>
    <cfRule type="cellIs" dxfId="38" priority="30" operator="lessThan">
      <formula>0</formula>
    </cfRule>
  </conditionalFormatting>
  <conditionalFormatting sqref="E5:J11 E40:J40 E19:J25 E28:J31">
    <cfRule type="cellIs" dxfId="37" priority="107" operator="greaterThanOrEqual">
      <formula>0</formula>
    </cfRule>
    <cfRule type="cellIs" dxfId="36" priority="108" operator="lessThan">
      <formula>0</formula>
    </cfRule>
  </conditionalFormatting>
  <conditionalFormatting sqref="E27">
    <cfRule type="cellIs" dxfId="35" priority="105" operator="greaterThanOrEqual">
      <formula>0</formula>
    </cfRule>
    <cfRule type="cellIs" dxfId="34" priority="106" operator="lessThan">
      <formula>0</formula>
    </cfRule>
  </conditionalFormatting>
  <conditionalFormatting sqref="F27">
    <cfRule type="cellIs" dxfId="33" priority="103" operator="greaterThanOrEqual">
      <formula>0</formula>
    </cfRule>
    <cfRule type="cellIs" dxfId="32" priority="104" operator="lessThan">
      <formula>0</formula>
    </cfRule>
  </conditionalFormatting>
  <conditionalFormatting sqref="G27">
    <cfRule type="cellIs" dxfId="31" priority="101" operator="greaterThanOrEqual">
      <formula>0</formula>
    </cfRule>
    <cfRule type="cellIs" dxfId="30" priority="102" operator="lessThan">
      <formula>0</formula>
    </cfRule>
  </conditionalFormatting>
  <conditionalFormatting sqref="H27">
    <cfRule type="cellIs" dxfId="29" priority="99" operator="greaterThanOrEqual">
      <formula>0</formula>
    </cfRule>
    <cfRule type="cellIs" dxfId="28" priority="100" operator="lessThan">
      <formula>0</formula>
    </cfRule>
  </conditionalFormatting>
  <conditionalFormatting sqref="I27">
    <cfRule type="cellIs" dxfId="27" priority="97" operator="greaterThanOrEqual">
      <formula>0</formula>
    </cfRule>
    <cfRule type="cellIs" dxfId="26" priority="98" operator="lessThan">
      <formula>0</formula>
    </cfRule>
  </conditionalFormatting>
  <conditionalFormatting sqref="J27">
    <cfRule type="cellIs" dxfId="25" priority="95" operator="greaterThanOrEqual">
      <formula>0</formula>
    </cfRule>
    <cfRule type="cellIs" dxfId="24" priority="96" operator="lessThan">
      <formula>0</formula>
    </cfRule>
  </conditionalFormatting>
  <conditionalFormatting sqref="F33">
    <cfRule type="cellIs" dxfId="23" priority="25" operator="greaterThanOrEqual">
      <formula>0</formula>
    </cfRule>
    <cfRule type="cellIs" dxfId="22" priority="26" operator="lessThan">
      <formula>0</formula>
    </cfRule>
  </conditionalFormatting>
  <conditionalFormatting sqref="G33">
    <cfRule type="cellIs" dxfId="21" priority="23" operator="greaterThanOrEqual">
      <formula>0</formula>
    </cfRule>
    <cfRule type="cellIs" dxfId="20" priority="24" operator="lessThan">
      <formula>0</formula>
    </cfRule>
  </conditionalFormatting>
  <conditionalFormatting sqref="H33">
    <cfRule type="cellIs" dxfId="19" priority="21" operator="greaterThanOrEqual">
      <formula>0</formula>
    </cfRule>
    <cfRule type="cellIs" dxfId="18" priority="22" operator="lessThan">
      <formula>0</formula>
    </cfRule>
  </conditionalFormatting>
  <conditionalFormatting sqref="F36">
    <cfRule type="cellIs" dxfId="17" priority="19" operator="greaterThanOrEqual">
      <formula>0</formula>
    </cfRule>
    <cfRule type="cellIs" dxfId="16" priority="20" operator="lessThan">
      <formula>0</formula>
    </cfRule>
  </conditionalFormatting>
  <conditionalFormatting sqref="G36">
    <cfRule type="cellIs" dxfId="15" priority="17" operator="greaterThanOrEqual">
      <formula>0</formula>
    </cfRule>
    <cfRule type="cellIs" dxfId="14" priority="18" operator="lessThan">
      <formula>0</formula>
    </cfRule>
  </conditionalFormatting>
  <conditionalFormatting sqref="H36">
    <cfRule type="cellIs" dxfId="13" priority="15" operator="greaterThanOrEqual">
      <formula>0</formula>
    </cfRule>
    <cfRule type="cellIs" dxfId="12" priority="16" operator="lessThan">
      <formula>0</formula>
    </cfRule>
  </conditionalFormatting>
  <conditionalFormatting sqref="J33">
    <cfRule type="cellIs" dxfId="11" priority="13" operator="greaterThanOrEqual">
      <formula>0</formula>
    </cfRule>
    <cfRule type="cellIs" dxfId="10" priority="14" operator="lessThan">
      <formula>0</formula>
    </cfRule>
  </conditionalFormatting>
  <conditionalFormatting sqref="J36">
    <cfRule type="cellIs" dxfId="9" priority="11" operator="greaterThanOrEqual">
      <formula>0</formula>
    </cfRule>
    <cfRule type="cellIs" dxfId="8" priority="12" operator="lessThan">
      <formula>0</formula>
    </cfRule>
  </conditionalFormatting>
  <conditionalFormatting sqref="L33">
    <cfRule type="cellIs" dxfId="7" priority="7" operator="greaterThanOrEqual">
      <formula>0</formula>
    </cfRule>
    <cfRule type="cellIs" dxfId="6" priority="8" operator="lessThan">
      <formula>0</formula>
    </cfRule>
  </conditionalFormatting>
  <conditionalFormatting sqref="L36">
    <cfRule type="cellIs" dxfId="5" priority="5" operator="greaterThanOrEqual">
      <formula>0</formula>
    </cfRule>
    <cfRule type="cellIs" dxfId="4" priority="6" operator="lessThan">
      <formula>0</formula>
    </cfRule>
  </conditionalFormatting>
  <conditionalFormatting sqref="E39:J39">
    <cfRule type="cellIs" dxfId="3" priority="3" operator="greaterThanOrEqual">
      <formula>0</formula>
    </cfRule>
    <cfRule type="cellIs" dxfId="2" priority="4" operator="lessThan">
      <formula>0</formula>
    </cfRule>
  </conditionalFormatting>
  <conditionalFormatting sqref="E13:J17">
    <cfRule type="cellIs" dxfId="1" priority="1" operator="greaterThanOrEqual">
      <formula>0</formula>
    </cfRule>
    <cfRule type="cellIs" dxfId="0" priority="2" operator="lessThan">
      <formula>0</formula>
    </cfRule>
  </conditionalFormatting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E75"/>
  <sheetViews>
    <sheetView topLeftCell="A13" workbookViewId="0">
      <selection activeCell="F30" sqref="F30"/>
    </sheetView>
  </sheetViews>
  <sheetFormatPr defaultRowHeight="12.75" x14ac:dyDescent="0.2"/>
  <cols>
    <col min="1" max="1" width="71.5703125" bestFit="1" customWidth="1"/>
    <col min="2" max="2" width="21.42578125" bestFit="1" customWidth="1"/>
    <col min="3" max="3" width="10.28515625" bestFit="1" customWidth="1"/>
    <col min="4" max="4" width="14" bestFit="1" customWidth="1"/>
    <col min="5" max="5" width="9.140625" bestFit="1" customWidth="1"/>
    <col min="11" max="11" width="12" bestFit="1" customWidth="1"/>
    <col min="13" max="13" width="12" bestFit="1" customWidth="1"/>
  </cols>
  <sheetData>
    <row r="2" spans="1:2" ht="15.75" x14ac:dyDescent="0.2">
      <c r="A2" s="53" t="s">
        <v>21</v>
      </c>
      <c r="B2" s="53" t="s">
        <v>31</v>
      </c>
    </row>
    <row r="3" spans="1:2" ht="15" x14ac:dyDescent="0.2">
      <c r="A3" s="54" t="s">
        <v>1</v>
      </c>
      <c r="B3" s="62">
        <v>186136</v>
      </c>
    </row>
    <row r="4" spans="1:2" ht="15" x14ac:dyDescent="0.2">
      <c r="A4" s="54" t="s">
        <v>47</v>
      </c>
      <c r="B4" s="62">
        <v>165114</v>
      </c>
    </row>
    <row r="5" spans="1:2" ht="15" x14ac:dyDescent="0.2">
      <c r="A5" s="54" t="s">
        <v>48</v>
      </c>
      <c r="B5" s="62">
        <v>139488</v>
      </c>
    </row>
    <row r="6" spans="1:2" ht="15" x14ac:dyDescent="0.2">
      <c r="A6" s="54" t="s">
        <v>49</v>
      </c>
      <c r="B6" s="62">
        <v>111608</v>
      </c>
    </row>
    <row r="7" spans="1:2" ht="15" x14ac:dyDescent="0.2">
      <c r="A7" s="54" t="s">
        <v>51</v>
      </c>
      <c r="B7" s="62">
        <v>102854</v>
      </c>
    </row>
    <row r="8" spans="1:2" ht="15" x14ac:dyDescent="0.2">
      <c r="A8" s="54" t="s">
        <v>50</v>
      </c>
      <c r="B8" s="62">
        <v>98393</v>
      </c>
    </row>
    <row r="9" spans="1:2" ht="15" x14ac:dyDescent="0.2">
      <c r="A9" s="54" t="s">
        <v>52</v>
      </c>
      <c r="B9" s="62">
        <v>80856</v>
      </c>
    </row>
    <row r="10" spans="1:2" ht="15" x14ac:dyDescent="0.2">
      <c r="A10" s="54" t="s">
        <v>2</v>
      </c>
      <c r="B10" s="62">
        <v>77068</v>
      </c>
    </row>
    <row r="11" spans="1:2" ht="15" x14ac:dyDescent="0.2">
      <c r="A11" s="54" t="s">
        <v>63</v>
      </c>
      <c r="B11" s="62">
        <v>73347</v>
      </c>
    </row>
    <row r="12" spans="1:2" ht="15" x14ac:dyDescent="0.2">
      <c r="A12" s="54" t="s">
        <v>53</v>
      </c>
      <c r="B12" s="62">
        <v>66064</v>
      </c>
    </row>
    <row r="13" spans="1:2" ht="15" x14ac:dyDescent="0.2">
      <c r="A13" s="54" t="s">
        <v>62</v>
      </c>
      <c r="B13" s="62">
        <v>45191</v>
      </c>
    </row>
    <row r="14" spans="1:2" ht="15" x14ac:dyDescent="0.2">
      <c r="A14" s="54" t="s">
        <v>30</v>
      </c>
      <c r="B14" s="62">
        <v>39249</v>
      </c>
    </row>
    <row r="15" spans="1:2" ht="15" x14ac:dyDescent="0.2">
      <c r="A15" s="54" t="s">
        <v>4</v>
      </c>
      <c r="B15" s="62">
        <v>31569</v>
      </c>
    </row>
    <row r="16" spans="1:2" ht="15" x14ac:dyDescent="0.2">
      <c r="A16" s="54" t="s">
        <v>54</v>
      </c>
      <c r="B16" s="62">
        <v>21630</v>
      </c>
    </row>
    <row r="17" spans="1:5" ht="15" x14ac:dyDescent="0.2">
      <c r="A17" s="54" t="s">
        <v>55</v>
      </c>
      <c r="B17" s="62">
        <v>18680</v>
      </c>
    </row>
    <row r="18" spans="1:5" ht="15" x14ac:dyDescent="0.2">
      <c r="A18" s="54" t="s">
        <v>61</v>
      </c>
      <c r="B18" s="62">
        <v>12753</v>
      </c>
    </row>
    <row r="19" spans="1:5" ht="15" x14ac:dyDescent="0.2">
      <c r="A19" s="54" t="s">
        <v>25</v>
      </c>
      <c r="B19" s="62">
        <v>5786</v>
      </c>
    </row>
    <row r="20" spans="1:5" ht="15" x14ac:dyDescent="0.2">
      <c r="A20" s="54" t="s">
        <v>78</v>
      </c>
      <c r="B20" s="62">
        <v>4779</v>
      </c>
    </row>
    <row r="21" spans="1:5" ht="15" x14ac:dyDescent="0.2">
      <c r="A21" s="54" t="s">
        <v>26</v>
      </c>
      <c r="B21" s="62">
        <v>4659</v>
      </c>
    </row>
    <row r="22" spans="1:5" ht="15" x14ac:dyDescent="0.2">
      <c r="A22" s="54" t="s">
        <v>81</v>
      </c>
      <c r="B22" s="62">
        <v>4114</v>
      </c>
    </row>
    <row r="23" spans="1:5" ht="15" x14ac:dyDescent="0.2">
      <c r="A23" s="54" t="s">
        <v>77</v>
      </c>
      <c r="B23" s="62">
        <v>3793</v>
      </c>
    </row>
    <row r="24" spans="1:5" ht="15" x14ac:dyDescent="0.2">
      <c r="A24" s="54" t="s">
        <v>79</v>
      </c>
      <c r="B24" s="62">
        <v>3508</v>
      </c>
    </row>
    <row r="25" spans="1:5" ht="15" x14ac:dyDescent="0.2">
      <c r="A25" s="54" t="s">
        <v>80</v>
      </c>
      <c r="B25" s="62">
        <v>3450</v>
      </c>
    </row>
    <row r="26" spans="1:5" ht="15" x14ac:dyDescent="0.2">
      <c r="A26" s="54" t="s">
        <v>82</v>
      </c>
      <c r="B26" s="62">
        <v>2962</v>
      </c>
      <c r="E26" s="67"/>
    </row>
    <row r="27" spans="1:5" ht="15" x14ac:dyDescent="0.2">
      <c r="A27" s="54" t="s">
        <v>56</v>
      </c>
      <c r="B27" s="62">
        <v>1921</v>
      </c>
      <c r="D27" s="67"/>
    </row>
    <row r="28" spans="1:5" ht="15" x14ac:dyDescent="0.2">
      <c r="A28" s="54" t="s">
        <v>64</v>
      </c>
      <c r="B28" s="62">
        <v>1838</v>
      </c>
      <c r="D28" s="67"/>
      <c r="E28" s="67"/>
    </row>
    <row r="29" spans="1:5" ht="12.75" customHeight="1" x14ac:dyDescent="0.2">
      <c r="A29" s="55" t="s">
        <v>22</v>
      </c>
      <c r="B29" s="63">
        <f>+SUM(B3:B28)</f>
        <v>1306810</v>
      </c>
      <c r="D29" s="67"/>
    </row>
    <row r="30" spans="1:5" ht="12.6" customHeight="1" x14ac:dyDescent="0.2">
      <c r="B30" s="95"/>
      <c r="D30" s="67"/>
    </row>
    <row r="31" spans="1:5" x14ac:dyDescent="0.2">
      <c r="B31" s="95"/>
    </row>
    <row r="32" spans="1:5" ht="15.75" x14ac:dyDescent="0.2">
      <c r="A32" s="53" t="s">
        <v>23</v>
      </c>
      <c r="B32" s="53" t="s">
        <v>31</v>
      </c>
    </row>
    <row r="33" spans="1:3" ht="15" x14ac:dyDescent="0.2">
      <c r="A33" s="54" t="s">
        <v>57</v>
      </c>
      <c r="B33" s="64">
        <v>521176</v>
      </c>
    </row>
    <row r="34" spans="1:3" ht="15" x14ac:dyDescent="0.2">
      <c r="A34" s="54" t="s">
        <v>58</v>
      </c>
      <c r="B34" s="64">
        <v>294773</v>
      </c>
    </row>
    <row r="35" spans="1:3" ht="15" x14ac:dyDescent="0.2">
      <c r="A35" s="54" t="s">
        <v>59</v>
      </c>
      <c r="B35" s="64">
        <v>227182</v>
      </c>
      <c r="C35" s="61"/>
    </row>
    <row r="36" spans="1:3" ht="15" x14ac:dyDescent="0.2">
      <c r="A36" s="54" t="s">
        <v>65</v>
      </c>
      <c r="B36" s="64">
        <v>133129</v>
      </c>
      <c r="C36" s="61"/>
    </row>
    <row r="37" spans="1:3" ht="15" x14ac:dyDescent="0.2">
      <c r="A37" s="54" t="s">
        <v>60</v>
      </c>
      <c r="B37" s="64">
        <v>130550</v>
      </c>
      <c r="C37" s="61"/>
    </row>
    <row r="38" spans="1:3" x14ac:dyDescent="0.2">
      <c r="C38" s="61"/>
    </row>
    <row r="39" spans="1:3" ht="15" x14ac:dyDescent="0.2">
      <c r="A39" s="56"/>
      <c r="C39" s="61"/>
    </row>
    <row r="40" spans="1:3" x14ac:dyDescent="0.2">
      <c r="C40" s="61"/>
    </row>
    <row r="41" spans="1:3" ht="15.75" x14ac:dyDescent="0.2">
      <c r="A41" s="53" t="s">
        <v>21</v>
      </c>
      <c r="B41" s="53" t="s">
        <v>24</v>
      </c>
      <c r="C41" s="61"/>
    </row>
    <row r="42" spans="1:3" ht="15" x14ac:dyDescent="0.2">
      <c r="A42" s="54" t="s">
        <v>1</v>
      </c>
      <c r="B42" s="65">
        <v>565814715.30999994</v>
      </c>
    </row>
    <row r="43" spans="1:3" ht="15" x14ac:dyDescent="0.2">
      <c r="A43" s="54" t="s">
        <v>47</v>
      </c>
      <c r="B43" s="65">
        <v>421454795.05000001</v>
      </c>
    </row>
    <row r="44" spans="1:3" ht="15" x14ac:dyDescent="0.2">
      <c r="A44" s="54" t="s">
        <v>48</v>
      </c>
      <c r="B44" s="65">
        <v>323610900.32999998</v>
      </c>
    </row>
    <row r="45" spans="1:3" ht="15" x14ac:dyDescent="0.2">
      <c r="A45" s="54" t="s">
        <v>50</v>
      </c>
      <c r="B45" s="65">
        <v>275426193.37</v>
      </c>
    </row>
    <row r="46" spans="1:3" ht="15" x14ac:dyDescent="0.2">
      <c r="A46" s="54" t="s">
        <v>49</v>
      </c>
      <c r="B46" s="65">
        <v>220654677.81</v>
      </c>
    </row>
    <row r="47" spans="1:3" ht="15" x14ac:dyDescent="0.2">
      <c r="A47" s="54" t="s">
        <v>52</v>
      </c>
      <c r="B47" s="65">
        <v>215066855.87850001</v>
      </c>
    </row>
    <row r="48" spans="1:3" ht="15" x14ac:dyDescent="0.2">
      <c r="A48" s="54" t="s">
        <v>51</v>
      </c>
      <c r="B48" s="65">
        <v>182899341.34</v>
      </c>
    </row>
    <row r="49" spans="1:2" ht="15" x14ac:dyDescent="0.2">
      <c r="A49" s="54" t="s">
        <v>2</v>
      </c>
      <c r="B49" s="65">
        <v>174301891.03</v>
      </c>
    </row>
    <row r="50" spans="1:2" ht="15" x14ac:dyDescent="0.2">
      <c r="A50" s="54" t="s">
        <v>63</v>
      </c>
      <c r="B50" s="65">
        <v>173853845.3475</v>
      </c>
    </row>
    <row r="51" spans="1:2" ht="15" x14ac:dyDescent="0.2">
      <c r="A51" s="54" t="s">
        <v>30</v>
      </c>
      <c r="B51" s="65">
        <v>119812232.64030001</v>
      </c>
    </row>
    <row r="52" spans="1:2" ht="15" x14ac:dyDescent="0.2">
      <c r="A52" s="54" t="s">
        <v>62</v>
      </c>
      <c r="B52" s="65">
        <v>119568876.2093</v>
      </c>
    </row>
    <row r="53" spans="1:2" ht="15" x14ac:dyDescent="0.2">
      <c r="A53" s="54" t="s">
        <v>53</v>
      </c>
      <c r="B53" s="65">
        <v>106602499.81999999</v>
      </c>
    </row>
    <row r="54" spans="1:2" ht="15" x14ac:dyDescent="0.2">
      <c r="A54" s="54" t="s">
        <v>4</v>
      </c>
      <c r="B54" s="65">
        <v>87558883.879999995</v>
      </c>
    </row>
    <row r="55" spans="1:2" ht="15" x14ac:dyDescent="0.2">
      <c r="A55" s="54" t="s">
        <v>54</v>
      </c>
      <c r="B55" s="65">
        <v>57490847.780000001</v>
      </c>
    </row>
    <row r="56" spans="1:2" ht="15" x14ac:dyDescent="0.2">
      <c r="A56" s="54" t="s">
        <v>55</v>
      </c>
      <c r="B56" s="65">
        <v>42588259</v>
      </c>
    </row>
    <row r="57" spans="1:2" ht="15" x14ac:dyDescent="0.2">
      <c r="A57" s="54" t="s">
        <v>61</v>
      </c>
      <c r="B57" s="65">
        <v>31810774.724800002</v>
      </c>
    </row>
    <row r="58" spans="1:2" ht="15" x14ac:dyDescent="0.2">
      <c r="A58" s="54" t="s">
        <v>26</v>
      </c>
      <c r="B58" s="65">
        <v>20290588.052200001</v>
      </c>
    </row>
    <row r="59" spans="1:2" ht="15" x14ac:dyDescent="0.2">
      <c r="A59" s="54" t="s">
        <v>25</v>
      </c>
      <c r="B59" s="65">
        <v>16412892.0076</v>
      </c>
    </row>
    <row r="60" spans="1:2" ht="15" x14ac:dyDescent="0.2">
      <c r="A60" s="54" t="s">
        <v>81</v>
      </c>
      <c r="B60" s="65">
        <v>12675506.539999999</v>
      </c>
    </row>
    <row r="61" spans="1:2" ht="15" x14ac:dyDescent="0.2">
      <c r="A61" s="54" t="s">
        <v>80</v>
      </c>
      <c r="B61" s="65">
        <v>9992322.6199999992</v>
      </c>
    </row>
    <row r="62" spans="1:2" ht="15" x14ac:dyDescent="0.2">
      <c r="A62" s="54" t="s">
        <v>82</v>
      </c>
      <c r="B62" s="65">
        <v>9252366.3100000005</v>
      </c>
    </row>
    <row r="63" spans="1:2" ht="15" x14ac:dyDescent="0.2">
      <c r="A63" s="54" t="s">
        <v>56</v>
      </c>
      <c r="B63" s="65">
        <v>7980207.0099999998</v>
      </c>
    </row>
    <row r="64" spans="1:2" ht="15" x14ac:dyDescent="0.2">
      <c r="A64" s="54" t="s">
        <v>79</v>
      </c>
      <c r="B64" s="65">
        <v>6450842.0499999998</v>
      </c>
    </row>
    <row r="65" spans="1:3" ht="15" x14ac:dyDescent="0.2">
      <c r="A65" s="54" t="s">
        <v>78</v>
      </c>
      <c r="B65" s="65">
        <v>2908169.63</v>
      </c>
    </row>
    <row r="66" spans="1:3" ht="15" x14ac:dyDescent="0.2">
      <c r="A66" s="54" t="s">
        <v>64</v>
      </c>
      <c r="B66" s="65">
        <v>2607783.9846999999</v>
      </c>
    </row>
    <row r="67" spans="1:3" ht="15" x14ac:dyDescent="0.2">
      <c r="A67" s="54" t="s">
        <v>77</v>
      </c>
      <c r="B67" s="65">
        <v>396558.44</v>
      </c>
    </row>
    <row r="68" spans="1:3" ht="14.25" x14ac:dyDescent="0.2">
      <c r="A68" s="55" t="s">
        <v>22</v>
      </c>
      <c r="B68" s="66">
        <f>+SUM(B42:B67)</f>
        <v>3207482826.1649008</v>
      </c>
      <c r="C68" s="61"/>
    </row>
    <row r="70" spans="1:3" ht="15.75" x14ac:dyDescent="0.2">
      <c r="A70" s="53" t="s">
        <v>23</v>
      </c>
      <c r="B70" s="53" t="s">
        <v>24</v>
      </c>
    </row>
    <row r="71" spans="1:3" ht="15" x14ac:dyDescent="0.2">
      <c r="A71" s="54" t="s">
        <v>57</v>
      </c>
      <c r="B71" s="91">
        <v>1192679239.1699998</v>
      </c>
    </row>
    <row r="72" spans="1:3" ht="15" x14ac:dyDescent="0.2">
      <c r="A72" s="54" t="s">
        <v>58</v>
      </c>
      <c r="B72" s="64">
        <v>827675490.21999991</v>
      </c>
    </row>
    <row r="73" spans="1:3" ht="15" x14ac:dyDescent="0.2">
      <c r="A73" s="54" t="s">
        <v>59</v>
      </c>
      <c r="B73" s="64">
        <v>487704247.93000001</v>
      </c>
    </row>
    <row r="74" spans="1:3" ht="15" x14ac:dyDescent="0.2">
      <c r="A74" s="54" t="s">
        <v>60</v>
      </c>
      <c r="B74" s="64">
        <v>371582568.57860005</v>
      </c>
    </row>
    <row r="75" spans="1:3" ht="15" x14ac:dyDescent="0.2">
      <c r="A75" s="54" t="s">
        <v>65</v>
      </c>
      <c r="B75" s="64">
        <v>327841280.26630002</v>
      </c>
    </row>
  </sheetData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Rezultatai</vt:lpstr>
      <vt:lpstr>Papildomi duomenys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Audrius Silgalis</dc:creator>
  <cp:lastModifiedBy>Živilė Zabotkienė</cp:lastModifiedBy>
  <cp:lastPrinted>2018-10-10T13:35:49Z</cp:lastPrinted>
  <dcterms:created xsi:type="dcterms:W3CDTF">2008-11-20T12:30:07Z</dcterms:created>
  <dcterms:modified xsi:type="dcterms:W3CDTF">2018-10-16T11:47:50Z</dcterms:modified>
</cp:coreProperties>
</file>