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68" yWindow="108" windowWidth="7680" windowHeight="10584"/>
  </bookViews>
  <sheets>
    <sheet name="Rezultatai" sheetId="12" r:id="rId1"/>
    <sheet name="Papildomi duomenys" sheetId="10" r:id="rId2"/>
  </sheets>
  <calcPr calcId="145621"/>
</workbook>
</file>

<file path=xl/calcChain.xml><?xml version="1.0" encoding="utf-8"?>
<calcChain xmlns="http://schemas.openxmlformats.org/spreadsheetml/2006/main">
  <c r="E39" i="12" l="1"/>
  <c r="B68" i="10" l="1"/>
  <c r="B29" i="10"/>
</calcChain>
</file>

<file path=xl/sharedStrings.xml><?xml version="1.0" encoding="utf-8"?>
<sst xmlns="http://schemas.openxmlformats.org/spreadsheetml/2006/main" count="203" uniqueCount="95">
  <si>
    <t>Fondo pavadinimas</t>
  </si>
  <si>
    <t>SEB pensija 2</t>
  </si>
  <si>
    <t>SEB pensija 3</t>
  </si>
  <si>
    <t>MAŽOS AKCIJŲ DALIES PENSIJŲ FONDAI (IKI 30 PROC.)</t>
  </si>
  <si>
    <t>SEB pensija 1</t>
  </si>
  <si>
    <t>Swedbank Pensija 1</t>
  </si>
  <si>
    <t>Aviva Europensija</t>
  </si>
  <si>
    <t>Aviva Europensija plius</t>
  </si>
  <si>
    <t>Swedbank Pensija 2</t>
  </si>
  <si>
    <t>Swedbank Pensija 3</t>
  </si>
  <si>
    <t>Swedbank Pensija 4</t>
  </si>
  <si>
    <t>Aviva Europensija ekstra</t>
  </si>
  <si>
    <t>Swedbank Pensija 5</t>
  </si>
  <si>
    <t>VIDUTINĖS AKCIJŲ DALIES PENSIJŲ FONDAI (IKI 70 PROC.)</t>
  </si>
  <si>
    <t>AKCIJŲ PENSIJŲ FONDAI (IKI 100 PROC.)</t>
  </si>
  <si>
    <t>Veiklos laikotarpis, metais</t>
  </si>
  <si>
    <t>RIZIKOS RODIKLIAI</t>
  </si>
  <si>
    <t xml:space="preserve"> KONSERVATYVAUS INVESTAVIMO PENSIJŲ FONDAI</t>
  </si>
  <si>
    <t xml:space="preserve">*** Lyginamasis indeksas apibrėžiamas kaip pensijų kaupimo bendrovės pasirinktas rodiklis, su kurio kintančia reikšme lyginama fondo investicijų portfelio investicijų grąža. </t>
  </si>
  <si>
    <t>Iš viso:</t>
  </si>
  <si>
    <t>LYGINAMOJO INDEKSO GRĄŽA***</t>
  </si>
  <si>
    <t>Fondas</t>
  </si>
  <si>
    <t>Viso:</t>
  </si>
  <si>
    <t>Valdymo įmonė</t>
  </si>
  <si>
    <t>Grynieji aktyvai, Eur</t>
  </si>
  <si>
    <t>INVL STABILO II 58+</t>
  </si>
  <si>
    <t>INVL MEZZO II 53+</t>
  </si>
  <si>
    <t xml:space="preserve">INVL MEDIO II 47+ </t>
  </si>
  <si>
    <t>INVL EXTREMO II 16+</t>
  </si>
  <si>
    <t>Fondo dydis, mln. Eur</t>
  </si>
  <si>
    <t>INVL MEDIO II 47+</t>
  </si>
  <si>
    <t>Dalyvių skaičius</t>
  </si>
  <si>
    <t>Investicijų į akcijas dalis</t>
  </si>
  <si>
    <t>FONDŲ GRĄŽA</t>
  </si>
  <si>
    <t>Swedbank Pensijų išmokų fondas</t>
  </si>
  <si>
    <t xml:space="preserve">Svertinis vidurkis*****: </t>
  </si>
  <si>
    <t>iki 30%</t>
  </si>
  <si>
    <t>iki 25%</t>
  </si>
  <si>
    <t xml:space="preserve">Svertinis vidurkis: </t>
  </si>
  <si>
    <t>iki 65%</t>
  </si>
  <si>
    <t>iki 50%</t>
  </si>
  <si>
    <t>iki 70%</t>
  </si>
  <si>
    <t>-</t>
  </si>
  <si>
    <t>20-60%</t>
  </si>
  <si>
    <t>iki 100%</t>
  </si>
  <si>
    <t>60-100%</t>
  </si>
  <si>
    <t>** Apskaičiuota remiantis apskaitos vieneto vertės pokyčiu per nurodytą laikotarpį. Vidutinė metinė grąža gauta taikant geometrinį vidurkį.</t>
  </si>
  <si>
    <t>Pensija 3</t>
  </si>
  <si>
    <t>Europensija plius</t>
  </si>
  <si>
    <t>Pensija 4</t>
  </si>
  <si>
    <t>Pensija 2</t>
  </si>
  <si>
    <t>Pensija 5</t>
  </si>
  <si>
    <t>INVL EXTREMO II 16 + pensijų fondas</t>
  </si>
  <si>
    <t>Europensija ekstra</t>
  </si>
  <si>
    <t>Europensija</t>
  </si>
  <si>
    <t>Pensijų išmokų fondas</t>
  </si>
  <si>
    <t xml:space="preserve"> INVL STABILO II 58+</t>
  </si>
  <si>
    <t>Pensija 1</t>
  </si>
  <si>
    <t>"Swedbank investicijų valdymas", UAB 124815377</t>
  </si>
  <si>
    <t>UAB "SEB investicijų valdymas" 125277981</t>
  </si>
  <si>
    <t>Uždaroji akcinė gyvybės draudimo ir pensijų bendrovė "Aviva Lietuva" 111744827</t>
  </si>
  <si>
    <t>UAB "INVL Asset Management" 126263073</t>
  </si>
  <si>
    <t>Luminor pensija 1</t>
  </si>
  <si>
    <t>Luminor pensija 2</t>
  </si>
  <si>
    <t>Luminor pensija 3</t>
  </si>
  <si>
    <t>Luminor pensija 4</t>
  </si>
  <si>
    <t>„Luminor investicijų valdymas“, UAB 226299280</t>
  </si>
  <si>
    <t>Luminor Pensija 3</t>
  </si>
  <si>
    <t>Luminor Pensija 2</t>
  </si>
  <si>
    <t>Luminor Pensija 1</t>
  </si>
  <si>
    <t>***** Svertiniam vidurkiui apskaičiuoti naudotas 2017-06-30 dienos fondų grynųjų aktyvų dydis.</t>
  </si>
  <si>
    <t>Grąža* nuo metų pradžios, proc.</t>
  </si>
  <si>
    <t>Vidutinė metinė grąža** per praėjusius 3 metus, proc.</t>
  </si>
  <si>
    <t>Vidutinė metinė grąža** per praėjusius 5 metus, proc.</t>
  </si>
  <si>
    <t>Vidutinė metinė grąža** per praėjusius 10 metų, proc.</t>
  </si>
  <si>
    <t>Vidutinė metinė lyginamojo indekso grąža per praėjusius 3 metus, proc.</t>
  </si>
  <si>
    <t>Vidutinė metinė lyginamojo indekso grąža per praėjusius 5 metus, proc.</t>
  </si>
  <si>
    <t>Standartinis nuokrypis**** per praėjusius 5 metus, proc.</t>
  </si>
  <si>
    <t>Standartinis nuokrypis**** per praėjusius 10 metų, proc.</t>
  </si>
  <si>
    <t>Pastaba: praeities rezultatai negarantuoja, kad tokie patys ar panašūs rezultatai bus ir ateityje.</t>
  </si>
  <si>
    <t xml:space="preserve">**** Rodikliui apskaičiuoti naudoti mėnesiniai apskaitos vieneto verčių pokyčiai, rezultatas perskaičiuotas į metinį.  Standartinis nuokrypis parodo, kaip intensyviai per laikotarpį svyruoja fondo investicinio vieneto vertė. Kuo šis rodiklis didesnis, tuo didesnė rizika. </t>
  </si>
  <si>
    <t>* Apskaitos vieneto vertės pokytis. Juo atsižvelgiama į atskaitymus nuo turto, tačiau neatsižvelgiama į atskaitymus nuo įmokų, dėl to grynoji grąža yra mažesnė. Swedbank GCF pensijų fondų rezultatai apima laikotarpį nuo įsteigimo 2018-03-01.</t>
  </si>
  <si>
    <t>Pensija 1996-2002</t>
  </si>
  <si>
    <t>Pensija 1989-1995</t>
  </si>
  <si>
    <t>Pensija 1982-1988</t>
  </si>
  <si>
    <t>Pensija 1975-1981</t>
  </si>
  <si>
    <t>Pensija 1968-1974</t>
  </si>
  <si>
    <t>Pensija 1961-1967</t>
  </si>
  <si>
    <t>GYVENIMO CIKLO FONDAI (INVESTAVIMO STRATEGIJA KINTA ATSIŽVELGIANT Į PENSIJŲ FONDO DALYVIŲ AMŽIŲ)</t>
  </si>
  <si>
    <t>Swedbank Pensija 1996-2002</t>
  </si>
  <si>
    <t>Swedbank Pensija 1961-1967</t>
  </si>
  <si>
    <t>Swedbank Pensija 1989-1995</t>
  </si>
  <si>
    <t>Swedbank Pensija 1982-1988</t>
  </si>
  <si>
    <t>Swedbank Pensija 1975-1981</t>
  </si>
  <si>
    <t>Swedbank Pensija 1968-1974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</si>
</sst>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L_t_-;\-* #,##0.00\ _L_t_-;_-* &quot;-&quot;??\ _L_t_-;_-@_-"/>
    <numFmt numFmtId="165" formatCode="0.0"/>
    <numFmt numFmtId="166" formatCode="0.00_ ;[Red]\-0.00\ "/>
    <numFmt numFmtId="167" formatCode="_-* #,##0\ _€_-;\-* #,##0\ _€_-;_-* &quot;-&quot;??\ _€_-;_-@_-"/>
    <numFmt numFmtId="168" formatCode="###\ ###\ ###"/>
    <numFmt numFmtId="169" formatCode="###\ ###\ ###\ ###"/>
  </numFmts>
  <fonts count="33" x14ac:knownFonts="1">
    <font>
      <sz val="10"/>
      <name val="Arial"/>
      <charset val="186"/>
    </font>
    <font>
      <sz val="10"/>
      <name val="Arial"/>
      <family val="2"/>
      <charset val="186"/>
    </font>
    <font>
      <sz val="10"/>
      <name val="Helv"/>
    </font>
    <font>
      <b/>
      <sz val="10"/>
      <name val="Helv"/>
      <charset val="186"/>
    </font>
    <font>
      <b/>
      <sz val="11"/>
      <name val="Times New Roman"/>
      <family val="1"/>
      <charset val="186"/>
    </font>
    <font>
      <sz val="11"/>
      <name val="Times New Roman"/>
      <family val="1"/>
      <charset val="186"/>
    </font>
    <font>
      <sz val="11"/>
      <color indexed="64"/>
      <name val="Times New Roman"/>
      <family val="1"/>
      <charset val="186"/>
    </font>
    <font>
      <i/>
      <sz val="11"/>
      <name val="Times New Roman"/>
      <family val="1"/>
      <charset val="186"/>
    </font>
    <font>
      <sz val="11"/>
      <color indexed="8"/>
      <name val="Times New Roman"/>
      <family val="1"/>
      <charset val="186"/>
    </font>
    <font>
      <b/>
      <sz val="11"/>
      <color indexed="8"/>
      <name val="Times New Roman"/>
      <family val="1"/>
      <charset val="186"/>
    </font>
    <font>
      <sz val="10"/>
      <name val="Arial"/>
      <family val="2"/>
    </font>
    <font>
      <u/>
      <sz val="10"/>
      <color indexed="12"/>
      <name val="Arial"/>
      <family val="2"/>
      <charset val="186"/>
    </font>
    <font>
      <b/>
      <sz val="12"/>
      <color indexed="8"/>
      <name val="Times New Roman"/>
      <family val="1"/>
      <charset val="186"/>
    </font>
    <font>
      <b/>
      <sz val="10"/>
      <name val="Arial"/>
      <family val="2"/>
      <charset val="186"/>
    </font>
    <font>
      <sz val="10"/>
      <name val="Times New Roman"/>
      <family val="1"/>
      <charset val="186"/>
    </font>
    <font>
      <sz val="10"/>
      <name val="Arial"/>
      <family val="2"/>
      <charset val="186"/>
    </font>
    <font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8"/>
      <color theme="3"/>
      <name val="Cambria"/>
      <family val="2"/>
      <charset val="186"/>
      <scheme val="major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75A26E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4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46" applyNumberFormat="0" applyAlignment="0" applyProtection="0"/>
    <xf numFmtId="0" fontId="20" fillId="28" borderId="47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48" applyNumberFormat="0" applyFill="0" applyAlignment="0" applyProtection="0"/>
    <xf numFmtId="0" fontId="24" fillId="0" borderId="49" applyNumberFormat="0" applyFill="0" applyAlignment="0" applyProtection="0"/>
    <xf numFmtId="0" fontId="25" fillId="0" borderId="50" applyNumberFormat="0" applyFill="0" applyAlignment="0" applyProtection="0"/>
    <xf numFmtId="0" fontId="2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6" fillId="30" borderId="46" applyNumberFormat="0" applyAlignment="0" applyProtection="0"/>
    <xf numFmtId="0" fontId="27" fillId="0" borderId="51" applyNumberFormat="0" applyFill="0" applyAlignment="0" applyProtection="0"/>
    <xf numFmtId="0" fontId="28" fillId="31" borderId="0" applyNumberFormat="0" applyBorder="0" applyAlignment="0" applyProtection="0"/>
    <xf numFmtId="0" fontId="1" fillId="0" borderId="0"/>
    <xf numFmtId="0" fontId="1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5" fillId="0" borderId="0"/>
    <xf numFmtId="0" fontId="16" fillId="32" borderId="52" applyNumberFormat="0" applyFont="0" applyAlignment="0" applyProtection="0"/>
    <xf numFmtId="0" fontId="29" fillId="27" borderId="53" applyNumberFormat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54" applyNumberFormat="0" applyFill="0" applyAlignment="0" applyProtection="0"/>
    <xf numFmtId="0" fontId="32" fillId="0" borderId="0" applyNumberFormat="0" applyFill="0" applyBorder="0" applyAlignment="0" applyProtection="0"/>
  </cellStyleXfs>
  <cellXfs count="113">
    <xf numFmtId="0" fontId="0" fillId="0" borderId="0" xfId="0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3" fontId="9" fillId="33" borderId="4" xfId="0" applyNumberFormat="1" applyFont="1" applyFill="1" applyBorder="1" applyAlignment="1">
      <alignment horizontal="center" vertical="center" wrapText="1"/>
    </xf>
    <xf numFmtId="3" fontId="9" fillId="33" borderId="5" xfId="0" applyNumberFormat="1" applyFont="1" applyFill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6" fontId="8" fillId="0" borderId="7" xfId="0" applyNumberFormat="1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166" fontId="8" fillId="0" borderId="9" xfId="0" applyNumberFormat="1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 wrapText="1"/>
    </xf>
    <xf numFmtId="166" fontId="9" fillId="0" borderId="13" xfId="0" applyNumberFormat="1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2" fontId="9" fillId="0" borderId="14" xfId="0" applyNumberFormat="1" applyFont="1" applyBorder="1" applyAlignment="1">
      <alignment horizontal="center" vertical="center" wrapText="1"/>
    </xf>
    <xf numFmtId="166" fontId="9" fillId="0" borderId="15" xfId="0" applyNumberFormat="1" applyFont="1" applyBorder="1" applyAlignment="1">
      <alignment horizontal="center" vertical="center" wrapText="1"/>
    </xf>
    <xf numFmtId="166" fontId="9" fillId="0" borderId="16" xfId="0" applyNumberFormat="1" applyFont="1" applyBorder="1" applyAlignment="1">
      <alignment horizontal="center" vertical="center" wrapText="1"/>
    </xf>
    <xf numFmtId="166" fontId="8" fillId="0" borderId="17" xfId="0" applyNumberFormat="1" applyFont="1" applyBorder="1" applyAlignment="1">
      <alignment horizontal="center" vertical="center" wrapText="1"/>
    </xf>
    <xf numFmtId="166" fontId="8" fillId="0" borderId="18" xfId="0" applyNumberFormat="1" applyFont="1" applyBorder="1" applyAlignment="1">
      <alignment horizontal="center" vertical="center" wrapText="1"/>
    </xf>
    <xf numFmtId="166" fontId="8" fillId="0" borderId="19" xfId="0" applyNumberFormat="1" applyFont="1" applyBorder="1" applyAlignment="1">
      <alignment horizontal="center" vertical="center" wrapText="1"/>
    </xf>
    <xf numFmtId="166" fontId="9" fillId="0" borderId="20" xfId="0" applyNumberFormat="1" applyFont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center" vertical="center" wrapText="1"/>
    </xf>
    <xf numFmtId="166" fontId="9" fillId="0" borderId="22" xfId="0" applyNumberFormat="1" applyFont="1" applyBorder="1" applyAlignment="1">
      <alignment horizontal="center" vertical="center" wrapText="1"/>
    </xf>
    <xf numFmtId="166" fontId="8" fillId="0" borderId="23" xfId="0" applyNumberFormat="1" applyFont="1" applyBorder="1" applyAlignment="1">
      <alignment horizontal="center" vertical="center" wrapText="1"/>
    </xf>
    <xf numFmtId="2" fontId="9" fillId="34" borderId="0" xfId="0" applyNumberFormat="1" applyFont="1" applyFill="1" applyBorder="1" applyAlignment="1">
      <alignment horizontal="center" vertical="center" wrapText="1"/>
    </xf>
    <xf numFmtId="2" fontId="8" fillId="34" borderId="0" xfId="0" applyNumberFormat="1" applyFont="1" applyFill="1" applyBorder="1" applyAlignment="1">
      <alignment horizontal="center" vertical="center" wrapText="1"/>
    </xf>
    <xf numFmtId="0" fontId="2" fillId="34" borderId="0" xfId="0" applyFont="1" applyFill="1"/>
    <xf numFmtId="0" fontId="3" fillId="34" borderId="0" xfId="0" applyFont="1" applyFill="1"/>
    <xf numFmtId="3" fontId="8" fillId="34" borderId="0" xfId="0" applyNumberFormat="1" applyFont="1" applyFill="1" applyAlignment="1">
      <alignment horizontal="center"/>
    </xf>
    <xf numFmtId="166" fontId="8" fillId="0" borderId="24" xfId="0" applyNumberFormat="1" applyFont="1" applyBorder="1" applyAlignment="1">
      <alignment horizontal="center" vertical="center" wrapText="1"/>
    </xf>
    <xf numFmtId="166" fontId="8" fillId="0" borderId="25" xfId="0" applyNumberFormat="1" applyFont="1" applyBorder="1" applyAlignment="1">
      <alignment horizontal="center" vertical="center" wrapText="1"/>
    </xf>
    <xf numFmtId="166" fontId="8" fillId="0" borderId="26" xfId="0" applyNumberFormat="1" applyFont="1" applyBorder="1" applyAlignment="1">
      <alignment horizontal="center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8" xfId="0" applyNumberFormat="1" applyFont="1" applyBorder="1" applyAlignment="1">
      <alignment horizontal="center" vertical="center" wrapText="1"/>
    </xf>
    <xf numFmtId="166" fontId="8" fillId="0" borderId="29" xfId="0" applyNumberFormat="1" applyFont="1" applyBorder="1" applyAlignment="1">
      <alignment horizontal="center" vertical="center" wrapText="1"/>
    </xf>
    <xf numFmtId="166" fontId="9" fillId="0" borderId="30" xfId="0" applyNumberFormat="1" applyFont="1" applyBorder="1" applyAlignment="1">
      <alignment horizontal="center" vertical="center" wrapText="1"/>
    </xf>
    <xf numFmtId="166" fontId="9" fillId="0" borderId="31" xfId="0" applyNumberFormat="1" applyFont="1" applyBorder="1" applyAlignment="1">
      <alignment horizontal="center" vertical="center" wrapText="1"/>
    </xf>
    <xf numFmtId="3" fontId="9" fillId="33" borderId="13" xfId="0" applyNumberFormat="1" applyFont="1" applyFill="1" applyBorder="1" applyAlignment="1">
      <alignment horizontal="center" vertical="center" wrapText="1"/>
    </xf>
    <xf numFmtId="3" fontId="9" fillId="33" borderId="31" xfId="0" applyNumberFormat="1" applyFont="1" applyFill="1" applyBorder="1" applyAlignment="1">
      <alignment horizontal="center" vertical="center" wrapText="1"/>
    </xf>
    <xf numFmtId="4" fontId="8" fillId="0" borderId="33" xfId="0" applyNumberFormat="1" applyFont="1" applyBorder="1" applyAlignment="1">
      <alignment horizontal="center" vertical="center" wrapText="1"/>
    </xf>
    <xf numFmtId="4" fontId="8" fillId="0" borderId="34" xfId="0" applyNumberFormat="1" applyFont="1" applyBorder="1" applyAlignment="1">
      <alignment horizontal="center" vertical="center" wrapText="1"/>
    </xf>
    <xf numFmtId="4" fontId="8" fillId="0" borderId="35" xfId="0" applyNumberFormat="1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top" wrapText="1"/>
    </xf>
    <xf numFmtId="2" fontId="5" fillId="0" borderId="34" xfId="0" applyNumberFormat="1" applyFont="1" applyBorder="1" applyAlignment="1">
      <alignment horizontal="center" vertical="top" wrapText="1"/>
    </xf>
    <xf numFmtId="2" fontId="5" fillId="0" borderId="35" xfId="0" applyNumberFormat="1" applyFont="1" applyBorder="1" applyAlignment="1">
      <alignment horizontal="center" vertical="top" wrapText="1"/>
    </xf>
    <xf numFmtId="2" fontId="9" fillId="0" borderId="36" xfId="0" applyNumberFormat="1" applyFont="1" applyBorder="1" applyAlignment="1">
      <alignment horizontal="center" vertical="center" wrapText="1"/>
    </xf>
    <xf numFmtId="165" fontId="5" fillId="0" borderId="37" xfId="0" applyNumberFormat="1" applyFont="1" applyBorder="1" applyAlignment="1">
      <alignment horizontal="center" vertical="top" wrapText="1"/>
    </xf>
    <xf numFmtId="165" fontId="5" fillId="0" borderId="38" xfId="0" applyNumberFormat="1" applyFont="1" applyBorder="1" applyAlignment="1">
      <alignment horizontal="center" vertical="top" wrapText="1"/>
    </xf>
    <xf numFmtId="165" fontId="5" fillId="0" borderId="39" xfId="0" applyNumberFormat="1" applyFont="1" applyBorder="1" applyAlignment="1">
      <alignment horizontal="center" vertical="top" wrapText="1"/>
    </xf>
    <xf numFmtId="0" fontId="12" fillId="0" borderId="9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4" fontId="3" fillId="34" borderId="0" xfId="0" applyNumberFormat="1" applyFont="1" applyFill="1"/>
    <xf numFmtId="9" fontId="5" fillId="0" borderId="33" xfId="0" applyNumberFormat="1" applyFont="1" applyBorder="1" applyAlignment="1">
      <alignment horizontal="center" vertical="top" wrapText="1"/>
    </xf>
    <xf numFmtId="9" fontId="5" fillId="0" borderId="34" xfId="0" applyNumberFormat="1" applyFont="1" applyBorder="1" applyAlignment="1">
      <alignment horizontal="center" vertical="top" wrapText="1"/>
    </xf>
    <xf numFmtId="9" fontId="5" fillId="0" borderId="39" xfId="0" applyNumberFormat="1" applyFont="1" applyBorder="1" applyAlignment="1">
      <alignment horizontal="center" vertical="top" wrapText="1"/>
    </xf>
    <xf numFmtId="167" fontId="0" fillId="0" borderId="0" xfId="0" applyNumberFormat="1"/>
    <xf numFmtId="168" fontId="14" fillId="0" borderId="43" xfId="28" applyNumberFormat="1" applyFont="1" applyBorder="1"/>
    <xf numFmtId="168" fontId="13" fillId="0" borderId="9" xfId="28" applyNumberFormat="1" applyFont="1" applyBorder="1"/>
    <xf numFmtId="168" fontId="0" fillId="0" borderId="9" xfId="28" applyNumberFormat="1" applyFont="1" applyBorder="1"/>
    <xf numFmtId="169" fontId="0" fillId="0" borderId="9" xfId="0" applyNumberFormat="1" applyFill="1" applyBorder="1" applyAlignment="1" applyProtection="1"/>
    <xf numFmtId="169" fontId="13" fillId="0" borderId="9" xfId="28" applyNumberFormat="1" applyFont="1" applyBorder="1"/>
    <xf numFmtId="168" fontId="0" fillId="0" borderId="0" xfId="0" applyNumberFormat="1"/>
    <xf numFmtId="14" fontId="3" fillId="34" borderId="0" xfId="0" applyNumberFormat="1" applyFont="1" applyFill="1" applyAlignment="1">
      <alignment horizontal="center"/>
    </xf>
    <xf numFmtId="0" fontId="7" fillId="0" borderId="14" xfId="0" applyFont="1" applyBorder="1" applyAlignment="1">
      <alignment vertical="top" wrapText="1"/>
    </xf>
    <xf numFmtId="0" fontId="7" fillId="0" borderId="36" xfId="0" applyFont="1" applyBorder="1" applyAlignment="1">
      <alignment vertical="top" wrapText="1"/>
    </xf>
    <xf numFmtId="0" fontId="7" fillId="0" borderId="41" xfId="0" applyFont="1" applyBorder="1" applyAlignment="1">
      <alignment vertical="top" wrapText="1"/>
    </xf>
    <xf numFmtId="2" fontId="5" fillId="0" borderId="37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2" fontId="5" fillId="0" borderId="38" xfId="0" applyNumberFormat="1" applyFont="1" applyBorder="1" applyAlignment="1">
      <alignment horizontal="center" vertical="top" wrapText="1"/>
    </xf>
    <xf numFmtId="2" fontId="5" fillId="0" borderId="2" xfId="0" applyNumberFormat="1" applyFont="1" applyBorder="1" applyAlignment="1">
      <alignment horizontal="center" vertical="top" wrapText="1"/>
    </xf>
    <xf numFmtId="0" fontId="5" fillId="0" borderId="58" xfId="0" applyFont="1" applyBorder="1" applyAlignment="1">
      <alignment horizontal="left" vertical="top" wrapText="1"/>
    </xf>
    <xf numFmtId="165" fontId="5" fillId="0" borderId="59" xfId="0" applyNumberFormat="1" applyFont="1" applyBorder="1" applyAlignment="1">
      <alignment horizontal="center" vertical="top" wrapText="1"/>
    </xf>
    <xf numFmtId="2" fontId="5" fillId="0" borderId="59" xfId="0" applyNumberFormat="1" applyFont="1" applyBorder="1" applyAlignment="1">
      <alignment horizontal="center" vertical="top" wrapText="1"/>
    </xf>
    <xf numFmtId="2" fontId="5" fillId="0" borderId="58" xfId="0" applyNumberFormat="1" applyFont="1" applyBorder="1" applyAlignment="1">
      <alignment horizontal="center" vertical="top" wrapText="1"/>
    </xf>
    <xf numFmtId="0" fontId="5" fillId="0" borderId="60" xfId="0" applyFont="1" applyBorder="1" applyAlignment="1">
      <alignment horizontal="left" vertical="top" wrapText="1"/>
    </xf>
    <xf numFmtId="165" fontId="5" fillId="0" borderId="60" xfId="0" applyNumberFormat="1" applyFont="1" applyBorder="1" applyAlignment="1">
      <alignment horizontal="center" vertical="top" wrapText="1"/>
    </xf>
    <xf numFmtId="2" fontId="5" fillId="0" borderId="60" xfId="0" applyNumberFormat="1" applyFont="1" applyBorder="1" applyAlignment="1">
      <alignment horizontal="center" vertical="top" wrapText="1"/>
    </xf>
    <xf numFmtId="4" fontId="8" fillId="0" borderId="60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 vertical="center" wrapText="1"/>
    </xf>
    <xf numFmtId="166" fontId="8" fillId="0" borderId="33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left" vertical="top" wrapText="1"/>
    </xf>
    <xf numFmtId="4" fontId="8" fillId="0" borderId="38" xfId="0" applyNumberFormat="1" applyFont="1" applyBorder="1" applyAlignment="1">
      <alignment horizontal="center" vertical="top"/>
    </xf>
    <xf numFmtId="0" fontId="5" fillId="0" borderId="59" xfId="0" applyFont="1" applyBorder="1" applyAlignment="1">
      <alignment horizontal="left" vertical="top" wrapText="1"/>
    </xf>
    <xf numFmtId="4" fontId="8" fillId="0" borderId="59" xfId="0" applyNumberFormat="1" applyFont="1" applyBorder="1" applyAlignment="1">
      <alignment horizontal="center" vertical="top"/>
    </xf>
    <xf numFmtId="0" fontId="0" fillId="34" borderId="0" xfId="0" applyFill="1" applyBorder="1"/>
    <xf numFmtId="169" fontId="0" fillId="0" borderId="9" xfId="28" applyNumberFormat="1" applyFont="1" applyBorder="1"/>
    <xf numFmtId="0" fontId="2" fillId="34" borderId="0" xfId="41" applyFont="1" applyFill="1" applyAlignment="1">
      <alignment horizontal="left"/>
    </xf>
    <xf numFmtId="0" fontId="4" fillId="33" borderId="14" xfId="0" applyFont="1" applyFill="1" applyBorder="1" applyAlignment="1">
      <alignment horizontal="left" vertical="center" wrapText="1"/>
    </xf>
    <xf numFmtId="0" fontId="4" fillId="33" borderId="36" xfId="0" applyFont="1" applyFill="1" applyBorder="1" applyAlignment="1">
      <alignment horizontal="left" vertical="center" wrapText="1"/>
    </xf>
    <xf numFmtId="0" fontId="4" fillId="33" borderId="41" xfId="0" applyFont="1" applyFill="1" applyBorder="1" applyAlignment="1">
      <alignment horizontal="left" vertical="center" wrapText="1"/>
    </xf>
    <xf numFmtId="2" fontId="9" fillId="0" borderId="14" xfId="0" applyNumberFormat="1" applyFont="1" applyBorder="1" applyAlignment="1">
      <alignment horizontal="center"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0" fontId="3" fillId="34" borderId="0" xfId="41" applyFont="1" applyFill="1" applyAlignment="1">
      <alignment horizontal="left"/>
    </xf>
    <xf numFmtId="0" fontId="2" fillId="34" borderId="0" xfId="41" applyFont="1" applyFill="1" applyBorder="1" applyAlignment="1">
      <alignment horizontal="left"/>
    </xf>
    <xf numFmtId="3" fontId="9" fillId="33" borderId="14" xfId="0" applyNumberFormat="1" applyFont="1" applyFill="1" applyBorder="1" applyAlignment="1">
      <alignment horizontal="center" vertical="center" wrapText="1"/>
    </xf>
    <xf numFmtId="3" fontId="9" fillId="33" borderId="36" xfId="0" applyNumberFormat="1" applyFont="1" applyFill="1" applyBorder="1" applyAlignment="1">
      <alignment horizontal="center" vertical="center" wrapText="1"/>
    </xf>
    <xf numFmtId="3" fontId="9" fillId="33" borderId="42" xfId="0" applyNumberFormat="1" applyFont="1" applyFill="1" applyBorder="1" applyAlignment="1">
      <alignment horizontal="center" vertical="center" wrapText="1"/>
    </xf>
    <xf numFmtId="3" fontId="9" fillId="33" borderId="40" xfId="0" applyNumberFormat="1" applyFont="1" applyFill="1" applyBorder="1" applyAlignment="1">
      <alignment horizontal="center" vertical="center" wrapText="1"/>
    </xf>
    <xf numFmtId="0" fontId="4" fillId="33" borderId="55" xfId="0" applyFont="1" applyFill="1" applyBorder="1" applyAlignment="1">
      <alignment horizontal="center" vertical="center" wrapText="1"/>
    </xf>
    <xf numFmtId="0" fontId="4" fillId="33" borderId="56" xfId="0" applyFont="1" applyFill="1" applyBorder="1" applyAlignment="1">
      <alignment horizontal="center" vertical="center" wrapText="1"/>
    </xf>
    <xf numFmtId="0" fontId="4" fillId="33" borderId="44" xfId="0" applyFont="1" applyFill="1" applyBorder="1" applyAlignment="1">
      <alignment horizontal="center" vertical="center" wrapText="1"/>
    </xf>
    <xf numFmtId="0" fontId="4" fillId="33" borderId="45" xfId="0" applyFont="1" applyFill="1" applyBorder="1" applyAlignment="1">
      <alignment horizontal="center" vertical="center" wrapText="1"/>
    </xf>
    <xf numFmtId="0" fontId="4" fillId="33" borderId="40" xfId="0" applyFont="1" applyFill="1" applyBorder="1" applyAlignment="1">
      <alignment horizontal="center" vertical="center" wrapText="1"/>
    </xf>
    <xf numFmtId="0" fontId="4" fillId="33" borderId="57" xfId="0" applyFont="1" applyFill="1" applyBorder="1" applyAlignment="1">
      <alignment horizontal="center" vertical="center" wrapText="1"/>
    </xf>
    <xf numFmtId="166" fontId="8" fillId="0" borderId="61" xfId="0" applyNumberFormat="1" applyFont="1" applyBorder="1" applyAlignment="1">
      <alignment horizontal="center" vertical="center" wrapText="1"/>
    </xf>
    <xf numFmtId="166" fontId="8" fillId="0" borderId="32" xfId="0" applyNumberFormat="1" applyFont="1" applyBorder="1" applyAlignment="1">
      <alignment horizontal="center" vertical="center" wrapText="1"/>
    </xf>
  </cellXfs>
  <cellStyles count="5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 2" xfId="36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Note 2" xfId="48"/>
    <cellStyle name="Output" xfId="49" builtinId="21" customBuiltin="1"/>
    <cellStyle name="Percent 2" xfId="50"/>
    <cellStyle name="Title" xfId="51" builtinId="15" customBuiltin="1"/>
    <cellStyle name="Total" xfId="52" builtinId="25" customBuiltin="1"/>
    <cellStyle name="Warning Text" xfId="53" builtinId="11" customBuiltin="1"/>
  </cellStyles>
  <dxfs count="64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0.10310594737301673"/>
          <c:y val="0.25715894604083578"/>
          <c:w val="0.44413763348074642"/>
          <c:h val="0.58949176807444525"/>
        </c:manualLayout>
      </c:layout>
      <c:pieChart>
        <c:varyColors val="1"/>
        <c:ser>
          <c:idx val="0"/>
          <c:order val="0"/>
          <c:tx>
            <c:strRef>
              <c:f>'Papildomi duomenys'!$B$32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duomenys'!$A$33:$A$37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„Luminor investicijų valdymas“, UAB 226299280</c:v>
                </c:pt>
                <c:pt idx="4">
                  <c:v>UAB "INVL Asset Management" 126263073</c:v>
                </c:pt>
              </c:strCache>
            </c:strRef>
          </c:cat>
          <c:val>
            <c:numRef>
              <c:f>'Papildomi duomenys'!$B$33:$B$37</c:f>
              <c:numCache>
                <c:formatCode>###\ ###\ ###</c:formatCode>
                <c:ptCount val="5"/>
                <c:pt idx="0">
                  <c:v>516641</c:v>
                </c:pt>
                <c:pt idx="1">
                  <c:v>291072</c:v>
                </c:pt>
                <c:pt idx="2">
                  <c:v>226312</c:v>
                </c:pt>
                <c:pt idx="3">
                  <c:v>133847</c:v>
                </c:pt>
                <c:pt idx="4">
                  <c:v>126994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015721249129582"/>
          <c:y val="0.14673160211632688"/>
          <c:w val="0.37289303122823936"/>
          <c:h val="0.842014006149908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'Papildomi duomenys'!$B$70</c:f>
              <c:strCache>
                <c:ptCount val="1"/>
                <c:pt idx="0">
                  <c:v>Grynieji aktyvai, Eur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duomenys'!$A$71:$A$75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„Luminor investicijų valdymas“, UAB 226299280</c:v>
                </c:pt>
                <c:pt idx="4">
                  <c:v>UAB "INVL Asset Management" 126263073</c:v>
                </c:pt>
              </c:strCache>
            </c:strRef>
          </c:cat>
          <c:val>
            <c:numRef>
              <c:f>'Papildomi duomenys'!$B$71:$B$75</c:f>
              <c:numCache>
                <c:formatCode>###\ ###\ ###</c:formatCode>
                <c:ptCount val="5"/>
                <c:pt idx="0" formatCode="###\ ###\ ###\ ###">
                  <c:v>1086531393.95</c:v>
                </c:pt>
                <c:pt idx="1">
                  <c:v>761477149.32000005</c:v>
                </c:pt>
                <c:pt idx="2">
                  <c:v>458552835.45000005</c:v>
                </c:pt>
                <c:pt idx="3">
                  <c:v>323940253.13890004</c:v>
                </c:pt>
                <c:pt idx="4">
                  <c:v>309106534.33419997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79499098757227"/>
          <c:y val="0.15804300147413081"/>
          <c:w val="0.38161043122621718"/>
          <c:h val="0.828363355265523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2</xdr:row>
      <xdr:rowOff>30480</xdr:rowOff>
    </xdr:from>
    <xdr:to>
      <xdr:col>7</xdr:col>
      <xdr:colOff>579120</xdr:colOff>
      <xdr:row>21</xdr:row>
      <xdr:rowOff>76200</xdr:rowOff>
    </xdr:to>
    <xdr:graphicFrame macro="">
      <xdr:nvGraphicFramePr>
        <xdr:cNvPr id="13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670560</xdr:colOff>
      <xdr:row>35</xdr:row>
      <xdr:rowOff>160020</xdr:rowOff>
    </xdr:from>
    <xdr:to>
      <xdr:col>8</xdr:col>
      <xdr:colOff>342900</xdr:colOff>
      <xdr:row>51</xdr:row>
      <xdr:rowOff>137160</xdr:rowOff>
    </xdr:to>
    <xdr:graphicFrame macro="">
      <xdr:nvGraphicFramePr>
        <xdr:cNvPr id="13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10" zoomScale="70" zoomScaleNormal="70" workbookViewId="0">
      <selection activeCell="JD23" sqref="JD23"/>
    </sheetView>
  </sheetViews>
  <sheetFormatPr defaultRowHeight="13.2" zeroHeight="1" x14ac:dyDescent="0.25"/>
  <cols>
    <col min="1" max="1" width="31.5546875" style="91" customWidth="1"/>
    <col min="2" max="4" width="9.77734375" style="91" customWidth="1"/>
    <col min="5" max="5" width="14.5546875" style="91" customWidth="1"/>
    <col min="6" max="7" width="14.21875" style="91" customWidth="1"/>
    <col min="8" max="8" width="13.77734375" style="91" customWidth="1"/>
    <col min="9" max="10" width="16.33203125" style="91" bestFit="1" customWidth="1"/>
    <col min="11" max="11" width="16.33203125" style="91" customWidth="1"/>
    <col min="12" max="12" width="16.21875" style="91" customWidth="1"/>
    <col min="13" max="256" width="0" hidden="1" customWidth="1"/>
  </cols>
  <sheetData>
    <row r="1" spans="1:12" ht="14.4" thickBot="1" x14ac:dyDescent="0.3">
      <c r="A1" s="69">
        <v>43190</v>
      </c>
      <c r="B1" s="32"/>
      <c r="C1" s="58"/>
      <c r="D1" s="31"/>
      <c r="E1" s="33"/>
      <c r="F1" s="33"/>
      <c r="G1" s="33"/>
      <c r="H1" s="33"/>
      <c r="I1" s="33"/>
      <c r="J1" s="33"/>
      <c r="K1" s="33"/>
      <c r="L1" s="33"/>
    </row>
    <row r="2" spans="1:12" ht="14.4" customHeight="1" thickBot="1" x14ac:dyDescent="0.3">
      <c r="A2" s="105" t="s">
        <v>0</v>
      </c>
      <c r="B2" s="107" t="s">
        <v>15</v>
      </c>
      <c r="C2" s="109" t="s">
        <v>32</v>
      </c>
      <c r="D2" s="109" t="s">
        <v>29</v>
      </c>
      <c r="E2" s="101" t="s">
        <v>33</v>
      </c>
      <c r="F2" s="102"/>
      <c r="G2" s="102"/>
      <c r="H2" s="102"/>
      <c r="I2" s="103" t="s">
        <v>20</v>
      </c>
      <c r="J2" s="104"/>
      <c r="K2" s="103" t="s">
        <v>16</v>
      </c>
      <c r="L2" s="104"/>
    </row>
    <row r="3" spans="1:12" ht="69.599999999999994" thickBot="1" x14ac:dyDescent="0.3">
      <c r="A3" s="106"/>
      <c r="B3" s="108"/>
      <c r="C3" s="110"/>
      <c r="D3" s="110"/>
      <c r="E3" s="7" t="s">
        <v>71</v>
      </c>
      <c r="F3" s="42" t="s">
        <v>72</v>
      </c>
      <c r="G3" s="42" t="s">
        <v>73</v>
      </c>
      <c r="H3" s="43" t="s">
        <v>74</v>
      </c>
      <c r="I3" s="7" t="s">
        <v>75</v>
      </c>
      <c r="J3" s="43" t="s">
        <v>76</v>
      </c>
      <c r="K3" s="7" t="s">
        <v>77</v>
      </c>
      <c r="L3" s="8" t="s">
        <v>78</v>
      </c>
    </row>
    <row r="4" spans="1:12" ht="22.2" customHeight="1" thickBot="1" x14ac:dyDescent="0.3">
      <c r="A4" s="94" t="s">
        <v>17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6"/>
    </row>
    <row r="5" spans="1:12" ht="13.8" x14ac:dyDescent="0.25">
      <c r="A5" s="1" t="s">
        <v>6</v>
      </c>
      <c r="B5" s="51">
        <v>13.797260273972602</v>
      </c>
      <c r="C5" s="59">
        <v>0</v>
      </c>
      <c r="D5" s="44">
        <v>57.50456492</v>
      </c>
      <c r="E5" s="37">
        <v>-0.16583747927031434</v>
      </c>
      <c r="F5" s="10">
        <v>-0.22050788206358085</v>
      </c>
      <c r="G5" s="10">
        <v>2.2449440509875407</v>
      </c>
      <c r="H5" s="34">
        <v>4.4808677905416427</v>
      </c>
      <c r="I5" s="9">
        <v>0.48167425198315517</v>
      </c>
      <c r="J5" s="22">
        <v>1.4804870326648123</v>
      </c>
      <c r="K5" s="37">
        <v>1.9789124080749707</v>
      </c>
      <c r="L5" s="22">
        <v>2.8912854713885312</v>
      </c>
    </row>
    <row r="6" spans="1:12" ht="13.8" x14ac:dyDescent="0.25">
      <c r="A6" s="2" t="s">
        <v>5</v>
      </c>
      <c r="B6" s="52">
        <v>13.797260273972602</v>
      </c>
      <c r="C6" s="60">
        <v>0</v>
      </c>
      <c r="D6" s="45">
        <v>6.1398194000000004</v>
      </c>
      <c r="E6" s="38">
        <v>-0.19925280199253326</v>
      </c>
      <c r="F6" s="12">
        <v>0.21722852121446312</v>
      </c>
      <c r="G6" s="12">
        <v>2.1369334919117522</v>
      </c>
      <c r="H6" s="35">
        <v>2.6765345914984584</v>
      </c>
      <c r="I6" s="11">
        <v>0.79620156728066327</v>
      </c>
      <c r="J6" s="23">
        <v>2.1878595929280431</v>
      </c>
      <c r="K6" s="38">
        <v>2.205575792287811</v>
      </c>
      <c r="L6" s="23">
        <v>2.0352310423207038</v>
      </c>
    </row>
    <row r="7" spans="1:12" ht="13.8" x14ac:dyDescent="0.25">
      <c r="A7" s="3" t="s">
        <v>62</v>
      </c>
      <c r="B7" s="52">
        <v>13.797260273972602</v>
      </c>
      <c r="C7" s="60">
        <v>0</v>
      </c>
      <c r="D7" s="45">
        <v>31.8424468879</v>
      </c>
      <c r="E7" s="38">
        <v>-0.32664489034063271</v>
      </c>
      <c r="F7" s="12">
        <v>-0.21752710086345717</v>
      </c>
      <c r="G7" s="12">
        <v>1.1129978973066779</v>
      </c>
      <c r="H7" s="35">
        <v>3.1339720572531649</v>
      </c>
      <c r="I7" s="11">
        <v>0.86054337086991506</v>
      </c>
      <c r="J7" s="23">
        <v>2.2239164959730884</v>
      </c>
      <c r="K7" s="38">
        <v>0.96942931389897846</v>
      </c>
      <c r="L7" s="23">
        <v>1.6906225209036421</v>
      </c>
    </row>
    <row r="8" spans="1:12" ht="13.8" x14ac:dyDescent="0.25">
      <c r="A8" s="3" t="s">
        <v>25</v>
      </c>
      <c r="B8" s="52">
        <v>13.797260273972602</v>
      </c>
      <c r="C8" s="60">
        <v>0</v>
      </c>
      <c r="D8" s="45">
        <v>15.521307627599999</v>
      </c>
      <c r="E8" s="38">
        <v>-1.0880316518298572</v>
      </c>
      <c r="F8" s="12">
        <v>0.88890534731802529</v>
      </c>
      <c r="G8" s="12">
        <v>2.4225757461500796</v>
      </c>
      <c r="H8" s="35">
        <v>4.7869765369973116</v>
      </c>
      <c r="I8" s="11">
        <v>0.69281526353217604</v>
      </c>
      <c r="J8" s="23">
        <v>1.6115757910351247</v>
      </c>
      <c r="K8" s="38">
        <v>1.5643764244414875</v>
      </c>
      <c r="L8" s="23">
        <v>2.0389949773528473</v>
      </c>
    </row>
    <row r="9" spans="1:12" ht="13.8" x14ac:dyDescent="0.25">
      <c r="A9" s="2" t="s">
        <v>4</v>
      </c>
      <c r="B9" s="52">
        <v>13.797260273972602</v>
      </c>
      <c r="C9" s="60">
        <v>0</v>
      </c>
      <c r="D9" s="45">
        <v>86.566373849999991</v>
      </c>
      <c r="E9" s="38">
        <v>-0.41580041580041582</v>
      </c>
      <c r="F9" s="12">
        <v>-0.46536350779355917</v>
      </c>
      <c r="G9" s="12">
        <v>0.58961966899053753</v>
      </c>
      <c r="H9" s="35">
        <v>2.3245299342818937</v>
      </c>
      <c r="I9" s="11">
        <v>0.4689166091125907</v>
      </c>
      <c r="J9" s="23">
        <v>1.4431042399514427</v>
      </c>
      <c r="K9" s="38">
        <v>1.0662976229261787</v>
      </c>
      <c r="L9" s="23">
        <v>2.8028227885088421</v>
      </c>
    </row>
    <row r="10" spans="1:12" ht="14.4" thickBot="1" x14ac:dyDescent="0.3">
      <c r="A10" s="4" t="s">
        <v>34</v>
      </c>
      <c r="B10" s="53">
        <v>13.797260273972602</v>
      </c>
      <c r="C10" s="61">
        <v>0</v>
      </c>
      <c r="D10" s="46">
        <v>42.733879450000003</v>
      </c>
      <c r="E10" s="39">
        <v>-0.16736401673639323</v>
      </c>
      <c r="F10" s="15">
        <v>3.7282135992033894E-2</v>
      </c>
      <c r="G10" s="15">
        <v>0.38438757326777484</v>
      </c>
      <c r="H10" s="36">
        <v>1.5397679041959655</v>
      </c>
      <c r="I10" s="13">
        <v>-0.156836261479254</v>
      </c>
      <c r="J10" s="28">
        <v>-2.6946458439724985E-2</v>
      </c>
      <c r="K10" s="39">
        <v>0.31066461068028306</v>
      </c>
      <c r="L10" s="24">
        <v>1.4038007906434047</v>
      </c>
    </row>
    <row r="11" spans="1:12" ht="14.4" thickBot="1" x14ac:dyDescent="0.3">
      <c r="A11" s="70" t="s">
        <v>35</v>
      </c>
      <c r="B11" s="71"/>
      <c r="C11" s="71"/>
      <c r="D11" s="72"/>
      <c r="E11" s="25">
        <v>-0.33787868203704696</v>
      </c>
      <c r="F11" s="20">
        <v>-0.17963462882908757</v>
      </c>
      <c r="G11" s="20">
        <v>1.1765075820750159</v>
      </c>
      <c r="H11" s="40">
        <v>2.9762741240390969</v>
      </c>
      <c r="I11" s="18">
        <v>0.43540883115339218</v>
      </c>
      <c r="J11" s="17">
        <v>1.3240041414550794</v>
      </c>
      <c r="K11" s="27"/>
      <c r="L11" s="21"/>
    </row>
    <row r="12" spans="1:12" ht="21" customHeight="1" thickBot="1" x14ac:dyDescent="0.3">
      <c r="A12" s="94" t="s">
        <v>3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6"/>
    </row>
    <row r="13" spans="1:12" ht="13.8" x14ac:dyDescent="0.25">
      <c r="A13" s="1" t="s">
        <v>7</v>
      </c>
      <c r="B13" s="51">
        <v>13.797260273972602</v>
      </c>
      <c r="C13" s="47" t="s">
        <v>36</v>
      </c>
      <c r="D13" s="47">
        <v>302.60644897000003</v>
      </c>
      <c r="E13" s="37">
        <v>-1.3298854820834816</v>
      </c>
      <c r="F13" s="10">
        <v>0.17532910038577931</v>
      </c>
      <c r="G13" s="10">
        <v>3.4486266944655508</v>
      </c>
      <c r="H13" s="34">
        <v>4.2229886123157589</v>
      </c>
      <c r="I13" s="9">
        <v>0.65929405654379103</v>
      </c>
      <c r="J13" s="22">
        <v>2.7407793807370462</v>
      </c>
      <c r="K13" s="37">
        <v>3.6117354240651522</v>
      </c>
      <c r="L13" s="22">
        <v>4.4260137740467247</v>
      </c>
    </row>
    <row r="14" spans="1:12" ht="13.8" x14ac:dyDescent="0.25">
      <c r="A14" s="5" t="s">
        <v>63</v>
      </c>
      <c r="B14" s="52">
        <v>13.797260273972602</v>
      </c>
      <c r="C14" s="48" t="s">
        <v>37</v>
      </c>
      <c r="D14" s="48">
        <v>114.20155764090001</v>
      </c>
      <c r="E14" s="38">
        <v>-0.89068825910931793</v>
      </c>
      <c r="F14" s="12">
        <v>-8.1566104707686549E-2</v>
      </c>
      <c r="G14" s="12">
        <v>2.6730773244732164</v>
      </c>
      <c r="H14" s="35">
        <v>3.7943562677108522</v>
      </c>
      <c r="I14" s="11">
        <v>1.3303591992960051</v>
      </c>
      <c r="J14" s="23">
        <v>3.4836324596989821</v>
      </c>
      <c r="K14" s="38">
        <v>2.8880498902007128</v>
      </c>
      <c r="L14" s="23">
        <v>3.5939249117747893</v>
      </c>
    </row>
    <row r="15" spans="1:12" ht="13.8" x14ac:dyDescent="0.25">
      <c r="A15" s="5" t="s">
        <v>26</v>
      </c>
      <c r="B15" s="52">
        <v>13.797260273972602</v>
      </c>
      <c r="C15" s="48" t="s">
        <v>36</v>
      </c>
      <c r="D15" s="48">
        <v>18.253341220999999</v>
      </c>
      <c r="E15" s="38">
        <v>-1.7904509283819592</v>
      </c>
      <c r="F15" s="12">
        <v>3.979039130762696</v>
      </c>
      <c r="G15" s="12">
        <v>4.5322125610192554</v>
      </c>
      <c r="H15" s="35">
        <v>4.950013947776144</v>
      </c>
      <c r="I15" s="11">
        <v>3.1338989322620803</v>
      </c>
      <c r="J15" s="23">
        <v>5.4816247068846913</v>
      </c>
      <c r="K15" s="38">
        <v>3.5986249140100677</v>
      </c>
      <c r="L15" s="23">
        <v>6.5689496620863856</v>
      </c>
    </row>
    <row r="16" spans="1:12" ht="14.4" thickBot="1" x14ac:dyDescent="0.3">
      <c r="A16" s="6" t="s">
        <v>8</v>
      </c>
      <c r="B16" s="53">
        <v>13.797260273972602</v>
      </c>
      <c r="C16" s="49" t="s">
        <v>36</v>
      </c>
      <c r="D16" s="49">
        <v>268.58125287000001</v>
      </c>
      <c r="E16" s="39">
        <v>-1.1312700106723694</v>
      </c>
      <c r="F16" s="15">
        <v>0.74498802238860407</v>
      </c>
      <c r="G16" s="15">
        <v>3.3100786543623251</v>
      </c>
      <c r="H16" s="36">
        <v>3.1042253434242273</v>
      </c>
      <c r="I16" s="14">
        <v>1.5591539093983586</v>
      </c>
      <c r="J16" s="24">
        <v>4.301924970442017</v>
      </c>
      <c r="K16" s="39">
        <v>3.3848812480582127</v>
      </c>
      <c r="L16" s="24">
        <v>4.4246239831340732</v>
      </c>
    </row>
    <row r="17" spans="1:12" ht="14.4" thickBot="1" x14ac:dyDescent="0.3">
      <c r="A17" s="70" t="s">
        <v>38</v>
      </c>
      <c r="B17" s="71"/>
      <c r="C17" s="71"/>
      <c r="D17" s="72"/>
      <c r="E17" s="18">
        <v>-1.1947393997038442</v>
      </c>
      <c r="F17" s="16">
        <v>0.44974723724323507</v>
      </c>
      <c r="G17" s="16">
        <v>3.2979802020502897</v>
      </c>
      <c r="H17" s="41">
        <v>3.745247952535951</v>
      </c>
      <c r="I17" s="25">
        <v>1.1758801445506195</v>
      </c>
      <c r="J17" s="21">
        <v>3.5283368730358302</v>
      </c>
      <c r="K17" s="27"/>
      <c r="L17" s="21"/>
    </row>
    <row r="18" spans="1:12" ht="19.2" customHeight="1" thickBot="1" x14ac:dyDescent="0.3">
      <c r="A18" s="94" t="s">
        <v>13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6"/>
    </row>
    <row r="19" spans="1:12" ht="13.8" x14ac:dyDescent="0.25">
      <c r="A19" s="1" t="s">
        <v>11</v>
      </c>
      <c r="B19" s="51">
        <v>12.150684931506849</v>
      </c>
      <c r="C19" s="73" t="s">
        <v>39</v>
      </c>
      <c r="D19" s="74">
        <v>98.441821560000008</v>
      </c>
      <c r="E19" s="9">
        <v>-2.6345166331770531</v>
      </c>
      <c r="F19" s="10">
        <v>0.19952474050661806</v>
      </c>
      <c r="G19" s="10">
        <v>4.5687513308500627</v>
      </c>
      <c r="H19" s="34">
        <v>4.0580989539306778</v>
      </c>
      <c r="I19" s="9">
        <v>0.76418009061576253</v>
      </c>
      <c r="J19" s="22">
        <v>3.951974275405723</v>
      </c>
      <c r="K19" s="37">
        <v>5.2873677096079961</v>
      </c>
      <c r="L19" s="22">
        <v>6.4914156988664891</v>
      </c>
    </row>
    <row r="20" spans="1:12" ht="13.8" x14ac:dyDescent="0.25">
      <c r="A20" s="3" t="s">
        <v>64</v>
      </c>
      <c r="B20" s="52">
        <v>13.797260273972602</v>
      </c>
      <c r="C20" s="75" t="s">
        <v>40</v>
      </c>
      <c r="D20" s="76">
        <v>162.19618214490001</v>
      </c>
      <c r="E20" s="11">
        <v>-1.580381471389658</v>
      </c>
      <c r="F20" s="12">
        <v>0.26595869929169069</v>
      </c>
      <c r="G20" s="12">
        <v>4.1652013866330329</v>
      </c>
      <c r="H20" s="35">
        <v>4.2435499395798271</v>
      </c>
      <c r="I20" s="11">
        <v>1.7178312019747954</v>
      </c>
      <c r="J20" s="23">
        <v>4.6954747760531212</v>
      </c>
      <c r="K20" s="38">
        <v>4.8295549410697181</v>
      </c>
      <c r="L20" s="23">
        <v>5.9238507341515101</v>
      </c>
    </row>
    <row r="21" spans="1:12" ht="13.8" x14ac:dyDescent="0.25">
      <c r="A21" s="3" t="s">
        <v>27</v>
      </c>
      <c r="B21" s="52">
        <v>10.378082191780821</v>
      </c>
      <c r="C21" s="75" t="s">
        <v>41</v>
      </c>
      <c r="D21" s="76">
        <v>110.0859964799</v>
      </c>
      <c r="E21" s="11">
        <v>-1.9711369236184439</v>
      </c>
      <c r="F21" s="12">
        <v>2.7675924778586491</v>
      </c>
      <c r="G21" s="12">
        <v>6.283561384437597</v>
      </c>
      <c r="H21" s="35">
        <v>6.9720373230508725</v>
      </c>
      <c r="I21" s="11">
        <v>3.6371389376805618</v>
      </c>
      <c r="J21" s="23">
        <v>7.234180333935214</v>
      </c>
      <c r="K21" s="38">
        <v>6.0363523145318281</v>
      </c>
      <c r="L21" s="23" t="s">
        <v>42</v>
      </c>
    </row>
    <row r="22" spans="1:12" ht="13.8" x14ac:dyDescent="0.25">
      <c r="A22" s="3" t="s">
        <v>1</v>
      </c>
      <c r="B22" s="52">
        <v>13.797260273972602</v>
      </c>
      <c r="C22" s="75" t="s">
        <v>43</v>
      </c>
      <c r="D22" s="76">
        <v>529.67374522</v>
      </c>
      <c r="E22" s="11">
        <v>-1.9165085388994307</v>
      </c>
      <c r="F22" s="12">
        <v>0.48838438294616093</v>
      </c>
      <c r="G22" s="12">
        <v>3.4200866938097541</v>
      </c>
      <c r="H22" s="35">
        <v>2.7138502580744239</v>
      </c>
      <c r="I22" s="11">
        <v>1.8548392904953914</v>
      </c>
      <c r="J22" s="23">
        <v>4.1406354991109895</v>
      </c>
      <c r="K22" s="38">
        <v>6.1298269385073327</v>
      </c>
      <c r="L22" s="23">
        <v>9.0851723849614547</v>
      </c>
    </row>
    <row r="23" spans="1:12" ht="13.8" x14ac:dyDescent="0.25">
      <c r="A23" s="3" t="s">
        <v>9</v>
      </c>
      <c r="B23" s="52">
        <v>13.797260273972602</v>
      </c>
      <c r="C23" s="75" t="s">
        <v>40</v>
      </c>
      <c r="D23" s="76">
        <v>401.57274183999999</v>
      </c>
      <c r="E23" s="11">
        <v>-1.7040015316867718</v>
      </c>
      <c r="F23" s="12">
        <v>1.1219736025833704</v>
      </c>
      <c r="G23" s="12">
        <v>4.4128784855574033</v>
      </c>
      <c r="H23" s="35">
        <v>3.0143290655319621</v>
      </c>
      <c r="I23" s="11">
        <v>2.1308999881602952</v>
      </c>
      <c r="J23" s="23">
        <v>5.364069991125775</v>
      </c>
      <c r="K23" s="38">
        <v>5.027351148759104</v>
      </c>
      <c r="L23" s="23">
        <v>6.5344586559910098</v>
      </c>
    </row>
    <row r="24" spans="1:12" ht="14.4" thickBot="1" x14ac:dyDescent="0.3">
      <c r="A24" s="77" t="s">
        <v>10</v>
      </c>
      <c r="B24" s="78">
        <v>12.284931506849315</v>
      </c>
      <c r="C24" s="79" t="s">
        <v>41</v>
      </c>
      <c r="D24" s="80">
        <v>203.41470113</v>
      </c>
      <c r="E24" s="13">
        <v>-2.1933962264150897</v>
      </c>
      <c r="F24" s="111">
        <v>1.4901618196465183</v>
      </c>
      <c r="G24" s="111">
        <v>5.0795652255461121</v>
      </c>
      <c r="H24" s="112">
        <v>2.2084087738662994</v>
      </c>
      <c r="I24" s="13">
        <v>2.6293655087029189</v>
      </c>
      <c r="J24" s="28">
        <v>6.3101276756253988</v>
      </c>
      <c r="K24" s="11">
        <v>6.6418829460131947</v>
      </c>
      <c r="L24" s="23">
        <v>9.8105493994258239</v>
      </c>
    </row>
    <row r="25" spans="1:12" ht="14.4" thickBot="1" x14ac:dyDescent="0.3">
      <c r="A25" s="70" t="s">
        <v>38</v>
      </c>
      <c r="B25" s="71"/>
      <c r="C25" s="71"/>
      <c r="D25" s="72"/>
      <c r="E25" s="18">
        <v>-1.91143139014222</v>
      </c>
      <c r="F25" s="16">
        <v>0.91658365794229857</v>
      </c>
      <c r="G25" s="16">
        <v>4.2739547428380611</v>
      </c>
      <c r="H25" s="17">
        <v>3.5493809396085325</v>
      </c>
      <c r="I25" s="26">
        <v>2.0773909925611616</v>
      </c>
      <c r="J25" s="17">
        <v>5.0338163143565486</v>
      </c>
      <c r="K25" s="26"/>
      <c r="L25" s="17"/>
    </row>
    <row r="26" spans="1:12" ht="19.2" customHeight="1" thickBot="1" x14ac:dyDescent="0.3">
      <c r="A26" s="94" t="s">
        <v>14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6"/>
    </row>
    <row r="27" spans="1:12" ht="13.8" x14ac:dyDescent="0.25">
      <c r="A27" s="81" t="s">
        <v>65</v>
      </c>
      <c r="B27" s="82">
        <v>0.81643835616438354</v>
      </c>
      <c r="C27" s="83" t="s">
        <v>44</v>
      </c>
      <c r="D27" s="84">
        <v>0.86634766050000001</v>
      </c>
      <c r="E27" s="85">
        <v>-3.4067185424179192</v>
      </c>
      <c r="F27" s="10" t="s">
        <v>42</v>
      </c>
      <c r="G27" s="10" t="s">
        <v>42</v>
      </c>
      <c r="H27" s="22" t="s">
        <v>42</v>
      </c>
      <c r="I27" s="9" t="s">
        <v>42</v>
      </c>
      <c r="J27" s="22" t="s">
        <v>42</v>
      </c>
      <c r="K27" s="9" t="s">
        <v>42</v>
      </c>
      <c r="L27" s="86" t="s">
        <v>42</v>
      </c>
    </row>
    <row r="28" spans="1:12" ht="13.8" x14ac:dyDescent="0.25">
      <c r="A28" s="87" t="s">
        <v>28</v>
      </c>
      <c r="B28" s="52">
        <v>10.421917808219177</v>
      </c>
      <c r="C28" s="75" t="s">
        <v>44</v>
      </c>
      <c r="D28" s="88">
        <v>180.07960781040001</v>
      </c>
      <c r="E28" s="11">
        <v>-2.7968675083906103</v>
      </c>
      <c r="F28" s="12">
        <v>3.6110249693005247</v>
      </c>
      <c r="G28" s="12">
        <v>8.5258035501673</v>
      </c>
      <c r="H28" s="23">
        <v>8.0082077840917023</v>
      </c>
      <c r="I28" s="11">
        <v>4.1990593329116477</v>
      </c>
      <c r="J28" s="23">
        <v>8.6965683230270088</v>
      </c>
      <c r="K28" s="11">
        <v>10.057592131793173</v>
      </c>
      <c r="L28" s="23" t="s">
        <v>42</v>
      </c>
    </row>
    <row r="29" spans="1:12" ht="13.8" x14ac:dyDescent="0.25">
      <c r="A29" s="87" t="s">
        <v>2</v>
      </c>
      <c r="B29" s="52">
        <v>12.016438356164384</v>
      </c>
      <c r="C29" s="75" t="s">
        <v>45</v>
      </c>
      <c r="D29" s="88">
        <v>145.23703025</v>
      </c>
      <c r="E29" s="11">
        <v>-3.3528722157092572</v>
      </c>
      <c r="F29" s="12">
        <v>1.6630714372483979</v>
      </c>
      <c r="G29" s="12">
        <v>5.7010721427413369</v>
      </c>
      <c r="H29" s="23">
        <v>2.2027287963653608</v>
      </c>
      <c r="I29" s="11">
        <v>2.6273856361853865</v>
      </c>
      <c r="J29" s="23">
        <v>6.0600074053306141</v>
      </c>
      <c r="K29" s="11">
        <v>9.443934179847103</v>
      </c>
      <c r="L29" s="23">
        <v>13.876875247689055</v>
      </c>
    </row>
    <row r="30" spans="1:12" ht="14.4" thickBot="1" x14ac:dyDescent="0.3">
      <c r="A30" s="89" t="s">
        <v>12</v>
      </c>
      <c r="B30" s="78">
        <v>6.9068493150684933</v>
      </c>
      <c r="C30" s="79" t="s">
        <v>44</v>
      </c>
      <c r="D30" s="90">
        <v>157.16256961000002</v>
      </c>
      <c r="E30" s="14">
        <v>-3.2380527020991368</v>
      </c>
      <c r="F30" s="15">
        <v>1.8595165953989801</v>
      </c>
      <c r="G30" s="15">
        <v>6.2563491097417989</v>
      </c>
      <c r="H30" s="24" t="s">
        <v>42</v>
      </c>
      <c r="I30" s="14">
        <v>3.2276720541111859</v>
      </c>
      <c r="J30" s="24">
        <v>7.6091398848024516</v>
      </c>
      <c r="K30" s="14">
        <v>9.3622569433923122</v>
      </c>
      <c r="L30" s="24" t="s">
        <v>42</v>
      </c>
    </row>
    <row r="31" spans="1:12" ht="14.4" thickBot="1" x14ac:dyDescent="0.3">
      <c r="A31" s="70" t="s">
        <v>38</v>
      </c>
      <c r="B31" s="71"/>
      <c r="C31" s="71"/>
      <c r="D31" s="72"/>
      <c r="E31" s="25">
        <v>-3.0664537588715515</v>
      </c>
      <c r="F31" s="20">
        <v>2.4541118134130544</v>
      </c>
      <c r="G31" s="20">
        <v>6.9362451191592962</v>
      </c>
      <c r="H31" s="40">
        <v>5.4163620906673078</v>
      </c>
      <c r="I31" s="25">
        <v>3.4095311314859482</v>
      </c>
      <c r="J31" s="21">
        <v>7.5486860587281894</v>
      </c>
      <c r="K31" s="27"/>
      <c r="L31" s="21"/>
    </row>
    <row r="32" spans="1:12" ht="21" customHeight="1" thickBot="1" x14ac:dyDescent="0.3">
      <c r="A32" s="94" t="s">
        <v>88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ht="13.8" x14ac:dyDescent="0.25">
      <c r="A33" s="87" t="s">
        <v>90</v>
      </c>
      <c r="B33" s="52">
        <v>7.9452054794520555E-2</v>
      </c>
      <c r="C33" s="79" t="s">
        <v>41</v>
      </c>
      <c r="D33" s="88">
        <v>1.3439783200000002</v>
      </c>
      <c r="E33" s="11">
        <v>0.60000000000000053</v>
      </c>
      <c r="F33" s="12" t="s">
        <v>42</v>
      </c>
      <c r="G33" s="12" t="s">
        <v>42</v>
      </c>
      <c r="H33" s="35" t="s">
        <v>42</v>
      </c>
      <c r="I33" s="11" t="s">
        <v>42</v>
      </c>
      <c r="J33" s="35" t="s">
        <v>42</v>
      </c>
      <c r="K33" s="11" t="s">
        <v>42</v>
      </c>
      <c r="L33" s="23" t="s">
        <v>42</v>
      </c>
    </row>
    <row r="34" spans="1:12" ht="13.8" x14ac:dyDescent="0.25">
      <c r="A34" s="87" t="s">
        <v>94</v>
      </c>
      <c r="B34" s="52">
        <v>7.9452054794520555E-2</v>
      </c>
      <c r="C34" s="79" t="s">
        <v>44</v>
      </c>
      <c r="D34" s="88">
        <v>2.1210618599999997</v>
      </c>
      <c r="E34" s="11">
        <v>0.62999999999999723</v>
      </c>
      <c r="F34" s="12" t="s">
        <v>42</v>
      </c>
      <c r="G34" s="12" t="s">
        <v>42</v>
      </c>
      <c r="H34" s="35" t="s">
        <v>42</v>
      </c>
      <c r="I34" s="11" t="s">
        <v>42</v>
      </c>
      <c r="J34" s="35" t="s">
        <v>42</v>
      </c>
      <c r="K34" s="11" t="s">
        <v>42</v>
      </c>
      <c r="L34" s="23" t="s">
        <v>42</v>
      </c>
    </row>
    <row r="35" spans="1:12" ht="13.8" x14ac:dyDescent="0.25">
      <c r="A35" s="87" t="s">
        <v>93</v>
      </c>
      <c r="B35" s="52">
        <v>7.9452054794520555E-2</v>
      </c>
      <c r="C35" s="79" t="s">
        <v>44</v>
      </c>
      <c r="D35" s="88">
        <v>1.7559276499999998</v>
      </c>
      <c r="E35" s="11">
        <v>0.34000000000000696</v>
      </c>
      <c r="F35" s="12" t="s">
        <v>42</v>
      </c>
      <c r="G35" s="12" t="s">
        <v>42</v>
      </c>
      <c r="H35" s="35" t="s">
        <v>42</v>
      </c>
      <c r="I35" s="11" t="s">
        <v>42</v>
      </c>
      <c r="J35" s="35" t="s">
        <v>42</v>
      </c>
      <c r="K35" s="11" t="s">
        <v>42</v>
      </c>
      <c r="L35" s="23" t="s">
        <v>42</v>
      </c>
    </row>
    <row r="36" spans="1:12" ht="13.8" x14ac:dyDescent="0.25">
      <c r="A36" s="87" t="s">
        <v>92</v>
      </c>
      <c r="B36" s="52">
        <v>7.9452054794520555E-2</v>
      </c>
      <c r="C36" s="79" t="s">
        <v>44</v>
      </c>
      <c r="D36" s="88">
        <v>1.2064033200000002</v>
      </c>
      <c r="E36" s="11">
        <v>0.69999999999998952</v>
      </c>
      <c r="F36" s="12" t="s">
        <v>42</v>
      </c>
      <c r="G36" s="12" t="s">
        <v>42</v>
      </c>
      <c r="H36" s="35" t="s">
        <v>42</v>
      </c>
      <c r="I36" s="11" t="s">
        <v>42</v>
      </c>
      <c r="J36" s="35" t="s">
        <v>42</v>
      </c>
      <c r="K36" s="11" t="s">
        <v>42</v>
      </c>
      <c r="L36" s="23" t="s">
        <v>42</v>
      </c>
    </row>
    <row r="37" spans="1:12" ht="13.8" x14ac:dyDescent="0.25">
      <c r="A37" s="87" t="s">
        <v>91</v>
      </c>
      <c r="B37" s="52">
        <v>7.9452054794520555E-2</v>
      </c>
      <c r="C37" s="79" t="s">
        <v>44</v>
      </c>
      <c r="D37" s="88">
        <v>0.42919672999999997</v>
      </c>
      <c r="E37" s="11">
        <v>0.69999999999998952</v>
      </c>
      <c r="F37" s="12" t="s">
        <v>42</v>
      </c>
      <c r="G37" s="12" t="s">
        <v>42</v>
      </c>
      <c r="H37" s="35" t="s">
        <v>42</v>
      </c>
      <c r="I37" s="11" t="s">
        <v>42</v>
      </c>
      <c r="J37" s="35" t="s">
        <v>42</v>
      </c>
      <c r="K37" s="11" t="s">
        <v>42</v>
      </c>
      <c r="L37" s="23" t="s">
        <v>42</v>
      </c>
    </row>
    <row r="38" spans="1:12" ht="14.4" thickBot="1" x14ac:dyDescent="0.3">
      <c r="A38" s="87" t="s">
        <v>89</v>
      </c>
      <c r="B38" s="52">
        <v>7.9452054794520555E-2</v>
      </c>
      <c r="C38" s="79" t="s">
        <v>44</v>
      </c>
      <c r="D38" s="88">
        <v>6.9861770000000004E-2</v>
      </c>
      <c r="E38" s="13">
        <v>1.6999999999999904</v>
      </c>
      <c r="F38" s="111" t="s">
        <v>42</v>
      </c>
      <c r="G38" s="111" t="s">
        <v>42</v>
      </c>
      <c r="H38" s="112" t="s">
        <v>42</v>
      </c>
      <c r="I38" s="13" t="s">
        <v>42</v>
      </c>
      <c r="J38" s="112" t="s">
        <v>42</v>
      </c>
      <c r="K38" s="13" t="s">
        <v>42</v>
      </c>
      <c r="L38" s="28" t="s">
        <v>42</v>
      </c>
    </row>
    <row r="39" spans="1:12" ht="14.4" thickBot="1" x14ac:dyDescent="0.3">
      <c r="A39" s="70" t="s">
        <v>38</v>
      </c>
      <c r="B39" s="71"/>
      <c r="C39" s="71"/>
      <c r="D39" s="72"/>
      <c r="E39" s="18">
        <f>+SUMPRODUCT(D33:D38,E33:E38)/SUM(D33:D38)</f>
        <v>0.57798268532186559</v>
      </c>
      <c r="F39" s="16"/>
      <c r="G39" s="16"/>
      <c r="H39" s="41"/>
      <c r="I39" s="18"/>
      <c r="J39" s="17"/>
      <c r="K39" s="26"/>
      <c r="L39" s="17"/>
    </row>
    <row r="40" spans="1:12" ht="14.4" thickBot="1" x14ac:dyDescent="0.3">
      <c r="A40" s="97" t="s">
        <v>19</v>
      </c>
      <c r="B40" s="98"/>
      <c r="C40" s="50"/>
      <c r="D40" s="19">
        <v>2939.6081661931003</v>
      </c>
      <c r="E40" s="18">
        <v>-1.8033523078544067</v>
      </c>
      <c r="F40" s="16">
        <v>0.96515005820099076</v>
      </c>
      <c r="G40" s="16">
        <v>4.2127608601685083</v>
      </c>
      <c r="H40" s="41">
        <v>3.62</v>
      </c>
      <c r="I40" s="18">
        <v>1.9405080358245206</v>
      </c>
      <c r="J40" s="17">
        <v>4.7710125267519015</v>
      </c>
      <c r="K40" s="26"/>
      <c r="L40" s="17"/>
    </row>
    <row r="41" spans="1:12" ht="13.8" x14ac:dyDescent="0.25">
      <c r="A41" s="29"/>
      <c r="B41" s="29"/>
      <c r="C41" s="29"/>
      <c r="D41" s="30"/>
      <c r="E41" s="29"/>
      <c r="F41" s="29"/>
      <c r="G41" s="29"/>
      <c r="H41" s="29"/>
      <c r="I41" s="29"/>
      <c r="J41" s="29"/>
      <c r="K41" s="29"/>
      <c r="L41" s="29"/>
    </row>
    <row r="42" spans="1:12" x14ac:dyDescent="0.25">
      <c r="A42" s="99" t="s">
        <v>79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</row>
    <row r="43" spans="1:12" x14ac:dyDescent="0.25">
      <c r="A43" s="100" t="s">
        <v>81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</row>
    <row r="44" spans="1:12" x14ac:dyDescent="0.25">
      <c r="A44" s="93" t="s">
        <v>46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</row>
    <row r="45" spans="1:12" x14ac:dyDescent="0.25">
      <c r="A45" s="93" t="s">
        <v>18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</row>
    <row r="46" spans="1:12" x14ac:dyDescent="0.25">
      <c r="A46" s="93" t="s">
        <v>80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</row>
    <row r="47" spans="1:12" x14ac:dyDescent="0.25">
      <c r="A47" s="93" t="s">
        <v>70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</row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mergeCells count="19">
    <mergeCell ref="A18:L18"/>
    <mergeCell ref="A2:A3"/>
    <mergeCell ref="B2:B3"/>
    <mergeCell ref="C2:C3"/>
    <mergeCell ref="D2:D3"/>
    <mergeCell ref="E2:H2"/>
    <mergeCell ref="I2:J2"/>
    <mergeCell ref="K2:L2"/>
    <mergeCell ref="A4:L4"/>
    <mergeCell ref="A12:L12"/>
    <mergeCell ref="A46:L46"/>
    <mergeCell ref="A47:L47"/>
    <mergeCell ref="A26:L26"/>
    <mergeCell ref="A40:B40"/>
    <mergeCell ref="A42:L42"/>
    <mergeCell ref="A43:L43"/>
    <mergeCell ref="A44:L44"/>
    <mergeCell ref="A45:L45"/>
    <mergeCell ref="A32:L32"/>
  </mergeCells>
  <conditionalFormatting sqref="I33 E33 K33 I36 E36 K36 E37:L38 E34:L35">
    <cfRule type="cellIs" dxfId="37" priority="27" operator="greaterThanOrEqual">
      <formula>0</formula>
    </cfRule>
    <cfRule type="cellIs" dxfId="36" priority="28" operator="lessThan">
      <formula>0</formula>
    </cfRule>
  </conditionalFormatting>
  <conditionalFormatting sqref="E13:J17 E5:J11 E40:J40 E19:J25 E28:J31">
    <cfRule type="cellIs" dxfId="35" priority="105" operator="greaterThanOrEqual">
      <formula>0</formula>
    </cfRule>
    <cfRule type="cellIs" dxfId="34" priority="106" operator="lessThan">
      <formula>0</formula>
    </cfRule>
  </conditionalFormatting>
  <conditionalFormatting sqref="E27">
    <cfRule type="cellIs" dxfId="33" priority="103" operator="greaterThanOrEqual">
      <formula>0</formula>
    </cfRule>
    <cfRule type="cellIs" dxfId="32" priority="104" operator="lessThan">
      <formula>0</formula>
    </cfRule>
  </conditionalFormatting>
  <conditionalFormatting sqref="F27">
    <cfRule type="cellIs" dxfId="31" priority="101" operator="greaterThanOrEqual">
      <formula>0</formula>
    </cfRule>
    <cfRule type="cellIs" dxfId="30" priority="102" operator="lessThan">
      <formula>0</formula>
    </cfRule>
  </conditionalFormatting>
  <conditionalFormatting sqref="G27">
    <cfRule type="cellIs" dxfId="29" priority="99" operator="greaterThanOrEqual">
      <formula>0</formula>
    </cfRule>
    <cfRule type="cellIs" dxfId="28" priority="100" operator="lessThan">
      <formula>0</formula>
    </cfRule>
  </conditionalFormatting>
  <conditionalFormatting sqref="H27">
    <cfRule type="cellIs" dxfId="27" priority="97" operator="greaterThanOrEqual">
      <formula>0</formula>
    </cfRule>
    <cfRule type="cellIs" dxfId="26" priority="98" operator="lessThan">
      <formula>0</formula>
    </cfRule>
  </conditionalFormatting>
  <conditionalFormatting sqref="I27">
    <cfRule type="cellIs" dxfId="25" priority="95" operator="greaterThanOrEqual">
      <formula>0</formula>
    </cfRule>
    <cfRule type="cellIs" dxfId="24" priority="96" operator="lessThan">
      <formula>0</formula>
    </cfRule>
  </conditionalFormatting>
  <conditionalFormatting sqref="J27">
    <cfRule type="cellIs" dxfId="23" priority="93" operator="greaterThanOrEqual">
      <formula>0</formula>
    </cfRule>
    <cfRule type="cellIs" dxfId="22" priority="94" operator="lessThan">
      <formula>0</formula>
    </cfRule>
  </conditionalFormatting>
  <conditionalFormatting sqref="F33">
    <cfRule type="cellIs" dxfId="21" priority="23" operator="greaterThanOrEqual">
      <formula>0</formula>
    </cfRule>
    <cfRule type="cellIs" dxfId="20" priority="24" operator="lessThan">
      <formula>0</formula>
    </cfRule>
  </conditionalFormatting>
  <conditionalFormatting sqref="G33">
    <cfRule type="cellIs" dxfId="19" priority="21" operator="greaterThanOrEqual">
      <formula>0</formula>
    </cfRule>
    <cfRule type="cellIs" dxfId="18" priority="22" operator="lessThan">
      <formula>0</formula>
    </cfRule>
  </conditionalFormatting>
  <conditionalFormatting sqref="H33">
    <cfRule type="cellIs" dxfId="17" priority="19" operator="greaterThanOrEqual">
      <formula>0</formula>
    </cfRule>
    <cfRule type="cellIs" dxfId="16" priority="20" operator="lessThan">
      <formula>0</formula>
    </cfRule>
  </conditionalFormatting>
  <conditionalFormatting sqref="F36">
    <cfRule type="cellIs" dxfId="15" priority="17" operator="greaterThanOrEqual">
      <formula>0</formula>
    </cfRule>
    <cfRule type="cellIs" dxfId="14" priority="18" operator="lessThan">
      <formula>0</formula>
    </cfRule>
  </conditionalFormatting>
  <conditionalFormatting sqref="G36">
    <cfRule type="cellIs" dxfId="13" priority="15" operator="greaterThanOrEqual">
      <formula>0</formula>
    </cfRule>
    <cfRule type="cellIs" dxfId="12" priority="16" operator="lessThan">
      <formula>0</formula>
    </cfRule>
  </conditionalFormatting>
  <conditionalFormatting sqref="H36">
    <cfRule type="cellIs" dxfId="11" priority="13" operator="greaterThanOrEqual">
      <formula>0</formula>
    </cfRule>
    <cfRule type="cellIs" dxfId="10" priority="14" operator="lessThan">
      <formula>0</formula>
    </cfRule>
  </conditionalFormatting>
  <conditionalFormatting sqref="J33">
    <cfRule type="cellIs" dxfId="9" priority="11" operator="greaterThanOrEqual">
      <formula>0</formula>
    </cfRule>
    <cfRule type="cellIs" dxfId="8" priority="12" operator="lessThan">
      <formula>0</formula>
    </cfRule>
  </conditionalFormatting>
  <conditionalFormatting sqref="J36">
    <cfRule type="cellIs" dxfId="7" priority="9" operator="greaterThanOrEqual">
      <formula>0</formula>
    </cfRule>
    <cfRule type="cellIs" dxfId="6" priority="10" operator="lessThan">
      <formula>0</formula>
    </cfRule>
  </conditionalFormatting>
  <conditionalFormatting sqref="L33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L36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E39:J39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5"/>
  <sheetViews>
    <sheetView topLeftCell="A25" workbookViewId="0">
      <selection activeCell="D28" sqref="D28"/>
    </sheetView>
  </sheetViews>
  <sheetFormatPr defaultRowHeight="13.2" x14ac:dyDescent="0.25"/>
  <cols>
    <col min="1" max="1" width="71.5546875" bestFit="1" customWidth="1"/>
    <col min="2" max="2" width="21.44140625" bestFit="1" customWidth="1"/>
    <col min="3" max="3" width="10.33203125" bestFit="1" customWidth="1"/>
    <col min="4" max="4" width="14" bestFit="1" customWidth="1"/>
    <col min="5" max="5" width="9.109375" bestFit="1" customWidth="1"/>
  </cols>
  <sheetData>
    <row r="2" spans="1:2" ht="15.6" x14ac:dyDescent="0.25">
      <c r="A2" s="54" t="s">
        <v>21</v>
      </c>
      <c r="B2" s="54" t="s">
        <v>31</v>
      </c>
    </row>
    <row r="3" spans="1:2" ht="13.8" x14ac:dyDescent="0.25">
      <c r="A3" s="55" t="s">
        <v>1</v>
      </c>
      <c r="B3" s="63">
        <v>186147</v>
      </c>
    </row>
    <row r="4" spans="1:2" ht="13.8" x14ac:dyDescent="0.25">
      <c r="A4" s="55" t="s">
        <v>47</v>
      </c>
      <c r="B4" s="63">
        <v>169942</v>
      </c>
    </row>
    <row r="5" spans="1:2" ht="13.8" x14ac:dyDescent="0.25">
      <c r="A5" s="55" t="s">
        <v>48</v>
      </c>
      <c r="B5" s="63">
        <v>138484</v>
      </c>
    </row>
    <row r="6" spans="1:2" ht="13.8" x14ac:dyDescent="0.25">
      <c r="A6" s="55" t="s">
        <v>49</v>
      </c>
      <c r="B6" s="63">
        <v>114711</v>
      </c>
    </row>
    <row r="7" spans="1:2" ht="13.8" x14ac:dyDescent="0.25">
      <c r="A7" s="55" t="s">
        <v>50</v>
      </c>
      <c r="B7" s="63">
        <v>101639</v>
      </c>
    </row>
    <row r="8" spans="1:2" ht="13.8" x14ac:dyDescent="0.25">
      <c r="A8" s="55" t="s">
        <v>51</v>
      </c>
      <c r="B8" s="63">
        <v>105427</v>
      </c>
    </row>
    <row r="9" spans="1:2" ht="13.8" x14ac:dyDescent="0.25">
      <c r="A9" s="55" t="s">
        <v>67</v>
      </c>
      <c r="B9" s="63">
        <v>73919</v>
      </c>
    </row>
    <row r="10" spans="1:2" ht="13.8" x14ac:dyDescent="0.25">
      <c r="A10" s="55" t="s">
        <v>2</v>
      </c>
      <c r="B10" s="63">
        <v>72460</v>
      </c>
    </row>
    <row r="11" spans="1:2" ht="13.8" x14ac:dyDescent="0.25">
      <c r="A11" s="55" t="s">
        <v>52</v>
      </c>
      <c r="B11" s="63">
        <v>77645</v>
      </c>
    </row>
    <row r="12" spans="1:2" ht="13.8" x14ac:dyDescent="0.25">
      <c r="A12" s="55" t="s">
        <v>53</v>
      </c>
      <c r="B12" s="63">
        <v>65209</v>
      </c>
    </row>
    <row r="13" spans="1:2" ht="13.8" x14ac:dyDescent="0.25">
      <c r="A13" s="55" t="s">
        <v>68</v>
      </c>
      <c r="B13" s="63">
        <v>45908</v>
      </c>
    </row>
    <row r="14" spans="1:2" ht="13.8" x14ac:dyDescent="0.25">
      <c r="A14" s="55" t="s">
        <v>30</v>
      </c>
      <c r="B14" s="63">
        <v>39190</v>
      </c>
    </row>
    <row r="15" spans="1:2" ht="13.8" x14ac:dyDescent="0.25">
      <c r="A15" s="55" t="s">
        <v>4</v>
      </c>
      <c r="B15" s="63">
        <v>32465</v>
      </c>
    </row>
    <row r="16" spans="1:2" ht="13.8" x14ac:dyDescent="0.25">
      <c r="A16" s="55" t="s">
        <v>54</v>
      </c>
      <c r="B16" s="63">
        <v>22619</v>
      </c>
    </row>
    <row r="17" spans="1:5" ht="13.8" x14ac:dyDescent="0.25">
      <c r="A17" s="55" t="s">
        <v>55</v>
      </c>
      <c r="B17" s="63">
        <v>19726</v>
      </c>
    </row>
    <row r="18" spans="1:5" ht="13.8" x14ac:dyDescent="0.25">
      <c r="A18" s="55" t="s">
        <v>69</v>
      </c>
      <c r="B18" s="63">
        <v>13295</v>
      </c>
    </row>
    <row r="19" spans="1:5" ht="13.8" x14ac:dyDescent="0.25">
      <c r="A19" s="55" t="s">
        <v>56</v>
      </c>
      <c r="B19" s="63">
        <v>5800</v>
      </c>
    </row>
    <row r="20" spans="1:5" ht="13.8" x14ac:dyDescent="0.25">
      <c r="A20" s="55" t="s">
        <v>26</v>
      </c>
      <c r="B20" s="63">
        <v>4359</v>
      </c>
    </row>
    <row r="21" spans="1:5" ht="13.8" x14ac:dyDescent="0.25">
      <c r="A21" s="55" t="s">
        <v>57</v>
      </c>
      <c r="B21" s="63">
        <v>1530</v>
      </c>
    </row>
    <row r="22" spans="1:5" ht="13.8" x14ac:dyDescent="0.25">
      <c r="A22" s="55" t="s">
        <v>65</v>
      </c>
      <c r="B22" s="63">
        <v>725</v>
      </c>
    </row>
    <row r="23" spans="1:5" ht="13.8" x14ac:dyDescent="0.25">
      <c r="A23" s="55" t="s">
        <v>83</v>
      </c>
      <c r="B23" s="63">
        <v>735</v>
      </c>
    </row>
    <row r="24" spans="1:5" ht="13.8" x14ac:dyDescent="0.25">
      <c r="A24" s="55" t="s">
        <v>86</v>
      </c>
      <c r="B24" s="63">
        <v>717</v>
      </c>
    </row>
    <row r="25" spans="1:5" ht="13.8" x14ac:dyDescent="0.25">
      <c r="A25" s="55" t="s">
        <v>84</v>
      </c>
      <c r="B25" s="63">
        <v>682</v>
      </c>
    </row>
    <row r="26" spans="1:5" ht="13.8" x14ac:dyDescent="0.25">
      <c r="A26" s="55" t="s">
        <v>85</v>
      </c>
      <c r="B26" s="63">
        <v>622</v>
      </c>
      <c r="E26" s="68"/>
    </row>
    <row r="27" spans="1:5" ht="13.8" x14ac:dyDescent="0.25">
      <c r="A27" s="55" t="s">
        <v>87</v>
      </c>
      <c r="B27" s="63">
        <v>508</v>
      </c>
      <c r="D27" s="68"/>
    </row>
    <row r="28" spans="1:5" ht="13.8" x14ac:dyDescent="0.25">
      <c r="A28" s="55" t="s">
        <v>82</v>
      </c>
      <c r="B28" s="63">
        <v>402</v>
      </c>
      <c r="D28" s="68"/>
      <c r="E28" s="68"/>
    </row>
    <row r="29" spans="1:5" ht="12.75" customHeight="1" x14ac:dyDescent="0.25">
      <c r="A29" s="56" t="s">
        <v>22</v>
      </c>
      <c r="B29" s="64">
        <f>+SUM(B3:B28)</f>
        <v>1294866</v>
      </c>
      <c r="D29" s="68"/>
    </row>
    <row r="30" spans="1:5" x14ac:dyDescent="0.25">
      <c r="D30" s="68"/>
    </row>
    <row r="31" spans="1:5" x14ac:dyDescent="0.25">
      <c r="D31" s="68"/>
    </row>
    <row r="32" spans="1:5" ht="15.6" x14ac:dyDescent="0.25">
      <c r="A32" s="54" t="s">
        <v>23</v>
      </c>
      <c r="B32" s="54" t="s">
        <v>31</v>
      </c>
    </row>
    <row r="33" spans="1:3" ht="13.8" x14ac:dyDescent="0.25">
      <c r="A33" s="55" t="s">
        <v>58</v>
      </c>
      <c r="B33" s="65">
        <v>516641</v>
      </c>
    </row>
    <row r="34" spans="1:3" ht="13.8" x14ac:dyDescent="0.25">
      <c r="A34" s="55" t="s">
        <v>59</v>
      </c>
      <c r="B34" s="65">
        <v>291072</v>
      </c>
    </row>
    <row r="35" spans="1:3" ht="13.8" x14ac:dyDescent="0.25">
      <c r="A35" s="55" t="s">
        <v>60</v>
      </c>
      <c r="B35" s="65">
        <v>226312</v>
      </c>
    </row>
    <row r="36" spans="1:3" ht="13.8" x14ac:dyDescent="0.25">
      <c r="A36" s="55" t="s">
        <v>66</v>
      </c>
      <c r="B36" s="65">
        <v>133847</v>
      </c>
      <c r="C36" s="62"/>
    </row>
    <row r="37" spans="1:3" ht="13.8" x14ac:dyDescent="0.25">
      <c r="A37" s="55" t="s">
        <v>61</v>
      </c>
      <c r="B37" s="65">
        <v>126994</v>
      </c>
      <c r="C37" s="62"/>
    </row>
    <row r="38" spans="1:3" x14ac:dyDescent="0.25">
      <c r="C38" s="62"/>
    </row>
    <row r="39" spans="1:3" ht="13.8" x14ac:dyDescent="0.25">
      <c r="A39" s="57"/>
      <c r="C39" s="62"/>
    </row>
    <row r="40" spans="1:3" x14ac:dyDescent="0.25">
      <c r="C40" s="62"/>
    </row>
    <row r="41" spans="1:3" ht="15.6" x14ac:dyDescent="0.25">
      <c r="A41" s="54" t="s">
        <v>21</v>
      </c>
      <c r="B41" s="54" t="s">
        <v>24</v>
      </c>
      <c r="C41" s="62"/>
    </row>
    <row r="42" spans="1:3" ht="13.8" x14ac:dyDescent="0.25">
      <c r="A42" s="55" t="s">
        <v>1</v>
      </c>
      <c r="B42" s="66">
        <v>529673745.22000003</v>
      </c>
      <c r="C42" s="62"/>
    </row>
    <row r="43" spans="1:3" ht="13.8" x14ac:dyDescent="0.25">
      <c r="A43" s="55" t="s">
        <v>47</v>
      </c>
      <c r="B43" s="66">
        <v>401572741.83999997</v>
      </c>
      <c r="C43" s="62"/>
    </row>
    <row r="44" spans="1:3" ht="13.8" x14ac:dyDescent="0.25">
      <c r="A44" s="55" t="s">
        <v>48</v>
      </c>
      <c r="B44" s="66">
        <v>302606448.97000003</v>
      </c>
      <c r="C44" s="62"/>
    </row>
    <row r="45" spans="1:3" ht="13.8" x14ac:dyDescent="0.25">
      <c r="A45" s="55" t="s">
        <v>50</v>
      </c>
      <c r="B45" s="66">
        <v>268581252.87</v>
      </c>
      <c r="C45" s="62"/>
    </row>
    <row r="46" spans="1:3" ht="13.8" x14ac:dyDescent="0.25">
      <c r="A46" s="55" t="s">
        <v>49</v>
      </c>
      <c r="B46" s="66">
        <v>203414701.13</v>
      </c>
      <c r="C46" s="62"/>
    </row>
    <row r="47" spans="1:3" ht="13.8" x14ac:dyDescent="0.25">
      <c r="A47" s="55" t="s">
        <v>52</v>
      </c>
      <c r="B47" s="66">
        <v>180079607.81040001</v>
      </c>
      <c r="C47" s="62"/>
    </row>
    <row r="48" spans="1:3" ht="13.8" x14ac:dyDescent="0.25">
      <c r="A48" s="55" t="s">
        <v>64</v>
      </c>
      <c r="B48" s="66">
        <v>162196182.14489999</v>
      </c>
      <c r="C48" s="62"/>
    </row>
    <row r="49" spans="1:3" ht="13.8" x14ac:dyDescent="0.25">
      <c r="A49" s="55" t="s">
        <v>51</v>
      </c>
      <c r="B49" s="66">
        <v>157162569.61000001</v>
      </c>
      <c r="C49" s="62"/>
    </row>
    <row r="50" spans="1:3" ht="13.8" x14ac:dyDescent="0.25">
      <c r="A50" s="55" t="s">
        <v>2</v>
      </c>
      <c r="B50" s="66">
        <v>145237030.25</v>
      </c>
      <c r="C50" s="62"/>
    </row>
    <row r="51" spans="1:3" ht="13.8" x14ac:dyDescent="0.25">
      <c r="A51" s="55" t="s">
        <v>63</v>
      </c>
      <c r="B51" s="66">
        <v>114201557.6409</v>
      </c>
      <c r="C51" s="62"/>
    </row>
    <row r="52" spans="1:3" ht="13.8" x14ac:dyDescent="0.25">
      <c r="A52" s="55" t="s">
        <v>30</v>
      </c>
      <c r="B52" s="66">
        <v>110085996.4799</v>
      </c>
      <c r="C52" s="62"/>
    </row>
    <row r="53" spans="1:3" ht="13.8" x14ac:dyDescent="0.25">
      <c r="A53" s="55" t="s">
        <v>53</v>
      </c>
      <c r="B53" s="66">
        <v>98441821.560000002</v>
      </c>
      <c r="C53" s="62"/>
    </row>
    <row r="54" spans="1:3" ht="13.8" x14ac:dyDescent="0.25">
      <c r="A54" s="55" t="s">
        <v>4</v>
      </c>
      <c r="B54" s="66">
        <v>86566373.849999994</v>
      </c>
      <c r="C54" s="62"/>
    </row>
    <row r="55" spans="1:3" ht="13.8" x14ac:dyDescent="0.25">
      <c r="A55" s="55" t="s">
        <v>54</v>
      </c>
      <c r="B55" s="66">
        <v>57504564.920000002</v>
      </c>
      <c r="C55" s="62"/>
    </row>
    <row r="56" spans="1:3" ht="13.8" x14ac:dyDescent="0.25">
      <c r="A56" s="55" t="s">
        <v>55</v>
      </c>
      <c r="B56" s="66">
        <v>42733879.450000003</v>
      </c>
      <c r="C56" s="62"/>
    </row>
    <row r="57" spans="1:3" ht="13.8" x14ac:dyDescent="0.25">
      <c r="A57" s="55" t="s">
        <v>62</v>
      </c>
      <c r="B57" s="66">
        <v>31842446.887899999</v>
      </c>
      <c r="C57" s="62"/>
    </row>
    <row r="58" spans="1:3" ht="13.8" x14ac:dyDescent="0.25">
      <c r="A58" s="55" t="s">
        <v>26</v>
      </c>
      <c r="B58" s="66">
        <v>18253341.221000001</v>
      </c>
      <c r="C58" s="62"/>
    </row>
    <row r="59" spans="1:3" ht="13.8" x14ac:dyDescent="0.25">
      <c r="A59" s="55" t="s">
        <v>56</v>
      </c>
      <c r="B59" s="66">
        <v>15521307.627599999</v>
      </c>
      <c r="C59" s="62"/>
    </row>
    <row r="60" spans="1:3" ht="13.8" x14ac:dyDescent="0.25">
      <c r="A60" s="55" t="s">
        <v>57</v>
      </c>
      <c r="B60" s="66">
        <v>6139819.4000000004</v>
      </c>
      <c r="C60" s="62"/>
    </row>
    <row r="61" spans="1:3" ht="13.8" x14ac:dyDescent="0.25">
      <c r="A61" s="55" t="s">
        <v>86</v>
      </c>
      <c r="B61" s="66">
        <v>2121061.86</v>
      </c>
      <c r="C61" s="62"/>
    </row>
    <row r="62" spans="1:3" ht="13.8" x14ac:dyDescent="0.25">
      <c r="A62" s="55" t="s">
        <v>85</v>
      </c>
      <c r="B62" s="66">
        <v>1755927.65</v>
      </c>
      <c r="C62" s="62"/>
    </row>
    <row r="63" spans="1:3" ht="13.8" x14ac:dyDescent="0.25">
      <c r="A63" s="55" t="s">
        <v>87</v>
      </c>
      <c r="B63" s="66">
        <v>1343978.32</v>
      </c>
      <c r="C63" s="62"/>
    </row>
    <row r="64" spans="1:3" ht="13.8" x14ac:dyDescent="0.25">
      <c r="A64" s="55" t="s">
        <v>84</v>
      </c>
      <c r="B64" s="66">
        <v>1206403.32</v>
      </c>
      <c r="C64" s="62"/>
    </row>
    <row r="65" spans="1:3" ht="13.8" x14ac:dyDescent="0.25">
      <c r="A65" s="55" t="s">
        <v>65</v>
      </c>
      <c r="B65" s="66">
        <v>866347.6605</v>
      </c>
      <c r="C65" s="62"/>
    </row>
    <row r="66" spans="1:3" ht="13.8" x14ac:dyDescent="0.25">
      <c r="A66" s="55" t="s">
        <v>83</v>
      </c>
      <c r="B66" s="66">
        <v>429196.73</v>
      </c>
      <c r="C66" s="62"/>
    </row>
    <row r="67" spans="1:3" ht="13.8" x14ac:dyDescent="0.25">
      <c r="A67" s="55" t="s">
        <v>82</v>
      </c>
      <c r="B67" s="66">
        <v>69861.77</v>
      </c>
      <c r="C67" s="62"/>
    </row>
    <row r="68" spans="1:3" ht="13.8" x14ac:dyDescent="0.25">
      <c r="A68" s="56" t="s">
        <v>22</v>
      </c>
      <c r="B68" s="67">
        <f>+SUM(B42:B67)</f>
        <v>2939608166.1931009</v>
      </c>
      <c r="C68" s="62"/>
    </row>
    <row r="69" spans="1:3" x14ac:dyDescent="0.25">
      <c r="C69" s="62"/>
    </row>
    <row r="70" spans="1:3" ht="15.6" x14ac:dyDescent="0.25">
      <c r="A70" s="54" t="s">
        <v>23</v>
      </c>
      <c r="B70" s="54" t="s">
        <v>24</v>
      </c>
    </row>
    <row r="71" spans="1:3" ht="13.8" x14ac:dyDescent="0.25">
      <c r="A71" s="55" t="s">
        <v>58</v>
      </c>
      <c r="B71" s="92">
        <v>1086531393.95</v>
      </c>
    </row>
    <row r="72" spans="1:3" ht="13.8" x14ac:dyDescent="0.25">
      <c r="A72" s="55" t="s">
        <v>59</v>
      </c>
      <c r="B72" s="65">
        <v>761477149.32000005</v>
      </c>
    </row>
    <row r="73" spans="1:3" ht="13.8" x14ac:dyDescent="0.25">
      <c r="A73" s="55" t="s">
        <v>60</v>
      </c>
      <c r="B73" s="65">
        <v>458552835.45000005</v>
      </c>
    </row>
    <row r="74" spans="1:3" ht="13.8" x14ac:dyDescent="0.25">
      <c r="A74" s="55" t="s">
        <v>66</v>
      </c>
      <c r="B74" s="65">
        <v>323940253.13890004</v>
      </c>
    </row>
    <row r="75" spans="1:3" ht="13.8" x14ac:dyDescent="0.25">
      <c r="A75" s="55" t="s">
        <v>61</v>
      </c>
      <c r="B75" s="65">
        <v>309106534.33419997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Rezultatai</vt:lpstr>
      <vt:lpstr>Papildomi duomenys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Audrius Silgalis</dc:creator>
  <cp:lastModifiedBy>Dalia Juškevičienė</cp:lastModifiedBy>
  <cp:lastPrinted>2017-07-13T07:56:50Z</cp:lastPrinted>
  <dcterms:created xsi:type="dcterms:W3CDTF">2008-11-20T12:30:07Z</dcterms:created>
  <dcterms:modified xsi:type="dcterms:W3CDTF">2018-04-13T06:26:45Z</dcterms:modified>
</cp:coreProperties>
</file>