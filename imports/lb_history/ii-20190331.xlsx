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8" yWindow="108" windowWidth="7680" windowHeight="10596"/>
  </bookViews>
  <sheets>
    <sheet name="Rezultatai" sheetId="14" r:id="rId1"/>
    <sheet name="Papildomi duomenys" sheetId="10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<sst xmlns="http://schemas.openxmlformats.org/spreadsheetml/2006/main" count="568" uniqueCount="134">
  <si>
    <t>Fondo pavadinimas</t>
  </si>
  <si>
    <t>SEB pensija 2</t>
  </si>
  <si>
    <t>SEB pensija 3</t>
  </si>
  <si>
    <t>MAŽOS AKCIJŲ DALIES PENSIJŲ FONDAI (IKI 30 PROC.)</t>
  </si>
  <si>
    <t>SEB pensija 1</t>
  </si>
  <si>
    <t>Swedbank Pensija 1</t>
  </si>
  <si>
    <t>Aviva Europensija</t>
  </si>
  <si>
    <t>Aviva Europensija plius</t>
  </si>
  <si>
    <t>Swedbank Pensija 2</t>
  </si>
  <si>
    <t>Swedbank Pensija 3</t>
  </si>
  <si>
    <t>Swedbank Pensija 4</t>
  </si>
  <si>
    <t>Aviva Europensija ekstra</t>
  </si>
  <si>
    <t>Swedbank Pensija 5</t>
  </si>
  <si>
    <t>VIDUTINĖS AKCIJŲ DALIES PENSIJŲ FONDAI (IKI 70 PROC.)</t>
  </si>
  <si>
    <t>AKCIJŲ PENSIJŲ FONDAI (IKI 100 PROC.)</t>
  </si>
  <si>
    <t>Veiklos laikotarpis, metais</t>
  </si>
  <si>
    <t>RIZIKOS RODIKLIAI</t>
  </si>
  <si>
    <t xml:space="preserve"> KONSERVATYVAUS INVESTAVIMO PENSIJŲ FONDAI</t>
  </si>
  <si>
    <t xml:space="preserve">*** Lyginamasis indeksas apibrėžiamas kaip pensijų kaupimo bendrovės pasirinktas rodiklis, su kurio kintančia reikšme lyginama fondo investicijų portfelio investicijų grąža. </t>
  </si>
  <si>
    <t>Iš viso:</t>
  </si>
  <si>
    <t>LYGINAMOJO INDEKSO GRĄŽA***</t>
  </si>
  <si>
    <t>Fondas</t>
  </si>
  <si>
    <t>Valdymo įmonė</t>
  </si>
  <si>
    <t>Grynieji aktyvai, Eur</t>
  </si>
  <si>
    <t>Fondo dydis, mln. Eur</t>
  </si>
  <si>
    <t>Dalyvių skaičius</t>
  </si>
  <si>
    <t>Investicijų į akcijas dalis</t>
  </si>
  <si>
    <t>FONDŲ GRĄŽA</t>
  </si>
  <si>
    <t>Swedbank Pensijų išmokų fondas</t>
  </si>
  <si>
    <t xml:space="preserve">Svertinis vidurkis*****: </t>
  </si>
  <si>
    <t>iki 30%</t>
  </si>
  <si>
    <t>iki 25%</t>
  </si>
  <si>
    <t xml:space="preserve">Svertinis vidurkis: </t>
  </si>
  <si>
    <t>iki 65%</t>
  </si>
  <si>
    <t>iki 50%</t>
  </si>
  <si>
    <t>iki 70%</t>
  </si>
  <si>
    <t>-</t>
  </si>
  <si>
    <t>20-60%</t>
  </si>
  <si>
    <t>iki 100%</t>
  </si>
  <si>
    <t>60-100%</t>
  </si>
  <si>
    <t>** Apskaičiuota remiantis apskaitos vieneto vertės pokyčiu per nurodytą laikotarpį. Vidutinė metinė grąža gauta taikant geometrinį vidurkį.</t>
  </si>
  <si>
    <t>Pensija 3</t>
  </si>
  <si>
    <t>Europensija plius</t>
  </si>
  <si>
    <t>Pensija 4</t>
  </si>
  <si>
    <t>Pensija 2</t>
  </si>
  <si>
    <t>Pensija 5</t>
  </si>
  <si>
    <t>Europensija ekstra</t>
  </si>
  <si>
    <t>Europensija</t>
  </si>
  <si>
    <t>Pensijų išmokų fondas</t>
  </si>
  <si>
    <t>Pensija 1</t>
  </si>
  <si>
    <t>"Swedbank investicijų valdymas", UAB 124815377</t>
  </si>
  <si>
    <t>UAB "SEB investicijų valdymas" 125277981</t>
  </si>
  <si>
    <t>Uždaroji akcinė gyvybės draudimo ir pensijų bendrovė "Aviva Lietuva" 111744827</t>
  </si>
  <si>
    <t>UAB "INVL Asset Management" 126263073</t>
  </si>
  <si>
    <t>Luminor pensija 1</t>
  </si>
  <si>
    <t>Luminor pensija 2</t>
  </si>
  <si>
    <t>Luminor pensija 3</t>
  </si>
  <si>
    <t>Luminor pensija 4</t>
  </si>
  <si>
    <t>Pensija 1989-1995</t>
  </si>
  <si>
    <t>Pensija 1982-1988</t>
  </si>
  <si>
    <t>GYVENIMO CIKLO FONDAI (INVESTAVIMO STRATEGIJA KINTA ATSIŽVELGIANT Į PENSIJŲ FONDO DALYVIŲ AMŽIŲ)</t>
  </si>
  <si>
    <t>Swedbank Pensija 1996-2002</t>
  </si>
  <si>
    <t>Swedbank Pensija 1961-1967</t>
  </si>
  <si>
    <t>Swedbank Pensija 1989-1995</t>
  </si>
  <si>
    <t>Swedbank Pensija 1982-1988</t>
  </si>
  <si>
    <t>Swedbank Pensija 1975-1981</t>
  </si>
  <si>
    <t>Swedbank Pensija 1968-1974</t>
  </si>
  <si>
    <t>Luminor investicijų valdymas UAB 226299280</t>
  </si>
  <si>
    <t>Swedbank pensija 1961–1967</t>
  </si>
  <si>
    <t>SEB 1954–1960 metų tikslinės grupės pensijų kaupimo fondas</t>
  </si>
  <si>
    <t>SEB turto išsaugojimo pensijų kaupimo fondas</t>
  </si>
  <si>
    <t>SEB 1996–2002 metų tikslinės grupės pensijų kaupimo fondas</t>
  </si>
  <si>
    <t>SEB 1989–1995 metų tikslinės grupės pensijų kaupimo fondas</t>
  </si>
  <si>
    <t>SEB 1982–1988 metų tikslinės grupės pensijų kaupimo fondas</t>
  </si>
  <si>
    <t>SEB 1975–1981 metų tikslinės grupės pensijų kaupimo fondas</t>
  </si>
  <si>
    <t>SEB 1968–1974 metų tikslinės grupės pensijų kaupimo fondas</t>
  </si>
  <si>
    <t>SEB 1961–1967 metų tikslinės grupės pensijų kaupimo fondas</t>
  </si>
  <si>
    <t>Aviva S turto išsaugojimo pensijų fondas</t>
  </si>
  <si>
    <t>Aviva Y3 1996–2002 tikslinės grupės pensijų fondas</t>
  </si>
  <si>
    <t>Aviva Y2 1989–1995 tikslinės grupės pensijų fondas</t>
  </si>
  <si>
    <t>Aviva Y1 1982–1988 tikslinės grupės pensijų fondas</t>
  </si>
  <si>
    <t>Aviva X3 1975–1981 tikslinės grupės pensijų fondas</t>
  </si>
  <si>
    <t>Aviva X2 1968–1974 tikslinės grupės pensijų fondas</t>
  </si>
  <si>
    <t>Aviva X1 1961–1967 tikslinės grupės pensijų fondas</t>
  </si>
  <si>
    <t>Aviva B 1954–1960 tikslinės grupės pensijų fondas</t>
  </si>
  <si>
    <t>INVL pensija 1996–2002</t>
  </si>
  <si>
    <t>INVL pensija 1989–1995</t>
  </si>
  <si>
    <t>INVL pensija 1982–1988</t>
  </si>
  <si>
    <t>INVL pensija 1975–1981</t>
  </si>
  <si>
    <t>INVL pensija 1968–1974</t>
  </si>
  <si>
    <t>INVL pensija 1961–1967</t>
  </si>
  <si>
    <t>INVL pensija 1954–1960</t>
  </si>
  <si>
    <t>INVL pensijų turto išsaugojimo fondas</t>
  </si>
  <si>
    <t>Swedbank turto išsaugojimo pensijų fondas</t>
  </si>
  <si>
    <t>Swedbank pensija 1996–2002</t>
  </si>
  <si>
    <t>Swedbank pensija 1975–1981</t>
  </si>
  <si>
    <t>Swedbank pensija 1968–1974</t>
  </si>
  <si>
    <t>Swedbank pensija 1954–1960</t>
  </si>
  <si>
    <t>Luminor turto išsaugojimo fondas</t>
  </si>
  <si>
    <t>Luminor 1996–2002 tikslinės grupės pensijų fondas</t>
  </si>
  <si>
    <t>Luminor 1989–1995 tikslinės grupės pensijų fondas</t>
  </si>
  <si>
    <t>Luminor 1982–1988 tikslinės grupės pensijų fondas</t>
  </si>
  <si>
    <t>Luminor 1975–1981 tikslinės grupės pensijų fondas</t>
  </si>
  <si>
    <t>Luminor 1968–1974 tikslinės grupės pensijų fondas</t>
  </si>
  <si>
    <t>Luminor 1961–1967 tikslinės grupės pensijų fondas</t>
  </si>
  <si>
    <t>Luminor 1954–1960 tikslinės grupės pensijų fondas</t>
  </si>
  <si>
    <r>
      <t xml:space="preserve">Grąža* </t>
    </r>
    <r>
      <rPr>
        <b/>
        <u/>
        <sz val="11"/>
        <color indexed="8"/>
        <rFont val="Times New Roman"/>
        <family val="1"/>
        <charset val="186"/>
      </rPr>
      <t>nuo metų pradžios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</si>
  <si>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Vidutinė metinė grąža** per praėjusius </t>
    </r>
    <r>
      <rPr>
        <b/>
        <u/>
        <sz val="11"/>
        <color indexed="8"/>
        <rFont val="Times New Roman"/>
        <family val="1"/>
        <charset val="186"/>
      </rPr>
      <t>3 metus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</si>
  <si>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Vidutinė metinė grąža** per praėjusius </t>
    </r>
    <r>
      <rPr>
        <b/>
        <u/>
        <sz val="11"/>
        <color indexed="8"/>
        <rFont val="Times New Roman"/>
        <family val="1"/>
        <charset val="186"/>
      </rPr>
      <t>5 metus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</si>
  <si>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Vidutinė metinė grąža** per praėjusius </t>
    </r>
    <r>
      <rPr>
        <b/>
        <u/>
        <sz val="11"/>
        <color indexed="8"/>
        <rFont val="Times New Roman"/>
        <family val="1"/>
        <charset val="186"/>
      </rPr>
      <t>10 metų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</si>
  <si>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Vidutinė metinė lyginamojo indekso grąža per praėjusius </t>
    </r>
    <r>
      <rPr>
        <b/>
        <u/>
        <sz val="11"/>
        <color indexed="8"/>
        <rFont val="Times New Roman"/>
        <family val="1"/>
        <charset val="186"/>
      </rPr>
      <t>3 metus</t>
    </r>
    <r>
      <rPr>
        <b/>
        <sz val="11"/>
        <color indexed="8"/>
        <rFont val="Times New Roman"/>
        <family val="1"/>
        <charset val="186"/>
      </rPr>
      <t>, proc.</t>
    </r>
  </si>
  <si>
    <r>
      <t>Vidutinė metinė lyginamojo indekso grąža per praėjusius</t>
    </r>
    <r>
      <rPr>
        <b/>
        <u/>
        <sz val="11"/>
        <color indexed="8"/>
        <rFont val="Times New Roman"/>
        <family val="1"/>
        <charset val="186"/>
      </rPr>
      <t xml:space="preserve"> 5 metus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</si>
  <si>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Standartinis nuokrypis**** per praėjusius </t>
    </r>
    <r>
      <rPr>
        <b/>
        <u/>
        <sz val="11"/>
        <color indexed="8"/>
        <rFont val="Times New Roman"/>
        <family val="1"/>
        <charset val="186"/>
      </rPr>
      <t>5 metus</t>
    </r>
    <r>
      <rPr>
        <b/>
        <sz val="11"/>
        <color indexed="8"/>
        <rFont val="Times New Roman"/>
        <family val="1"/>
        <charset val="186"/>
      </rPr>
      <t>, proc.</t>
    </r>
  </si>
  <si>
    <r>
      <t xml:space="preserve">Standartinis nuokrypis**** per praėjusius </t>
    </r>
    <r>
      <rPr>
        <b/>
        <u/>
        <sz val="11"/>
        <color indexed="8"/>
        <rFont val="Times New Roman"/>
        <family val="1"/>
        <charset val="186"/>
      </rPr>
      <t>10 metų</t>
    </r>
    <r>
      <rPr>
        <b/>
        <sz val="11"/>
        <color indexed="8"/>
        <rFont val="Times New Roman"/>
        <family val="1"/>
        <charset val="186"/>
      </rPr>
      <t>, proc.</t>
    </r>
  </si>
  <si>
    <t xml:space="preserve">INVL STABILO II 58+****** </t>
  </si>
  <si>
    <t xml:space="preserve">INVL MEZZO II 53+****** </t>
  </si>
  <si>
    <t xml:space="preserve">INVL MEDIO II 47+ ****** </t>
  </si>
  <si>
    <t xml:space="preserve">INVL EXTREMO II 16+****** </t>
  </si>
  <si>
    <t>iki 35%</t>
  </si>
  <si>
    <t>iki 31%</t>
  </si>
  <si>
    <t>iki 10%</t>
  </si>
  <si>
    <t>iki 53%</t>
  </si>
  <si>
    <t>iki 93%</t>
  </si>
  <si>
    <t>iki 66%</t>
  </si>
  <si>
    <t>iki 27%</t>
  </si>
  <si>
    <t>iki 20%</t>
  </si>
  <si>
    <t>iki 32%</t>
  </si>
  <si>
    <t>iki 69%</t>
  </si>
  <si>
    <r>
      <t>Pastaba:</t>
    </r>
    <r>
      <rPr>
        <sz val="10"/>
        <rFont val="Helv"/>
      </rPr>
      <t xml:space="preserve"> praeities rezultatai negarantuoja, kad tokie patys ar panašūs rezultatai bus ir ateityje.</t>
    </r>
  </si>
  <si>
    <t>* Apskaitos vieneto vertės pokytis. Juo atsižvelgiama į atskaitymus nuo turto, tačiau neatsižvelgiama į atskaitymus nuo įmokų, dėl to grynoji grąža yra mažesnė.</t>
  </si>
  <si>
    <r>
      <t xml:space="preserve">**** Rodikliui apskaičiuoti naudoti mėnesiniai apskaitos vieneto verčių pokyčiai, rezultatas perskaičiuotas į metinį. </t>
    </r>
    <r>
      <rPr>
        <sz val="10"/>
        <rFont val="Helv"/>
        <charset val="186"/>
      </rPr>
      <t xml:space="preserve"> Standartinis nuokrypis parodo, kaip intensyviai per laikotarpį svyruoja fondo investicinio vieneto vertė. Kuo šis rodiklis didesnis, tuo didesnė rizika. </t>
    </r>
  </si>
  <si>
    <t>****** UAB "INVL Asset Management" 2019-02-01 atliko šių fondų dalyvių ir turto perkėlimą į naujuosius tikslinės grupės pensijų fondus. Šie pensijų fondai veikė iki 2019 m. sausio 31 d. Visi rodikliai apskaičiuoti sausio 31 d. pabaigai.</t>
  </si>
  <si>
    <t>***** Svertiniam vidurkiui apskaičiuoti naudotas 2019-03-31 dienos fondų grynųjų aktyvų dydis.</t>
  </si>
  <si>
    <t>Viso: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</si>
</sst>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L_t_-;\-* #,##0.00\ _L_t_-;_-* &quot;-&quot;??\ _L_t_-;_-@_-"/>
    <numFmt numFmtId="165" formatCode="0.0"/>
    <numFmt numFmtId="166" formatCode="0.00_ ;[Red]\-0.00\ "/>
    <numFmt numFmtId="167" formatCode="_-* #,##0\ _€_-;\-* #,##0\ _€_-;_-* &quot;-&quot;??\ _€_-;_-@_-"/>
    <numFmt numFmtId="168" formatCode="###\ ###\ ###"/>
    <numFmt numFmtId="169" formatCode="###\ ###\ ###\ ###"/>
  </numFmts>
  <fonts count="36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Helv"/>
    </font>
    <font>
      <b/>
      <sz val="10"/>
      <name val="Helv"/>
      <charset val="186"/>
    </font>
    <font>
      <b/>
      <sz val="1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indexed="64"/>
      <name val="Times New Roman"/>
      <family val="1"/>
      <charset val="186"/>
    </font>
    <font>
      <i/>
      <sz val="11"/>
      <name val="Times New Roman"/>
      <family val="1"/>
      <charset val="186"/>
    </font>
    <font>
      <sz val="11"/>
      <color indexed="8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sz val="10"/>
      <name val="Arial"/>
      <family val="2"/>
    </font>
    <font>
      <u/>
      <sz val="10"/>
      <color indexed="12"/>
      <name val="Arial"/>
      <family val="2"/>
      <charset val="186"/>
    </font>
    <font>
      <b/>
      <sz val="12"/>
      <color indexed="8"/>
      <name val="Times New Roman"/>
      <family val="1"/>
      <charset val="186"/>
    </font>
    <font>
      <b/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Arial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8"/>
      <color theme="3"/>
      <name val="Cambria"/>
      <family val="2"/>
      <charset val="186"/>
      <scheme val="maj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sz val="10"/>
      <name val="Arial"/>
      <charset val="186"/>
    </font>
    <font>
      <b/>
      <u/>
      <sz val="11"/>
      <color indexed="8"/>
      <name val="Times New Roman"/>
      <family val="1"/>
      <charset val="186"/>
    </font>
    <font>
      <sz val="10"/>
      <name val="Helv"/>
      <charset val="186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75A26E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5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45" applyNumberFormat="0" applyAlignment="0" applyProtection="0"/>
    <xf numFmtId="0" fontId="20" fillId="28" borderId="46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47" applyNumberFormat="0" applyFill="0" applyAlignment="0" applyProtection="0"/>
    <xf numFmtId="0" fontId="24" fillId="0" borderId="48" applyNumberFormat="0" applyFill="0" applyAlignment="0" applyProtection="0"/>
    <xf numFmtId="0" fontId="25" fillId="0" borderId="49" applyNumberFormat="0" applyFill="0" applyAlignment="0" applyProtection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30" borderId="45" applyNumberFormat="0" applyAlignment="0" applyProtection="0"/>
    <xf numFmtId="0" fontId="27" fillId="0" borderId="50" applyNumberFormat="0" applyFill="0" applyAlignment="0" applyProtection="0"/>
    <xf numFmtId="0" fontId="28" fillId="31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5" fillId="0" borderId="0"/>
    <xf numFmtId="0" fontId="16" fillId="32" borderId="51" applyNumberFormat="0" applyFont="0" applyAlignment="0" applyProtection="0"/>
    <xf numFmtId="0" fontId="29" fillId="27" borderId="52" applyNumberFormat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3" applyNumberFormat="0" applyFill="0" applyAlignment="0" applyProtection="0"/>
    <xf numFmtId="0" fontId="32" fillId="0" borderId="0" applyNumberFormat="0" applyFill="0" applyBorder="0" applyAlignment="0" applyProtection="0"/>
    <xf numFmtId="9" fontId="33" fillId="0" borderId="0" applyFont="0" applyFill="0" applyBorder="0" applyAlignment="0" applyProtection="0"/>
  </cellStyleXfs>
  <cellXfs count="134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3" fontId="9" fillId="33" borderId="4" xfId="0" applyNumberFormat="1" applyFont="1" applyFill="1" applyBorder="1" applyAlignment="1">
      <alignment horizontal="center" vertical="center" wrapText="1"/>
    </xf>
    <xf numFmtId="3" fontId="9" fillId="33" borderId="5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center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8" fillId="0" borderId="17" xfId="0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/>
    </xf>
    <xf numFmtId="2" fontId="9" fillId="34" borderId="0" xfId="0" applyNumberFormat="1" applyFont="1" applyFill="1" applyBorder="1" applyAlignment="1">
      <alignment horizontal="center" vertical="center" wrapText="1"/>
    </xf>
    <xf numFmtId="2" fontId="8" fillId="34" borderId="0" xfId="0" applyNumberFormat="1" applyFont="1" applyFill="1" applyBorder="1" applyAlignment="1">
      <alignment horizontal="center" vertical="center" wrapText="1"/>
    </xf>
    <xf numFmtId="0" fontId="2" fillId="34" borderId="0" xfId="0" applyFont="1" applyFill="1"/>
    <xf numFmtId="0" fontId="3" fillId="34" borderId="0" xfId="0" applyFont="1" applyFill="1"/>
    <xf numFmtId="3" fontId="8" fillId="34" borderId="0" xfId="0" applyNumberFormat="1" applyFont="1" applyFill="1" applyAlignment="1">
      <alignment horizontal="center"/>
    </xf>
    <xf numFmtId="166" fontId="8" fillId="0" borderId="24" xfId="0" applyNumberFormat="1" applyFont="1" applyBorder="1" applyAlignment="1">
      <alignment horizontal="center" vertical="center" wrapText="1"/>
    </xf>
    <xf numFmtId="166" fontId="8" fillId="0" borderId="25" xfId="0" applyNumberFormat="1" applyFont="1" applyBorder="1" applyAlignment="1">
      <alignment horizontal="center" vertical="center" wrapText="1"/>
    </xf>
    <xf numFmtId="166" fontId="8" fillId="0" borderId="26" xfId="0" applyNumberFormat="1" applyFont="1" applyBorder="1" applyAlignment="1">
      <alignment horizontal="center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 vertical="center" wrapText="1"/>
    </xf>
    <xf numFmtId="166" fontId="9" fillId="0" borderId="30" xfId="0" applyNumberFormat="1" applyFont="1" applyBorder="1" applyAlignment="1">
      <alignment horizontal="center" vertical="center" wrapText="1"/>
    </xf>
    <xf numFmtId="166" fontId="9" fillId="0" borderId="31" xfId="0" applyNumberFormat="1" applyFont="1" applyBorder="1" applyAlignment="1">
      <alignment horizontal="center" vertical="center" wrapText="1"/>
    </xf>
    <xf numFmtId="3" fontId="9" fillId="33" borderId="13" xfId="0" applyNumberFormat="1" applyFont="1" applyFill="1" applyBorder="1" applyAlignment="1">
      <alignment horizontal="center" vertical="center" wrapText="1"/>
    </xf>
    <xf numFmtId="3" fontId="9" fillId="33" borderId="31" xfId="0" applyNumberFormat="1" applyFont="1" applyFill="1" applyBorder="1" applyAlignment="1">
      <alignment horizontal="center" vertical="center" wrapText="1"/>
    </xf>
    <xf numFmtId="4" fontId="8" fillId="0" borderId="32" xfId="0" applyNumberFormat="1" applyFont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wrapText="1"/>
    </xf>
    <xf numFmtId="4" fontId="8" fillId="0" borderId="34" xfId="0" applyNumberFormat="1" applyFont="1" applyBorder="1" applyAlignment="1">
      <alignment horizontal="center" vertical="center" wrapText="1"/>
    </xf>
    <xf numFmtId="2" fontId="5" fillId="0" borderId="32" xfId="0" applyNumberFormat="1" applyFont="1" applyBorder="1" applyAlignment="1">
      <alignment horizontal="center" vertical="top" wrapText="1"/>
    </xf>
    <xf numFmtId="2" fontId="5" fillId="0" borderId="33" xfId="0" applyNumberFormat="1" applyFont="1" applyBorder="1" applyAlignment="1">
      <alignment horizontal="center" vertical="top" wrapText="1"/>
    </xf>
    <xf numFmtId="2" fontId="5" fillId="0" borderId="34" xfId="0" applyNumberFormat="1" applyFont="1" applyBorder="1" applyAlignment="1">
      <alignment horizontal="center" vertical="top" wrapText="1"/>
    </xf>
    <xf numFmtId="165" fontId="5" fillId="0" borderId="36" xfId="0" applyNumberFormat="1" applyFont="1" applyBorder="1" applyAlignment="1">
      <alignment horizontal="center" vertical="top" wrapText="1"/>
    </xf>
    <xf numFmtId="165" fontId="5" fillId="0" borderId="37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0" fontId="12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9" fontId="5" fillId="0" borderId="32" xfId="0" applyNumberFormat="1" applyFont="1" applyBorder="1" applyAlignment="1">
      <alignment horizontal="center" vertical="top" wrapText="1"/>
    </xf>
    <xf numFmtId="9" fontId="5" fillId="0" borderId="33" xfId="0" applyNumberFormat="1" applyFont="1" applyBorder="1" applyAlignment="1">
      <alignment horizontal="center" vertical="top" wrapText="1"/>
    </xf>
    <xf numFmtId="9" fontId="5" fillId="0" borderId="38" xfId="0" applyNumberFormat="1" applyFont="1" applyBorder="1" applyAlignment="1">
      <alignment horizontal="center" vertical="top" wrapText="1"/>
    </xf>
    <xf numFmtId="167" fontId="0" fillId="0" borderId="0" xfId="0" applyNumberFormat="1"/>
    <xf numFmtId="168" fontId="14" fillId="0" borderId="42" xfId="28" applyNumberFormat="1" applyFont="1" applyBorder="1"/>
    <xf numFmtId="168" fontId="0" fillId="0" borderId="9" xfId="28" applyNumberFormat="1" applyFont="1" applyBorder="1"/>
    <xf numFmtId="169" fontId="0" fillId="0" borderId="9" xfId="0" applyNumberFormat="1" applyFill="1" applyBorder="1" applyAlignment="1" applyProtection="1"/>
    <xf numFmtId="168" fontId="0" fillId="0" borderId="0" xfId="0" applyNumberFormat="1"/>
    <xf numFmtId="14" fontId="3" fillId="34" borderId="0" xfId="0" applyNumberFormat="1" applyFont="1" applyFill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7" fillId="0" borderId="40" xfId="0" applyFont="1" applyBorder="1" applyAlignment="1">
      <alignment vertical="top" wrapText="1"/>
    </xf>
    <xf numFmtId="2" fontId="5" fillId="0" borderId="36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37" xfId="0" applyNumberFormat="1" applyFont="1" applyBorder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top" wrapText="1"/>
    </xf>
    <xf numFmtId="0" fontId="5" fillId="0" borderId="57" xfId="0" applyFont="1" applyBorder="1" applyAlignment="1">
      <alignment horizontal="left" vertical="top" wrapText="1"/>
    </xf>
    <xf numFmtId="165" fontId="5" fillId="0" borderId="58" xfId="0" applyNumberFormat="1" applyFont="1" applyBorder="1" applyAlignment="1">
      <alignment horizontal="center" vertical="top" wrapText="1"/>
    </xf>
    <xf numFmtId="2" fontId="5" fillId="0" borderId="58" xfId="0" applyNumberFormat="1" applyFont="1" applyBorder="1" applyAlignment="1">
      <alignment horizontal="center" vertical="top" wrapText="1"/>
    </xf>
    <xf numFmtId="2" fontId="5" fillId="0" borderId="57" xfId="0" applyNumberFormat="1" applyFont="1" applyBorder="1" applyAlignment="1">
      <alignment horizontal="center" vertical="top" wrapText="1"/>
    </xf>
    <xf numFmtId="0" fontId="5" fillId="0" borderId="59" xfId="0" applyFont="1" applyBorder="1" applyAlignment="1">
      <alignment horizontal="left" vertical="top" wrapText="1"/>
    </xf>
    <xf numFmtId="165" fontId="5" fillId="0" borderId="59" xfId="0" applyNumberFormat="1" applyFont="1" applyBorder="1" applyAlignment="1">
      <alignment horizontal="center" vertical="top" wrapText="1"/>
    </xf>
    <xf numFmtId="2" fontId="5" fillId="0" borderId="59" xfId="0" applyNumberFormat="1" applyFont="1" applyBorder="1" applyAlignment="1">
      <alignment horizontal="center" vertical="top" wrapText="1"/>
    </xf>
    <xf numFmtId="4" fontId="8" fillId="0" borderId="59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32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 vertical="top" wrapText="1"/>
    </xf>
    <xf numFmtId="4" fontId="8" fillId="0" borderId="37" xfId="0" applyNumberFormat="1" applyFont="1" applyBorder="1" applyAlignment="1">
      <alignment horizontal="center" vertical="top"/>
    </xf>
    <xf numFmtId="0" fontId="5" fillId="0" borderId="58" xfId="0" applyFont="1" applyBorder="1" applyAlignment="1">
      <alignment horizontal="left" vertical="top" wrapText="1"/>
    </xf>
    <xf numFmtId="4" fontId="8" fillId="0" borderId="58" xfId="0" applyNumberFormat="1" applyFont="1" applyBorder="1" applyAlignment="1">
      <alignment horizontal="center" vertical="top"/>
    </xf>
    <xf numFmtId="169" fontId="0" fillId="0" borderId="9" xfId="28" applyNumberFormat="1" applyFont="1" applyBorder="1"/>
    <xf numFmtId="168" fontId="13" fillId="0" borderId="0" xfId="28" applyNumberFormat="1" applyFont="1" applyBorder="1"/>
    <xf numFmtId="10" fontId="0" fillId="0" borderId="0" xfId="54" applyNumberFormat="1" applyFont="1"/>
    <xf numFmtId="0" fontId="5" fillId="0" borderId="2" xfId="0" applyFont="1" applyFill="1" applyBorder="1" applyAlignment="1">
      <alignment horizontal="left" vertical="top" wrapText="1"/>
    </xf>
    <xf numFmtId="165" fontId="5" fillId="0" borderId="37" xfId="0" applyNumberFormat="1" applyFont="1" applyFill="1" applyBorder="1" applyAlignment="1">
      <alignment horizontal="center" vertical="top" wrapText="1"/>
    </xf>
    <xf numFmtId="9" fontId="5" fillId="0" borderId="33" xfId="0" applyNumberFormat="1" applyFont="1" applyFill="1" applyBorder="1" applyAlignment="1">
      <alignment horizontal="center" vertical="top" wrapText="1"/>
    </xf>
    <xf numFmtId="4" fontId="8" fillId="0" borderId="33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top"/>
    </xf>
    <xf numFmtId="2" fontId="5" fillId="0" borderId="33" xfId="0" applyNumberFormat="1" applyFont="1" applyFill="1" applyBorder="1" applyAlignment="1">
      <alignment horizontal="center" vertical="top" wrapText="1"/>
    </xf>
    <xf numFmtId="2" fontId="2" fillId="34" borderId="0" xfId="0" applyNumberFormat="1" applyFont="1" applyFill="1"/>
    <xf numFmtId="2" fontId="5" fillId="0" borderId="37" xfId="0" applyNumberFormat="1" applyFont="1" applyFill="1" applyBorder="1" applyAlignment="1">
      <alignment horizontal="center" vertical="top" wrapText="1"/>
    </xf>
    <xf numFmtId="0" fontId="5" fillId="0" borderId="37" xfId="0" applyFont="1" applyFill="1" applyBorder="1" applyAlignment="1">
      <alignment horizontal="left" vertical="top" wrapText="1"/>
    </xf>
    <xf numFmtId="2" fontId="5" fillId="0" borderId="58" xfId="0" applyNumberFormat="1" applyFont="1" applyFill="1" applyBorder="1" applyAlignment="1">
      <alignment horizontal="center" vertical="top" wrapText="1"/>
    </xf>
    <xf numFmtId="166" fontId="8" fillId="0" borderId="62" xfId="0" applyNumberFormat="1" applyFont="1" applyBorder="1" applyAlignment="1">
      <alignment horizontal="center" vertical="center" wrapText="1"/>
    </xf>
    <xf numFmtId="166" fontId="8" fillId="0" borderId="63" xfId="0" applyNumberFormat="1" applyFont="1" applyBorder="1" applyAlignment="1">
      <alignment horizontal="center" vertical="center" wrapText="1"/>
    </xf>
    <xf numFmtId="166" fontId="9" fillId="0" borderId="35" xfId="0" applyNumberFormat="1" applyFont="1" applyBorder="1" applyAlignment="1">
      <alignment horizontal="center" vertical="center" wrapText="1"/>
    </xf>
    <xf numFmtId="0" fontId="2" fillId="34" borderId="64" xfId="0" applyFont="1" applyFill="1" applyBorder="1"/>
    <xf numFmtId="0" fontId="7" fillId="34" borderId="0" xfId="0" applyFont="1" applyFill="1" applyBorder="1" applyAlignment="1">
      <alignment horizontal="right" vertical="top" wrapText="1"/>
    </xf>
    <xf numFmtId="2" fontId="9" fillId="0" borderId="35" xfId="0" applyNumberFormat="1" applyFont="1" applyFill="1" applyBorder="1" applyAlignment="1">
      <alignment horizontal="center" vertical="center" wrapText="1"/>
    </xf>
    <xf numFmtId="2" fontId="9" fillId="0" borderId="14" xfId="0" applyNumberFormat="1" applyFont="1" applyFill="1" applyBorder="1" applyAlignment="1">
      <alignment horizontal="center" vertical="center" wrapText="1"/>
    </xf>
    <xf numFmtId="166" fontId="9" fillId="0" borderId="4" xfId="0" applyNumberFormat="1" applyFont="1" applyFill="1" applyBorder="1" applyAlignment="1">
      <alignment horizontal="center" vertical="center" wrapText="1"/>
    </xf>
    <xf numFmtId="166" fontId="9" fillId="0" borderId="13" xfId="0" applyNumberFormat="1" applyFont="1" applyFill="1" applyBorder="1" applyAlignment="1">
      <alignment horizontal="center" vertical="center" wrapText="1"/>
    </xf>
    <xf numFmtId="166" fontId="9" fillId="0" borderId="5" xfId="0" applyNumberFormat="1" applyFont="1" applyFill="1" applyBorder="1" applyAlignment="1">
      <alignment horizontal="center" vertical="center" wrapText="1"/>
    </xf>
    <xf numFmtId="166" fontId="9" fillId="0" borderId="21" xfId="0" applyNumberFormat="1" applyFont="1" applyFill="1" applyBorder="1" applyAlignment="1">
      <alignment horizontal="center" vertical="center" wrapText="1"/>
    </xf>
    <xf numFmtId="0" fontId="4" fillId="33" borderId="14" xfId="0" applyFont="1" applyFill="1" applyBorder="1" applyAlignment="1">
      <alignment horizontal="left" vertical="center" wrapText="1"/>
    </xf>
    <xf numFmtId="0" fontId="4" fillId="33" borderId="35" xfId="0" applyFont="1" applyFill="1" applyBorder="1" applyAlignment="1">
      <alignment horizontal="left" vertical="center" wrapText="1"/>
    </xf>
    <xf numFmtId="0" fontId="4" fillId="33" borderId="40" xfId="0" applyFont="1" applyFill="1" applyBorder="1" applyAlignment="1">
      <alignment horizontal="left" vertical="center" wrapText="1"/>
    </xf>
    <xf numFmtId="0" fontId="4" fillId="33" borderId="54" xfId="0" applyFont="1" applyFill="1" applyBorder="1" applyAlignment="1">
      <alignment horizontal="center" vertical="center" wrapText="1"/>
    </xf>
    <xf numFmtId="0" fontId="4" fillId="33" borderId="55" xfId="0" applyFont="1" applyFill="1" applyBorder="1" applyAlignment="1">
      <alignment horizontal="center" vertical="center" wrapText="1"/>
    </xf>
    <xf numFmtId="0" fontId="4" fillId="33" borderId="43" xfId="0" applyFont="1" applyFill="1" applyBorder="1" applyAlignment="1">
      <alignment horizontal="center" vertical="center" wrapText="1"/>
    </xf>
    <xf numFmtId="0" fontId="4" fillId="33" borderId="44" xfId="0" applyFont="1" applyFill="1" applyBorder="1" applyAlignment="1">
      <alignment horizontal="center" vertical="center" wrapText="1"/>
    </xf>
    <xf numFmtId="0" fontId="4" fillId="33" borderId="39" xfId="0" applyFont="1" applyFill="1" applyBorder="1" applyAlignment="1">
      <alignment horizontal="center" vertical="center" wrapText="1"/>
    </xf>
    <xf numFmtId="0" fontId="4" fillId="33" borderId="56" xfId="0" applyFont="1" applyFill="1" applyBorder="1" applyAlignment="1">
      <alignment horizontal="center" vertical="center" wrapText="1"/>
    </xf>
    <xf numFmtId="3" fontId="9" fillId="33" borderId="14" xfId="0" applyNumberFormat="1" applyFont="1" applyFill="1" applyBorder="1" applyAlignment="1">
      <alignment horizontal="center" vertical="center" wrapText="1"/>
    </xf>
    <xf numFmtId="3" fontId="9" fillId="33" borderId="35" xfId="0" applyNumberFormat="1" applyFont="1" applyFill="1" applyBorder="1" applyAlignment="1">
      <alignment horizontal="center" vertical="center" wrapText="1"/>
    </xf>
    <xf numFmtId="3" fontId="9" fillId="33" borderId="41" xfId="0" applyNumberFormat="1" applyFont="1" applyFill="1" applyBorder="1" applyAlignment="1">
      <alignment horizontal="center" vertical="center" wrapText="1"/>
    </xf>
    <xf numFmtId="3" fontId="9" fillId="33" borderId="39" xfId="0" applyNumberFormat="1" applyFont="1" applyFill="1" applyBorder="1" applyAlignment="1">
      <alignment horizontal="center" vertical="center" wrapText="1"/>
    </xf>
    <xf numFmtId="0" fontId="4" fillId="33" borderId="14" xfId="0" applyFont="1" applyFill="1" applyBorder="1" applyAlignment="1">
      <alignment horizontal="center" vertical="center" wrapText="1"/>
    </xf>
    <xf numFmtId="0" fontId="4" fillId="33" borderId="60" xfId="0" applyFont="1" applyFill="1" applyBorder="1" applyAlignment="1">
      <alignment horizontal="center" vertical="center" wrapText="1"/>
    </xf>
    <xf numFmtId="0" fontId="4" fillId="33" borderId="0" xfId="0" applyFont="1" applyFill="1" applyBorder="1" applyAlignment="1">
      <alignment horizontal="center" vertical="center" wrapText="1"/>
    </xf>
    <xf numFmtId="0" fontId="4" fillId="33" borderId="61" xfId="0" applyFont="1" applyFill="1" applyBorder="1" applyAlignment="1">
      <alignment horizontal="center" vertical="center" wrapText="1"/>
    </xf>
    <xf numFmtId="0" fontId="4" fillId="33" borderId="35" xfId="0" applyFont="1" applyFill="1" applyBorder="1" applyAlignment="1">
      <alignment horizontal="center" vertical="center" wrapText="1"/>
    </xf>
    <xf numFmtId="0" fontId="4" fillId="33" borderId="40" xfId="0" applyFont="1" applyFill="1" applyBorder="1" applyAlignment="1">
      <alignment horizontal="center" vertical="center" wrapText="1"/>
    </xf>
    <xf numFmtId="0" fontId="2" fillId="34" borderId="0" xfId="41" applyFont="1" applyFill="1" applyAlignment="1">
      <alignment horizontal="left"/>
    </xf>
    <xf numFmtId="2" fontId="9" fillId="0" borderId="14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Fill="1" applyBorder="1" applyAlignment="1">
      <alignment horizontal="center" vertical="center" wrapText="1"/>
    </xf>
    <xf numFmtId="0" fontId="3" fillId="34" borderId="0" xfId="41" applyFont="1" applyFill="1" applyAlignment="1">
      <alignment horizontal="left"/>
    </xf>
    <xf numFmtId="0" fontId="2" fillId="34" borderId="0" xfId="41" applyFont="1" applyFill="1" applyBorder="1" applyAlignment="1">
      <alignment horizontal="left"/>
    </xf>
    <xf numFmtId="0" fontId="9" fillId="0" borderId="9" xfId="0" applyFont="1" applyFill="1" applyBorder="1" applyAlignment="1">
      <alignment horizontal="left" vertical="center"/>
    </xf>
    <xf numFmtId="169" fontId="13" fillId="0" borderId="9" xfId="0" applyNumberFormat="1" applyFont="1" applyFill="1" applyBorder="1" applyAlignment="1" applyProtection="1"/>
  </cellXfs>
  <cellStyles count="5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36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te 2" xfId="48"/>
    <cellStyle name="Output" xfId="49" builtinId="21" customBuiltin="1"/>
    <cellStyle name="Percent" xfId="54" builtinId="5"/>
    <cellStyle name="Percent 2" xfId="50"/>
    <cellStyle name="Title" xfId="51" builtinId="15" customBuiltin="1"/>
    <cellStyle name="Total" xfId="52" builtinId="25" customBuiltin="1"/>
    <cellStyle name="Warning Text" xfId="53" builtinId="11" customBuiltin="1"/>
  </cellStyles>
  <dxfs count="104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0.10310594737301673"/>
          <c:y val="0.25715894604083578"/>
          <c:w val="0.44413763348074642"/>
          <c:h val="0.58949176807444525"/>
        </c:manualLayout>
      </c:layout>
      <c:pieChart>
        <c:varyColors val="1"/>
        <c:ser>
          <c:idx val="0"/>
          <c:order val="0"/>
          <c:tx>
            <c:strRef>
              <c:f>'Papildomi duomenys'!$B$62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-2.6301037523683773E-2"/>
                  <c:y val="-0.1375455230725917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duomenys'!$A$63:$A$67</c:f>
              <c:strCache>
                <c:ptCount val="5"/>
                <c:pt idx="0">
                  <c:v>"Swedbank investicijų valdymas", UAB 124815377</c:v>
                </c:pt>
                <c:pt idx="1">
                  <c:v>Luminor investicijų valdymas UAB 226299280</c:v>
                </c:pt>
                <c:pt idx="2">
                  <c:v>UAB "INVL Asset Management" 126263073</c:v>
                </c:pt>
                <c:pt idx="3">
                  <c:v>UAB "SEB investicijų valdymas" 125277981</c:v>
                </c:pt>
                <c:pt idx="4">
                  <c:v>Uždaroji akcinė gyvybės draudimo ir pensijų bendrovė "Aviva Lietuva" 111744827</c:v>
                </c:pt>
              </c:strCache>
            </c:strRef>
          </c:cat>
          <c:val>
            <c:numRef>
              <c:f>'Papildomi duomenys'!$B$63:$B$67</c:f>
              <c:numCache>
                <c:formatCode>###\ ###\ ###</c:formatCode>
                <c:ptCount val="5"/>
                <c:pt idx="0">
                  <c:v>525956</c:v>
                </c:pt>
                <c:pt idx="1">
                  <c:v>126436</c:v>
                </c:pt>
                <c:pt idx="2">
                  <c:v>137284</c:v>
                </c:pt>
                <c:pt idx="3">
                  <c:v>296552</c:v>
                </c:pt>
                <c:pt idx="4">
                  <c:v>223825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2287704834441704"/>
          <c:y val="0.14673157204830364"/>
          <c:w val="0.37289303122823936"/>
          <c:h val="0.842014006149908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'Papildomi duomenys'!$B$130</c:f>
              <c:strCache>
                <c:ptCount val="1"/>
                <c:pt idx="0">
                  <c:v>Grynieji aktyvai, Eur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duomenys'!$A$131:$A$135</c:f>
              <c:strCache>
                <c:ptCount val="5"/>
                <c:pt idx="0">
                  <c:v>"Swedbank investicijų valdymas", UAB 124815377</c:v>
                </c:pt>
                <c:pt idx="1">
                  <c:v>Luminor investicijų valdymas UAB 226299280</c:v>
                </c:pt>
                <c:pt idx="2">
                  <c:v>UAB "INVL Asset Management" 126263073</c:v>
                </c:pt>
                <c:pt idx="3">
                  <c:v>UAB "SEB investicijų valdymas" 125277981</c:v>
                </c:pt>
                <c:pt idx="4">
                  <c:v>Uždaroji akcinė gyvybės draudimo ir pensijų bendrovė "Aviva Lietuva" 111744827</c:v>
                </c:pt>
              </c:strCache>
            </c:strRef>
          </c:cat>
          <c:val>
            <c:numRef>
              <c:f>'Papildomi duomenys'!$B$131:$B$135</c:f>
              <c:numCache>
                <c:formatCode>###\ ###\ ###</c:formatCode>
                <c:ptCount val="5"/>
                <c:pt idx="0" formatCode="###\ ###\ ###\ ###">
                  <c:v>1248123365.9300001</c:v>
                </c:pt>
                <c:pt idx="1">
                  <c:v>328004593.52340001</c:v>
                </c:pt>
                <c:pt idx="2">
                  <c:v>417601553.40179998</c:v>
                </c:pt>
                <c:pt idx="3">
                  <c:v>872354521.75999987</c:v>
                </c:pt>
                <c:pt idx="4">
                  <c:v>507577449.55999994</c:v>
                </c:pt>
              </c:numCache>
            </c:numRef>
          </c:val>
        </c:ser>
        <c:ser>
          <c:idx val="1"/>
          <c:order val="1"/>
          <c:cat>
            <c:strRef>
              <c:f>[1]Turtas!$J$3:$J$7</c:f>
              <c:strCache>
                <c:ptCount val="5"/>
                <c:pt idx="0">
                  <c:v>"Swedbank investicijų valdymas", UAB 124815377</c:v>
                </c:pt>
                <c:pt idx="1">
                  <c:v>Luminor investicijų valdymas UAB 226299280</c:v>
                </c:pt>
                <c:pt idx="2">
                  <c:v>UAB "INVL Asset Management" 126263073</c:v>
                </c:pt>
                <c:pt idx="3">
                  <c:v>UAB "SEB investicijų valdymas" 125277981</c:v>
                </c:pt>
                <c:pt idx="4">
                  <c:v>Uždaroji akcinė gyvybės draudimo ir pensijų bendrovė "Aviva Lietuva" 111744827</c:v>
                </c:pt>
              </c:strCache>
            </c:strRef>
          </c:cat>
          <c:val>
            <c:numRef>
              <c:f>[1]Turtas!$K$3:$K$7</c:f>
              <c:numCache>
                <c:formatCode>General</c:formatCode>
                <c:ptCount val="5"/>
                <c:pt idx="0">
                  <c:v>1248123365.9300001</c:v>
                </c:pt>
                <c:pt idx="1">
                  <c:v>328004593.52340001</c:v>
                </c:pt>
                <c:pt idx="2">
                  <c:v>417601553.40179998</c:v>
                </c:pt>
                <c:pt idx="3">
                  <c:v>872354521.75999987</c:v>
                </c:pt>
                <c:pt idx="4">
                  <c:v>507577449.55999994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046022247591773"/>
          <c:y val="0.15804300147413081"/>
          <c:w val="0.32694529471553657"/>
          <c:h val="0.828363355265523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11430</xdr:rowOff>
    </xdr:from>
    <xdr:to>
      <xdr:col>8</xdr:col>
      <xdr:colOff>723900</xdr:colOff>
      <xdr:row>20</xdr:row>
      <xdr:rowOff>28575</xdr:rowOff>
    </xdr:to>
    <xdr:graphicFrame macro="">
      <xdr:nvGraphicFramePr>
        <xdr:cNvPr id="13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661035</xdr:colOff>
      <xdr:row>69</xdr:row>
      <xdr:rowOff>131445</xdr:rowOff>
    </xdr:from>
    <xdr:to>
      <xdr:col>9</xdr:col>
      <xdr:colOff>504825</xdr:colOff>
      <xdr:row>82</xdr:row>
      <xdr:rowOff>108585</xdr:rowOff>
    </xdr:to>
    <xdr:graphicFrame macro="">
      <xdr:nvGraphicFramePr>
        <xdr:cNvPr id="13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I%20pakopa%202019-03-31%20darbin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zultatai"/>
      <sheetName val="vnt vertes"/>
      <sheetName val="benchmark"/>
      <sheetName val="Pagalbinis"/>
      <sheetName val="Kodai"/>
      <sheetName val="Turtas"/>
      <sheetName val="Dalyviai"/>
      <sheetName val="Sheet1"/>
      <sheetName val="duomen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J3" t="str">
            <v>"Swedbank investicijų valdymas", UAB 124815377</v>
          </cell>
          <cell r="K3">
            <v>1248123365.9300001</v>
          </cell>
        </row>
        <row r="4">
          <cell r="J4" t="str">
            <v>Luminor investicijų valdymas UAB 226299280</v>
          </cell>
          <cell r="K4">
            <v>328004593.52340001</v>
          </cell>
        </row>
        <row r="5">
          <cell r="J5" t="str">
            <v>UAB "INVL Asset Management" 126263073</v>
          </cell>
          <cell r="K5">
            <v>417601553.40179998</v>
          </cell>
        </row>
        <row r="6">
          <cell r="J6" t="str">
            <v>UAB "SEB investicijų valdymas" 125277981</v>
          </cell>
          <cell r="K6">
            <v>872354521.75999987</v>
          </cell>
        </row>
        <row r="7">
          <cell r="J7" t="str">
            <v>Uždaroji akcinė gyvybės draudimo ir pensijų bendrovė "Aviva Lietuva" 111744827</v>
          </cell>
          <cell r="K7">
            <v>507577449.55999994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tabSelected="1" zoomScale="70" zoomScaleNormal="70" workbookViewId="0">
      <selection activeCell="A87" sqref="A87"/>
    </sheetView>
  </sheetViews>
  <sheetFormatPr defaultColWidth="30.109375" defaultRowHeight="13.2" x14ac:dyDescent="0.25"/>
  <cols>
    <col min="1" max="1" width="55.88671875" customWidth="1"/>
    <col min="2" max="2" width="16.5546875" customWidth="1"/>
    <col min="3" max="3" width="15" customWidth="1"/>
    <col min="4" max="4" width="14.33203125" customWidth="1"/>
    <col min="5" max="5" width="15.88671875" customWidth="1"/>
    <col min="6" max="6" width="17.88671875" customWidth="1"/>
    <col min="7" max="7" width="18.33203125" customWidth="1"/>
    <col min="8" max="8" width="18.5546875" customWidth="1"/>
    <col min="9" max="9" width="20" customWidth="1"/>
    <col min="10" max="10" width="19.44140625" customWidth="1"/>
    <col min="11" max="11" width="15.5546875" customWidth="1"/>
    <col min="12" max="12" width="14.6640625" customWidth="1"/>
  </cols>
  <sheetData>
    <row r="1" spans="1:12" s="29" customFormat="1" ht="14.4" thickBot="1" x14ac:dyDescent="0.3">
      <c r="A1" s="62">
        <v>43555</v>
      </c>
      <c r="B1" s="30"/>
      <c r="C1" s="30"/>
      <c r="E1" s="31"/>
      <c r="F1" s="31"/>
      <c r="G1" s="31"/>
      <c r="H1" s="31"/>
      <c r="I1" s="31"/>
      <c r="J1" s="31"/>
      <c r="K1" s="31"/>
      <c r="L1" s="31"/>
    </row>
    <row r="2" spans="1:12" s="29" customFormat="1" ht="14.4" thickBot="1" x14ac:dyDescent="0.3">
      <c r="A2" s="111" t="s">
        <v>0</v>
      </c>
      <c r="B2" s="113" t="s">
        <v>15</v>
      </c>
      <c r="C2" s="115" t="s">
        <v>26</v>
      </c>
      <c r="D2" s="115" t="s">
        <v>24</v>
      </c>
      <c r="E2" s="117" t="s">
        <v>27</v>
      </c>
      <c r="F2" s="118"/>
      <c r="G2" s="118"/>
      <c r="H2" s="118"/>
      <c r="I2" s="119" t="s">
        <v>20</v>
      </c>
      <c r="J2" s="120"/>
      <c r="K2" s="119" t="s">
        <v>16</v>
      </c>
      <c r="L2" s="120"/>
    </row>
    <row r="3" spans="1:12" s="29" customFormat="1" ht="55.8" thickBot="1" x14ac:dyDescent="0.3">
      <c r="A3" s="112"/>
      <c r="B3" s="114"/>
      <c r="C3" s="116"/>
      <c r="D3" s="116"/>
      <c r="E3" s="7" t="s">
        <v>106</v>
      </c>
      <c r="F3" s="40" t="s">
        <v>107</v>
      </c>
      <c r="G3" s="40" t="s">
        <v>108</v>
      </c>
      <c r="H3" s="41" t="s">
        <v>109</v>
      </c>
      <c r="I3" s="7" t="s">
        <v>110</v>
      </c>
      <c r="J3" s="41" t="s">
        <v>111</v>
      </c>
      <c r="K3" s="7" t="s">
        <v>112</v>
      </c>
      <c r="L3" s="8" t="s">
        <v>113</v>
      </c>
    </row>
    <row r="4" spans="1:12" s="29" customFormat="1" ht="14.4" thickBot="1" x14ac:dyDescent="0.3">
      <c r="A4" s="121" t="s">
        <v>17</v>
      </c>
      <c r="B4" s="122"/>
      <c r="C4" s="122"/>
      <c r="D4" s="122"/>
      <c r="E4" s="122"/>
      <c r="F4" s="122"/>
      <c r="G4" s="122"/>
      <c r="H4" s="122"/>
      <c r="I4" s="123"/>
      <c r="J4" s="123"/>
      <c r="K4" s="123"/>
      <c r="L4" s="124"/>
    </row>
    <row r="5" spans="1:12" s="29" customFormat="1" ht="13.8" x14ac:dyDescent="0.25">
      <c r="A5" s="1" t="s">
        <v>6</v>
      </c>
      <c r="B5" s="48">
        <v>14.8</v>
      </c>
      <c r="C5" s="54">
        <v>0</v>
      </c>
      <c r="D5" s="42">
        <v>56.614282770000003</v>
      </c>
      <c r="E5" s="35">
        <v>0.80511973575556617</v>
      </c>
      <c r="F5" s="10">
        <v>0.42685543209117771</v>
      </c>
      <c r="G5" s="10">
        <v>1.9570812947545591</v>
      </c>
      <c r="H5" s="32">
        <v>3.9458656232272515</v>
      </c>
      <c r="I5" s="9">
        <v>0.24247463823374726</v>
      </c>
      <c r="J5" s="21">
        <v>0.86971623975073964</v>
      </c>
      <c r="K5" s="35">
        <v>1.7249249708395</v>
      </c>
      <c r="L5" s="21">
        <v>2.7160222484533918</v>
      </c>
    </row>
    <row r="6" spans="1:12" s="29" customFormat="1" ht="13.8" x14ac:dyDescent="0.25">
      <c r="A6" s="2" t="s">
        <v>5</v>
      </c>
      <c r="B6" s="49">
        <v>14.8</v>
      </c>
      <c r="C6" s="55">
        <v>0</v>
      </c>
      <c r="D6" s="43">
        <v>9.3099260099999999</v>
      </c>
      <c r="E6" s="36">
        <v>0.77268195413757734</v>
      </c>
      <c r="F6" s="12">
        <v>0.59232214699489472</v>
      </c>
      <c r="G6" s="12">
        <v>1.766901716421887</v>
      </c>
      <c r="H6" s="33">
        <v>2.2958041104683247</v>
      </c>
      <c r="I6" s="11">
        <v>0.49852782978991872</v>
      </c>
      <c r="J6" s="22">
        <v>1.4415710025146966</v>
      </c>
      <c r="K6" s="36">
        <v>2.0849947575419963</v>
      </c>
      <c r="L6" s="22">
        <v>1.9691536721758538</v>
      </c>
    </row>
    <row r="7" spans="1:12" s="29" customFormat="1" ht="13.8" x14ac:dyDescent="0.25">
      <c r="A7" s="3" t="s">
        <v>54</v>
      </c>
      <c r="B7" s="49">
        <v>14.8</v>
      </c>
      <c r="C7" s="55">
        <v>0</v>
      </c>
      <c r="D7" s="43">
        <v>29.5278098464</v>
      </c>
      <c r="E7" s="36">
        <v>0.3284072249589487</v>
      </c>
      <c r="F7" s="12">
        <v>-0.27129813171654638</v>
      </c>
      <c r="G7" s="12">
        <v>0.66297299917108532</v>
      </c>
      <c r="H7" s="33">
        <v>2.6833590917904715</v>
      </c>
      <c r="I7" s="11">
        <v>0.52058263005465566</v>
      </c>
      <c r="J7" s="22">
        <v>1.4650059417406602</v>
      </c>
      <c r="K7" s="36">
        <v>0.80315206426668917</v>
      </c>
      <c r="L7" s="22">
        <v>1.6443974074151533</v>
      </c>
    </row>
    <row r="8" spans="1:12" s="29" customFormat="1" ht="13.8" x14ac:dyDescent="0.25">
      <c r="A8" s="87" t="s">
        <v>114</v>
      </c>
      <c r="B8" s="88">
        <v>14.638356164383561</v>
      </c>
      <c r="C8" s="89">
        <v>0</v>
      </c>
      <c r="D8" s="90">
        <v>0</v>
      </c>
      <c r="E8" s="36">
        <v>0.16181229773462036</v>
      </c>
      <c r="F8" s="12">
        <v>0</v>
      </c>
      <c r="G8" s="12">
        <v>1.305684077960656</v>
      </c>
      <c r="H8" s="33">
        <v>3.8746009108990842</v>
      </c>
      <c r="I8" s="11">
        <v>0.34644371780772065</v>
      </c>
      <c r="J8" s="22">
        <v>1.1140115175886978</v>
      </c>
      <c r="K8" s="36">
        <v>1.4983959483432057</v>
      </c>
      <c r="L8" s="22">
        <v>2.1089570175179335</v>
      </c>
    </row>
    <row r="9" spans="1:12" s="29" customFormat="1" ht="13.8" x14ac:dyDescent="0.25">
      <c r="A9" s="2" t="s">
        <v>4</v>
      </c>
      <c r="B9" s="49">
        <v>14.8</v>
      </c>
      <c r="C9" s="55">
        <v>0</v>
      </c>
      <c r="D9" s="43">
        <v>83.973606310000008</v>
      </c>
      <c r="E9" s="36">
        <v>0.20931449502878952</v>
      </c>
      <c r="F9" s="12">
        <v>-0.51680509143332554</v>
      </c>
      <c r="G9" s="12">
        <v>0.39631361318388514</v>
      </c>
      <c r="H9" s="33">
        <v>1.9029037533454751</v>
      </c>
      <c r="I9" s="11">
        <v>0.65537712914938151</v>
      </c>
      <c r="J9" s="22">
        <v>1.5702967331198359</v>
      </c>
      <c r="K9" s="36">
        <v>0.74607007117591484</v>
      </c>
      <c r="L9" s="22">
        <v>1.8060340536012793</v>
      </c>
    </row>
    <row r="10" spans="1:12" s="29" customFormat="1" ht="14.4" thickBot="1" x14ac:dyDescent="0.3">
      <c r="A10" s="4" t="s">
        <v>28</v>
      </c>
      <c r="B10" s="50">
        <v>14.8</v>
      </c>
      <c r="C10" s="56">
        <v>0</v>
      </c>
      <c r="D10" s="44">
        <v>38.873178709999998</v>
      </c>
      <c r="E10" s="37">
        <v>0.69871436556736555</v>
      </c>
      <c r="F10" s="15">
        <v>0.24170401729568525</v>
      </c>
      <c r="G10" s="15">
        <v>0.42160011565404165</v>
      </c>
      <c r="H10" s="34">
        <v>1.3849430168042298</v>
      </c>
      <c r="I10" s="13">
        <v>-0.24326470799899136</v>
      </c>
      <c r="J10" s="26">
        <v>-0.12448299146227138</v>
      </c>
      <c r="K10" s="37">
        <v>0.3462052424147683</v>
      </c>
      <c r="L10" s="23">
        <v>0.98370183238179376</v>
      </c>
    </row>
    <row r="11" spans="1:12" s="29" customFormat="1" ht="14.4" thickBot="1" x14ac:dyDescent="0.3">
      <c r="A11" s="63" t="s">
        <v>29</v>
      </c>
      <c r="B11" s="64"/>
      <c r="C11" s="64"/>
      <c r="D11" s="65"/>
      <c r="E11" s="24">
        <v>0.49111664336445676</v>
      </c>
      <c r="F11" s="19">
        <v>-5.6493364919324357E-2</v>
      </c>
      <c r="G11" s="19">
        <v>0.90011230208946336</v>
      </c>
      <c r="H11" s="38">
        <v>2.4628200183599098</v>
      </c>
      <c r="I11" s="18">
        <v>0.36334765508265754</v>
      </c>
      <c r="J11" s="17">
        <v>1.0670792673274674</v>
      </c>
      <c r="K11" s="25"/>
      <c r="L11" s="20"/>
    </row>
    <row r="12" spans="1:12" s="29" customFormat="1" ht="14.4" thickBot="1" x14ac:dyDescent="0.3">
      <c r="A12" s="121" t="s">
        <v>3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6"/>
    </row>
    <row r="13" spans="1:12" s="29" customFormat="1" ht="13.8" x14ac:dyDescent="0.25">
      <c r="A13" s="1" t="s">
        <v>7</v>
      </c>
      <c r="B13" s="48">
        <v>14.8</v>
      </c>
      <c r="C13" s="45" t="s">
        <v>30</v>
      </c>
      <c r="D13" s="45">
        <v>327.62406202999995</v>
      </c>
      <c r="E13" s="35">
        <v>3.0959164292497565</v>
      </c>
      <c r="F13" s="10">
        <v>1.715272530992773</v>
      </c>
      <c r="G13" s="10">
        <v>2.8521106835034393</v>
      </c>
      <c r="H13" s="32">
        <v>4.8540391162294139</v>
      </c>
      <c r="I13" s="9">
        <v>1.7871744062178729</v>
      </c>
      <c r="J13" s="21">
        <v>2.1847926240061266</v>
      </c>
      <c r="K13" s="35">
        <v>3.4928739261290627</v>
      </c>
      <c r="L13" s="21">
        <v>4.160110175949197</v>
      </c>
    </row>
    <row r="14" spans="1:12" s="29" customFormat="1" ht="13.8" x14ac:dyDescent="0.25">
      <c r="A14" s="5" t="s">
        <v>55</v>
      </c>
      <c r="B14" s="49">
        <v>14.8</v>
      </c>
      <c r="C14" s="46" t="s">
        <v>31</v>
      </c>
      <c r="D14" s="46">
        <v>116.02839424609999</v>
      </c>
      <c r="E14" s="36">
        <v>2.9940119760479167</v>
      </c>
      <c r="F14" s="12">
        <v>1.5789174177244902</v>
      </c>
      <c r="G14" s="12">
        <v>2.5263630706112261</v>
      </c>
      <c r="H14" s="33">
        <v>4.716898941624037</v>
      </c>
      <c r="I14" s="11">
        <v>2.6259906502468899</v>
      </c>
      <c r="J14" s="22">
        <v>3.1391610330284703</v>
      </c>
      <c r="K14" s="36">
        <v>2.8646969131580473</v>
      </c>
      <c r="L14" s="22">
        <v>3.2445051402699132</v>
      </c>
    </row>
    <row r="15" spans="1:12" s="29" customFormat="1" ht="13.8" x14ac:dyDescent="0.25">
      <c r="A15" s="91" t="s">
        <v>115</v>
      </c>
      <c r="B15" s="88">
        <v>14.638356164383561</v>
      </c>
      <c r="C15" s="92" t="s">
        <v>30</v>
      </c>
      <c r="D15" s="90">
        <v>0</v>
      </c>
      <c r="E15" s="36">
        <v>2.6439645625692121</v>
      </c>
      <c r="F15" s="12">
        <v>3.0799412195914089</v>
      </c>
      <c r="G15" s="12">
        <v>4.0361782280273095</v>
      </c>
      <c r="H15" s="33">
        <v>7.07525881701494</v>
      </c>
      <c r="I15" s="11">
        <v>4.1846408551620362</v>
      </c>
      <c r="J15" s="22">
        <v>5.2114979152494412</v>
      </c>
      <c r="K15" s="36">
        <v>3.7838952888986448</v>
      </c>
      <c r="L15" s="22">
        <v>5.0597466003136997</v>
      </c>
    </row>
    <row r="16" spans="1:12" s="29" customFormat="1" ht="14.4" thickBot="1" x14ac:dyDescent="0.3">
      <c r="A16" s="6" t="s">
        <v>8</v>
      </c>
      <c r="B16" s="50">
        <v>14.8</v>
      </c>
      <c r="C16" s="47" t="s">
        <v>30</v>
      </c>
      <c r="D16" s="47">
        <v>267.89484947</v>
      </c>
      <c r="E16" s="37">
        <v>3.7117903930130813</v>
      </c>
      <c r="F16" s="15">
        <v>2.5919337489454186</v>
      </c>
      <c r="G16" s="15">
        <v>3.3473317676853354</v>
      </c>
      <c r="H16" s="34">
        <v>4.9536202855651634</v>
      </c>
      <c r="I16" s="14">
        <v>3.4022684243449453</v>
      </c>
      <c r="J16" s="23">
        <v>4.4513101068430538</v>
      </c>
      <c r="K16" s="37">
        <v>3.1569485871113092</v>
      </c>
      <c r="L16" s="23">
        <v>3.4638208559220738</v>
      </c>
    </row>
    <row r="17" spans="1:16" s="29" customFormat="1" ht="14.4" thickBot="1" x14ac:dyDescent="0.3">
      <c r="A17" s="63" t="s">
        <v>32</v>
      </c>
      <c r="B17" s="64"/>
      <c r="C17" s="64"/>
      <c r="D17" s="65"/>
      <c r="E17" s="18">
        <v>3.3111735899563497</v>
      </c>
      <c r="F17" s="16">
        <v>2.0230974056160824</v>
      </c>
      <c r="G17" s="16">
        <v>2.9854415310546321</v>
      </c>
      <c r="H17" s="39">
        <v>4.8691682974324362</v>
      </c>
      <c r="I17" s="24">
        <v>2.5320326418520342</v>
      </c>
      <c r="J17" s="20">
        <v>3.1937518149217681</v>
      </c>
      <c r="K17" s="25"/>
      <c r="L17" s="20"/>
      <c r="N17" s="93"/>
      <c r="O17" s="93"/>
      <c r="P17" s="93"/>
    </row>
    <row r="18" spans="1:16" s="29" customFormat="1" ht="14.4" thickBot="1" x14ac:dyDescent="0.3">
      <c r="A18" s="121" t="s">
        <v>13</v>
      </c>
      <c r="B18" s="122"/>
      <c r="C18" s="122"/>
      <c r="D18" s="122"/>
      <c r="E18" s="123"/>
      <c r="F18" s="123"/>
      <c r="G18" s="123"/>
      <c r="H18" s="123"/>
      <c r="I18" s="123"/>
      <c r="J18" s="123"/>
      <c r="K18" s="123"/>
      <c r="L18" s="124"/>
    </row>
    <row r="19" spans="1:16" s="29" customFormat="1" ht="13.8" x14ac:dyDescent="0.25">
      <c r="A19" s="1" t="s">
        <v>11</v>
      </c>
      <c r="B19" s="48">
        <v>13.153424657534247</v>
      </c>
      <c r="C19" s="66" t="s">
        <v>33</v>
      </c>
      <c r="D19" s="67">
        <v>108.3596953</v>
      </c>
      <c r="E19" s="9">
        <v>4.8694424841213779</v>
      </c>
      <c r="F19" s="10">
        <v>2.5140030669607905</v>
      </c>
      <c r="G19" s="10">
        <v>3.6746884782810962</v>
      </c>
      <c r="H19" s="32">
        <v>5.8786594155736394</v>
      </c>
      <c r="I19" s="9">
        <v>3.3058754800102452</v>
      </c>
      <c r="J19" s="21">
        <v>3.4518027671425644</v>
      </c>
      <c r="K19" s="35">
        <v>5.2582902107371385</v>
      </c>
      <c r="L19" s="21">
        <v>6.1649987617072428</v>
      </c>
    </row>
    <row r="20" spans="1:16" s="29" customFormat="1" ht="13.8" x14ac:dyDescent="0.25">
      <c r="A20" s="3" t="s">
        <v>56</v>
      </c>
      <c r="B20" s="49">
        <v>14.8</v>
      </c>
      <c r="C20" s="68" t="s">
        <v>34</v>
      </c>
      <c r="D20" s="69">
        <v>171.2567686191</v>
      </c>
      <c r="E20" s="11">
        <v>5.4114994363021474</v>
      </c>
      <c r="F20" s="12">
        <v>3.444820817997285</v>
      </c>
      <c r="G20" s="12">
        <v>4.0678466316419248</v>
      </c>
      <c r="H20" s="33">
        <v>6.4843083709940963</v>
      </c>
      <c r="I20" s="11">
        <v>4.725480664296744</v>
      </c>
      <c r="J20" s="22">
        <v>4.7734250771581443</v>
      </c>
      <c r="K20" s="36">
        <v>4.9816551622777592</v>
      </c>
      <c r="L20" s="22">
        <v>5.320562767383433</v>
      </c>
    </row>
    <row r="21" spans="1:16" s="29" customFormat="1" ht="13.8" x14ac:dyDescent="0.25">
      <c r="A21" s="87" t="s">
        <v>116</v>
      </c>
      <c r="B21" s="88">
        <v>11.219178082191782</v>
      </c>
      <c r="C21" s="94" t="s">
        <v>35</v>
      </c>
      <c r="D21" s="90">
        <v>0</v>
      </c>
      <c r="E21" s="11">
        <v>3.9721764598205977</v>
      </c>
      <c r="F21" s="12">
        <v>5.0757041034112937</v>
      </c>
      <c r="G21" s="12">
        <v>5.9622120477466956</v>
      </c>
      <c r="H21" s="33">
        <v>6.4749862201635144</v>
      </c>
      <c r="I21" s="11">
        <v>5.6178402396902971</v>
      </c>
      <c r="J21" s="22">
        <v>6.6645572468954306</v>
      </c>
      <c r="K21" s="36">
        <v>6.2586067622771306</v>
      </c>
      <c r="L21" s="22">
        <v>6.2383187409730967</v>
      </c>
    </row>
    <row r="22" spans="1:16" s="29" customFormat="1" ht="13.8" x14ac:dyDescent="0.25">
      <c r="A22" s="3" t="s">
        <v>1</v>
      </c>
      <c r="B22" s="49">
        <v>14.8</v>
      </c>
      <c r="C22" s="68" t="s">
        <v>37</v>
      </c>
      <c r="D22" s="69">
        <v>578.67688849000001</v>
      </c>
      <c r="E22" s="11">
        <v>7.6631410896028651</v>
      </c>
      <c r="F22" s="12">
        <v>4.1823167524454696</v>
      </c>
      <c r="G22" s="12">
        <v>4.0248632980175891</v>
      </c>
      <c r="H22" s="33">
        <v>6.6270296080596092</v>
      </c>
      <c r="I22" s="11">
        <v>6.0600259543353463</v>
      </c>
      <c r="J22" s="22">
        <v>4.9692116839025191</v>
      </c>
      <c r="K22" s="36">
        <v>6.4811888925164221</v>
      </c>
      <c r="L22" s="22">
        <v>6.5670582150447121</v>
      </c>
    </row>
    <row r="23" spans="1:16" s="29" customFormat="1" ht="13.8" x14ac:dyDescent="0.25">
      <c r="A23" s="3" t="s">
        <v>9</v>
      </c>
      <c r="B23" s="49">
        <v>14.8</v>
      </c>
      <c r="C23" s="68" t="s">
        <v>34</v>
      </c>
      <c r="D23" s="69">
        <v>413.61231176000001</v>
      </c>
      <c r="E23" s="11">
        <v>5.8077304261645368</v>
      </c>
      <c r="F23" s="12">
        <v>4.2751216298910988</v>
      </c>
      <c r="G23" s="12">
        <v>4.6739980024605554</v>
      </c>
      <c r="H23" s="33">
        <v>6.3723559063211477</v>
      </c>
      <c r="I23" s="11">
        <v>5.2939875749157039</v>
      </c>
      <c r="J23" s="22">
        <v>5.7691215505644822</v>
      </c>
      <c r="K23" s="36">
        <v>5.0762071521511363</v>
      </c>
      <c r="L23" s="22">
        <v>5.2766275321369687</v>
      </c>
    </row>
    <row r="24" spans="1:16" s="29" customFormat="1" ht="14.4" thickBot="1" x14ac:dyDescent="0.3">
      <c r="A24" s="70" t="s">
        <v>10</v>
      </c>
      <c r="B24" s="71">
        <v>13.287671232876713</v>
      </c>
      <c r="C24" s="72" t="s">
        <v>35</v>
      </c>
      <c r="D24" s="73">
        <v>219.95425872000001</v>
      </c>
      <c r="E24" s="14">
        <v>8.0525272547076199</v>
      </c>
      <c r="F24" s="15">
        <v>5.7558295869044596</v>
      </c>
      <c r="G24" s="15">
        <v>5.6891434852667233</v>
      </c>
      <c r="H24" s="34">
        <v>7.9466091934854433</v>
      </c>
      <c r="I24" s="14">
        <v>7.1685042179142844</v>
      </c>
      <c r="J24" s="23">
        <v>6.9952088826651604</v>
      </c>
      <c r="K24" s="37">
        <v>6.9349624645038794</v>
      </c>
      <c r="L24" s="23">
        <v>7.8645843599859111</v>
      </c>
    </row>
    <row r="25" spans="1:16" s="29" customFormat="1" ht="14.4" thickBot="1" x14ac:dyDescent="0.3">
      <c r="A25" s="63" t="s">
        <v>32</v>
      </c>
      <c r="B25" s="64"/>
      <c r="C25" s="64"/>
      <c r="D25" s="65"/>
      <c r="E25" s="18">
        <v>6.7447527538557761</v>
      </c>
      <c r="F25" s="19">
        <v>4.2342029614506425</v>
      </c>
      <c r="G25" s="19">
        <v>4.4297082579385112</v>
      </c>
      <c r="H25" s="20">
        <v>6.6802355598339576</v>
      </c>
      <c r="I25" s="24">
        <v>5.6578318869258579</v>
      </c>
      <c r="J25" s="20">
        <v>5.3569984478075474</v>
      </c>
      <c r="K25" s="25"/>
      <c r="L25" s="20"/>
      <c r="N25" s="93"/>
      <c r="O25" s="93"/>
      <c r="P25" s="93"/>
    </row>
    <row r="26" spans="1:16" s="29" customFormat="1" ht="14.4" thickBot="1" x14ac:dyDescent="0.3">
      <c r="A26" s="121" t="s">
        <v>14</v>
      </c>
      <c r="B26" s="125"/>
      <c r="C26" s="125"/>
      <c r="D26" s="125"/>
      <c r="E26" s="122"/>
      <c r="F26" s="122"/>
      <c r="G26" s="122"/>
      <c r="H26" s="122"/>
      <c r="I26" s="122"/>
      <c r="J26" s="122"/>
      <c r="K26" s="122"/>
      <c r="L26" s="115"/>
    </row>
    <row r="27" spans="1:16" s="29" customFormat="1" ht="13.8" x14ac:dyDescent="0.25">
      <c r="A27" s="74" t="s">
        <v>57</v>
      </c>
      <c r="B27" s="75">
        <v>1.8191780821917809</v>
      </c>
      <c r="C27" s="76" t="s">
        <v>38</v>
      </c>
      <c r="D27" s="77">
        <v>5.7744922070000007</v>
      </c>
      <c r="E27" s="78">
        <v>12.625582599689267</v>
      </c>
      <c r="F27" s="10" t="s">
        <v>36</v>
      </c>
      <c r="G27" s="10" t="s">
        <v>36</v>
      </c>
      <c r="H27" s="32" t="s">
        <v>36</v>
      </c>
      <c r="I27" s="9" t="s">
        <v>36</v>
      </c>
      <c r="J27" s="32" t="s">
        <v>36</v>
      </c>
      <c r="K27" s="9" t="s">
        <v>36</v>
      </c>
      <c r="L27" s="79" t="s">
        <v>36</v>
      </c>
    </row>
    <row r="28" spans="1:16" s="29" customFormat="1" ht="13.8" x14ac:dyDescent="0.25">
      <c r="A28" s="95" t="s">
        <v>117</v>
      </c>
      <c r="B28" s="88">
        <v>11.263013698630138</v>
      </c>
      <c r="C28" s="94" t="s">
        <v>38</v>
      </c>
      <c r="D28" s="90">
        <v>0</v>
      </c>
      <c r="E28" s="11">
        <v>7.0710455764075197</v>
      </c>
      <c r="F28" s="12">
        <v>8.9062947576991291</v>
      </c>
      <c r="G28" s="12">
        <v>8.6468404608574634</v>
      </c>
      <c r="H28" s="33">
        <v>7.7258449305402266</v>
      </c>
      <c r="I28" s="11">
        <v>8.825521719555617</v>
      </c>
      <c r="J28" s="33">
        <v>8.6081510911546477</v>
      </c>
      <c r="K28" s="11">
        <v>10.927511992881479</v>
      </c>
      <c r="L28" s="22">
        <v>9.6357775698005437</v>
      </c>
    </row>
    <row r="29" spans="1:16" s="29" customFormat="1" ht="13.8" x14ac:dyDescent="0.25">
      <c r="A29" s="80" t="s">
        <v>2</v>
      </c>
      <c r="B29" s="49">
        <v>13.019178082191781</v>
      </c>
      <c r="C29" s="68" t="s">
        <v>39</v>
      </c>
      <c r="D29" s="81">
        <v>186.14974927</v>
      </c>
      <c r="E29" s="11">
        <v>12.899138367967566</v>
      </c>
      <c r="F29" s="12">
        <v>8.046077398311402</v>
      </c>
      <c r="G29" s="12">
        <v>6.988910034145257</v>
      </c>
      <c r="H29" s="33">
        <v>9.6575147910995973</v>
      </c>
      <c r="I29" s="11">
        <v>10.030982791203712</v>
      </c>
      <c r="J29" s="33">
        <v>7.7321892579514495</v>
      </c>
      <c r="K29" s="11">
        <v>10.362633322051952</v>
      </c>
      <c r="L29" s="22">
        <v>10.785905162886714</v>
      </c>
    </row>
    <row r="30" spans="1:16" s="29" customFormat="1" ht="14.4" thickBot="1" x14ac:dyDescent="0.3">
      <c r="A30" s="82" t="s">
        <v>12</v>
      </c>
      <c r="B30" s="71">
        <v>7.9095890410958907</v>
      </c>
      <c r="C30" s="72" t="s">
        <v>38</v>
      </c>
      <c r="D30" s="83">
        <v>187.49723591999998</v>
      </c>
      <c r="E30" s="14">
        <v>11.308950914340699</v>
      </c>
      <c r="F30" s="15">
        <v>8.0811742597615144</v>
      </c>
      <c r="G30" s="15">
        <v>7.2764137054716738</v>
      </c>
      <c r="H30" s="34" t="s">
        <v>36</v>
      </c>
      <c r="I30" s="14">
        <v>9.9493947979757849</v>
      </c>
      <c r="J30" s="34">
        <v>8.7254308256543567</v>
      </c>
      <c r="K30" s="14">
        <v>9.9746647189104145</v>
      </c>
      <c r="L30" s="23" t="s">
        <v>36</v>
      </c>
    </row>
    <row r="31" spans="1:16" s="29" customFormat="1" ht="14.4" thickBot="1" x14ac:dyDescent="0.3">
      <c r="A31" s="63" t="s">
        <v>32</v>
      </c>
      <c r="B31" s="64"/>
      <c r="C31" s="64"/>
      <c r="D31" s="65"/>
      <c r="E31" s="24">
        <v>12.109158317660128</v>
      </c>
      <c r="F31" s="19">
        <v>8.0636891141078433</v>
      </c>
      <c r="G31" s="19">
        <v>7.1331802834104661</v>
      </c>
      <c r="H31" s="38">
        <v>9.6575147910995973</v>
      </c>
      <c r="I31" s="24">
        <v>9.990041678814654</v>
      </c>
      <c r="J31" s="20">
        <v>8.230601010023916</v>
      </c>
      <c r="K31" s="25"/>
      <c r="L31" s="20"/>
      <c r="N31" s="93"/>
      <c r="O31" s="93"/>
      <c r="P31" s="93"/>
    </row>
    <row r="32" spans="1:16" s="29" customFormat="1" ht="14.4" thickBot="1" x14ac:dyDescent="0.3">
      <c r="A32" s="108" t="s">
        <v>60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10"/>
      <c r="N32" s="93"/>
      <c r="O32" s="93"/>
      <c r="P32" s="93"/>
    </row>
    <row r="33" spans="1:16" s="29" customFormat="1" ht="13.8" x14ac:dyDescent="0.25">
      <c r="A33" s="80" t="s">
        <v>62</v>
      </c>
      <c r="B33" s="71">
        <v>1.0821917808219179</v>
      </c>
      <c r="C33" s="96" t="s">
        <v>35</v>
      </c>
      <c r="D33" s="73">
        <v>23.479317160000001</v>
      </c>
      <c r="E33" s="78">
        <v>7.8571428571428514</v>
      </c>
      <c r="F33" s="10" t="s">
        <v>36</v>
      </c>
      <c r="G33" s="10" t="s">
        <v>36</v>
      </c>
      <c r="H33" s="32" t="s">
        <v>36</v>
      </c>
      <c r="I33" s="9" t="s">
        <v>36</v>
      </c>
      <c r="J33" s="32" t="s">
        <v>36</v>
      </c>
      <c r="K33" s="9" t="s">
        <v>36</v>
      </c>
      <c r="L33" s="79" t="s">
        <v>36</v>
      </c>
      <c r="N33" s="93"/>
      <c r="O33" s="93"/>
      <c r="P33" s="93"/>
    </row>
    <row r="34" spans="1:16" s="29" customFormat="1" ht="13.8" x14ac:dyDescent="0.25">
      <c r="A34" s="80" t="s">
        <v>66</v>
      </c>
      <c r="B34" s="49">
        <v>1.0821917808219179</v>
      </c>
      <c r="C34" s="96" t="s">
        <v>38</v>
      </c>
      <c r="D34" s="81">
        <v>28.746744399999997</v>
      </c>
      <c r="E34" s="11">
        <v>11.566240198101529</v>
      </c>
      <c r="F34" s="12" t="s">
        <v>36</v>
      </c>
      <c r="G34" s="12" t="s">
        <v>36</v>
      </c>
      <c r="H34" s="33" t="s">
        <v>36</v>
      </c>
      <c r="I34" s="11" t="s">
        <v>36</v>
      </c>
      <c r="J34" s="33" t="s">
        <v>36</v>
      </c>
      <c r="K34" s="11" t="s">
        <v>36</v>
      </c>
      <c r="L34" s="22" t="s">
        <v>36</v>
      </c>
      <c r="N34" s="93"/>
      <c r="O34" s="93"/>
      <c r="P34" s="93"/>
    </row>
    <row r="35" spans="1:16" s="29" customFormat="1" ht="13.8" x14ac:dyDescent="0.25">
      <c r="A35" s="80" t="s">
        <v>65</v>
      </c>
      <c r="B35" s="49">
        <v>1.0821917808219179</v>
      </c>
      <c r="C35" s="96" t="s">
        <v>38</v>
      </c>
      <c r="D35" s="81">
        <v>25.08048071</v>
      </c>
      <c r="E35" s="11">
        <v>11.521739130434771</v>
      </c>
      <c r="F35" s="12" t="s">
        <v>36</v>
      </c>
      <c r="G35" s="12" t="s">
        <v>36</v>
      </c>
      <c r="H35" s="33" t="s">
        <v>36</v>
      </c>
      <c r="I35" s="11" t="s">
        <v>36</v>
      </c>
      <c r="J35" s="97" t="s">
        <v>36</v>
      </c>
      <c r="K35" s="11" t="s">
        <v>36</v>
      </c>
      <c r="L35" s="98" t="s">
        <v>36</v>
      </c>
      <c r="N35" s="93"/>
      <c r="O35" s="93"/>
      <c r="P35" s="93"/>
    </row>
    <row r="36" spans="1:16" s="29" customFormat="1" ht="13.8" x14ac:dyDescent="0.25">
      <c r="A36" s="80" t="s">
        <v>64</v>
      </c>
      <c r="B36" s="49">
        <v>1.0821917808219179</v>
      </c>
      <c r="C36" s="96" t="s">
        <v>38</v>
      </c>
      <c r="D36" s="81">
        <v>17.933496440000003</v>
      </c>
      <c r="E36" s="11">
        <v>11.502323180175544</v>
      </c>
      <c r="F36" s="12" t="s">
        <v>36</v>
      </c>
      <c r="G36" s="12" t="s">
        <v>36</v>
      </c>
      <c r="H36" s="33" t="s">
        <v>36</v>
      </c>
      <c r="I36" s="11" t="s">
        <v>36</v>
      </c>
      <c r="J36" s="33" t="s">
        <v>36</v>
      </c>
      <c r="K36" s="11" t="s">
        <v>36</v>
      </c>
      <c r="L36" s="22" t="s">
        <v>36</v>
      </c>
      <c r="N36" s="93"/>
      <c r="O36" s="93"/>
      <c r="P36" s="93"/>
    </row>
    <row r="37" spans="1:16" s="29" customFormat="1" ht="13.8" x14ac:dyDescent="0.25">
      <c r="A37" s="80" t="s">
        <v>63</v>
      </c>
      <c r="B37" s="49">
        <v>1.0821917808219179</v>
      </c>
      <c r="C37" s="96" t="s">
        <v>38</v>
      </c>
      <c r="D37" s="81">
        <v>9.0090529499999992</v>
      </c>
      <c r="E37" s="11">
        <v>11.405589357533263</v>
      </c>
      <c r="F37" s="12" t="s">
        <v>36</v>
      </c>
      <c r="G37" s="12" t="s">
        <v>36</v>
      </c>
      <c r="H37" s="33" t="s">
        <v>36</v>
      </c>
      <c r="I37" s="11" t="s">
        <v>36</v>
      </c>
      <c r="J37" s="33" t="s">
        <v>36</v>
      </c>
      <c r="K37" s="11" t="s">
        <v>36</v>
      </c>
      <c r="L37" s="22" t="s">
        <v>36</v>
      </c>
      <c r="N37" s="93"/>
      <c r="O37" s="93"/>
      <c r="P37" s="93"/>
    </row>
    <row r="38" spans="1:16" s="29" customFormat="1" ht="13.8" x14ac:dyDescent="0.25">
      <c r="A38" s="80" t="s">
        <v>61</v>
      </c>
      <c r="B38" s="49">
        <v>1.0821917808219179</v>
      </c>
      <c r="C38" s="96" t="s">
        <v>38</v>
      </c>
      <c r="D38" s="81">
        <v>1.6715084499999999</v>
      </c>
      <c r="E38" s="11">
        <v>11.320175887105034</v>
      </c>
      <c r="F38" s="12" t="s">
        <v>36</v>
      </c>
      <c r="G38" s="12" t="s">
        <v>36</v>
      </c>
      <c r="H38" s="33" t="s">
        <v>36</v>
      </c>
      <c r="I38" s="11" t="s">
        <v>36</v>
      </c>
      <c r="J38" s="33" t="s">
        <v>36</v>
      </c>
      <c r="K38" s="11" t="s">
        <v>36</v>
      </c>
      <c r="L38" s="22" t="s">
        <v>36</v>
      </c>
      <c r="N38" s="93"/>
      <c r="O38" s="93"/>
      <c r="P38" s="93"/>
    </row>
    <row r="39" spans="1:16" s="29" customFormat="1" ht="13.8" x14ac:dyDescent="0.25">
      <c r="A39" s="80" t="s">
        <v>97</v>
      </c>
      <c r="B39" s="49">
        <v>0.24383561643835616</v>
      </c>
      <c r="C39" s="96" t="s">
        <v>118</v>
      </c>
      <c r="D39" s="81">
        <v>4.2306148200000004</v>
      </c>
      <c r="E39" s="11">
        <v>2.8399999999999981</v>
      </c>
      <c r="F39" s="12" t="s">
        <v>36</v>
      </c>
      <c r="G39" s="12" t="s">
        <v>36</v>
      </c>
      <c r="H39" s="33" t="s">
        <v>36</v>
      </c>
      <c r="I39" s="11" t="s">
        <v>36</v>
      </c>
      <c r="J39" s="33" t="s">
        <v>36</v>
      </c>
      <c r="K39" s="11" t="s">
        <v>36</v>
      </c>
      <c r="L39" s="22" t="s">
        <v>36</v>
      </c>
      <c r="N39" s="93"/>
      <c r="O39" s="93"/>
      <c r="P39" s="93"/>
    </row>
    <row r="40" spans="1:16" s="29" customFormat="1" ht="13.8" x14ac:dyDescent="0.25">
      <c r="A40" s="80" t="s">
        <v>93</v>
      </c>
      <c r="B40" s="49">
        <v>0.24383561643835616</v>
      </c>
      <c r="C40" s="96" t="s">
        <v>31</v>
      </c>
      <c r="D40" s="81">
        <v>0.83039041000000002</v>
      </c>
      <c r="E40" s="11">
        <v>1.8499999999999961</v>
      </c>
      <c r="F40" s="12" t="s">
        <v>36</v>
      </c>
      <c r="G40" s="12" t="s">
        <v>36</v>
      </c>
      <c r="H40" s="33" t="s">
        <v>36</v>
      </c>
      <c r="I40" s="11" t="s">
        <v>36</v>
      </c>
      <c r="J40" s="33" t="s">
        <v>36</v>
      </c>
      <c r="K40" s="11" t="s">
        <v>36</v>
      </c>
      <c r="L40" s="22" t="s">
        <v>36</v>
      </c>
      <c r="N40" s="93"/>
      <c r="O40" s="93"/>
      <c r="P40" s="93"/>
    </row>
    <row r="41" spans="1:16" s="29" customFormat="1" ht="13.8" x14ac:dyDescent="0.25">
      <c r="A41" s="80" t="s">
        <v>84</v>
      </c>
      <c r="B41" s="49">
        <v>0.24383561643835616</v>
      </c>
      <c r="C41" s="96" t="s">
        <v>119</v>
      </c>
      <c r="D41" s="81">
        <v>1.9124455600000001</v>
      </c>
      <c r="E41" s="11">
        <v>2.4799999999999933</v>
      </c>
      <c r="F41" s="12" t="s">
        <v>36</v>
      </c>
      <c r="G41" s="12" t="s">
        <v>36</v>
      </c>
      <c r="H41" s="33" t="s">
        <v>36</v>
      </c>
      <c r="I41" s="11" t="s">
        <v>36</v>
      </c>
      <c r="J41" s="33" t="s">
        <v>36</v>
      </c>
      <c r="K41" s="11" t="s">
        <v>36</v>
      </c>
      <c r="L41" s="22" t="s">
        <v>36</v>
      </c>
      <c r="N41" s="93"/>
      <c r="O41" s="93"/>
      <c r="P41" s="93"/>
    </row>
    <row r="42" spans="1:16" s="29" customFormat="1" ht="13.8" x14ac:dyDescent="0.25">
      <c r="A42" s="80" t="s">
        <v>80</v>
      </c>
      <c r="B42" s="49">
        <v>0.24383561643835616</v>
      </c>
      <c r="C42" s="96" t="s">
        <v>38</v>
      </c>
      <c r="D42" s="81">
        <v>1.94005797</v>
      </c>
      <c r="E42" s="11">
        <v>6.7399999999999904</v>
      </c>
      <c r="F42" s="12" t="s">
        <v>36</v>
      </c>
      <c r="G42" s="12" t="s">
        <v>36</v>
      </c>
      <c r="H42" s="33" t="s">
        <v>36</v>
      </c>
      <c r="I42" s="11" t="s">
        <v>36</v>
      </c>
      <c r="J42" s="33" t="s">
        <v>36</v>
      </c>
      <c r="K42" s="11" t="s">
        <v>36</v>
      </c>
      <c r="L42" s="22" t="s">
        <v>36</v>
      </c>
      <c r="N42" s="93"/>
      <c r="O42" s="93"/>
      <c r="P42" s="93"/>
    </row>
    <row r="43" spans="1:16" s="29" customFormat="1" ht="13.8" x14ac:dyDescent="0.25">
      <c r="A43" s="80" t="s">
        <v>79</v>
      </c>
      <c r="B43" s="49">
        <v>0.24383561643835616</v>
      </c>
      <c r="C43" s="96" t="s">
        <v>38</v>
      </c>
      <c r="D43" s="81">
        <v>0.7850194399999999</v>
      </c>
      <c r="E43" s="11">
        <v>6.5499999999999892</v>
      </c>
      <c r="F43" s="12" t="s">
        <v>36</v>
      </c>
      <c r="G43" s="12" t="s">
        <v>36</v>
      </c>
      <c r="H43" s="33" t="s">
        <v>36</v>
      </c>
      <c r="I43" s="11" t="s">
        <v>36</v>
      </c>
      <c r="J43" s="33" t="s">
        <v>36</v>
      </c>
      <c r="K43" s="11" t="s">
        <v>36</v>
      </c>
      <c r="L43" s="22" t="s">
        <v>36</v>
      </c>
      <c r="N43" s="93"/>
      <c r="O43" s="93"/>
      <c r="P43" s="93"/>
    </row>
    <row r="44" spans="1:16" s="29" customFormat="1" ht="13.8" x14ac:dyDescent="0.25">
      <c r="A44" s="80" t="s">
        <v>78</v>
      </c>
      <c r="B44" s="49">
        <v>0.24383561643835616</v>
      </c>
      <c r="C44" s="96" t="s">
        <v>38</v>
      </c>
      <c r="D44" s="81">
        <v>0.1423944</v>
      </c>
      <c r="E44" s="11">
        <v>8.3599999999999888</v>
      </c>
      <c r="F44" s="12" t="s">
        <v>36</v>
      </c>
      <c r="G44" s="12" t="s">
        <v>36</v>
      </c>
      <c r="H44" s="33" t="s">
        <v>36</v>
      </c>
      <c r="I44" s="11" t="s">
        <v>36</v>
      </c>
      <c r="J44" s="33" t="s">
        <v>36</v>
      </c>
      <c r="K44" s="11" t="s">
        <v>36</v>
      </c>
      <c r="L44" s="22" t="s">
        <v>36</v>
      </c>
      <c r="N44" s="93"/>
      <c r="O44" s="93"/>
      <c r="P44" s="93"/>
    </row>
    <row r="45" spans="1:16" s="29" customFormat="1" ht="13.8" x14ac:dyDescent="0.25">
      <c r="A45" s="80" t="s">
        <v>77</v>
      </c>
      <c r="B45" s="49">
        <v>0.24383561643835616</v>
      </c>
      <c r="C45" s="96" t="s">
        <v>120</v>
      </c>
      <c r="D45" s="81">
        <v>0.47089226000000001</v>
      </c>
      <c r="E45" s="11">
        <v>1.3200000000000101</v>
      </c>
      <c r="F45" s="12" t="s">
        <v>36</v>
      </c>
      <c r="G45" s="12" t="s">
        <v>36</v>
      </c>
      <c r="H45" s="33" t="s">
        <v>36</v>
      </c>
      <c r="I45" s="11" t="s">
        <v>36</v>
      </c>
      <c r="J45" s="33" t="s">
        <v>36</v>
      </c>
      <c r="K45" s="11" t="s">
        <v>36</v>
      </c>
      <c r="L45" s="22" t="s">
        <v>36</v>
      </c>
      <c r="N45" s="93"/>
      <c r="O45" s="93"/>
      <c r="P45" s="93"/>
    </row>
    <row r="46" spans="1:16" s="29" customFormat="1" ht="13.8" x14ac:dyDescent="0.25">
      <c r="A46" s="80" t="s">
        <v>83</v>
      </c>
      <c r="B46" s="49">
        <v>0.24383561643835616</v>
      </c>
      <c r="C46" s="96" t="s">
        <v>121</v>
      </c>
      <c r="D46" s="81">
        <v>3.6455614500000002</v>
      </c>
      <c r="E46" s="11">
        <v>3.5500000000000087</v>
      </c>
      <c r="F46" s="12" t="s">
        <v>36</v>
      </c>
      <c r="G46" s="12" t="s">
        <v>36</v>
      </c>
      <c r="H46" s="33" t="s">
        <v>36</v>
      </c>
      <c r="I46" s="11" t="s">
        <v>36</v>
      </c>
      <c r="J46" s="33" t="s">
        <v>36</v>
      </c>
      <c r="K46" s="11" t="s">
        <v>36</v>
      </c>
      <c r="L46" s="22" t="s">
        <v>36</v>
      </c>
      <c r="N46" s="93"/>
      <c r="O46" s="93"/>
      <c r="P46" s="93"/>
    </row>
    <row r="47" spans="1:16" s="29" customFormat="1" ht="13.8" x14ac:dyDescent="0.25">
      <c r="A47" s="80" t="s">
        <v>82</v>
      </c>
      <c r="B47" s="49">
        <v>0.24383561643835616</v>
      </c>
      <c r="C47" s="96" t="s">
        <v>122</v>
      </c>
      <c r="D47" s="81">
        <v>3.2203161099999997</v>
      </c>
      <c r="E47" s="11">
        <v>5.5099999999999927</v>
      </c>
      <c r="F47" s="12" t="s">
        <v>36</v>
      </c>
      <c r="G47" s="12" t="s">
        <v>36</v>
      </c>
      <c r="H47" s="33" t="s">
        <v>36</v>
      </c>
      <c r="I47" s="11" t="s">
        <v>36</v>
      </c>
      <c r="J47" s="33" t="s">
        <v>36</v>
      </c>
      <c r="K47" s="11" t="s">
        <v>36</v>
      </c>
      <c r="L47" s="22" t="s">
        <v>36</v>
      </c>
      <c r="N47" s="93"/>
      <c r="O47" s="93"/>
      <c r="P47" s="93"/>
    </row>
    <row r="48" spans="1:16" s="29" customFormat="1" ht="13.8" x14ac:dyDescent="0.25">
      <c r="A48" s="80" t="s">
        <v>81</v>
      </c>
      <c r="B48" s="49">
        <v>0.24383561643835616</v>
      </c>
      <c r="C48" s="96" t="s">
        <v>38</v>
      </c>
      <c r="D48" s="81">
        <v>2.8627222699999999</v>
      </c>
      <c r="E48" s="11">
        <v>6.5600000000000103</v>
      </c>
      <c r="F48" s="12" t="s">
        <v>36</v>
      </c>
      <c r="G48" s="12" t="s">
        <v>36</v>
      </c>
      <c r="H48" s="33" t="s">
        <v>36</v>
      </c>
      <c r="I48" s="11" t="s">
        <v>36</v>
      </c>
      <c r="J48" s="33" t="s">
        <v>36</v>
      </c>
      <c r="K48" s="11" t="s">
        <v>36</v>
      </c>
      <c r="L48" s="22" t="s">
        <v>36</v>
      </c>
      <c r="N48" s="93"/>
      <c r="O48" s="93"/>
      <c r="P48" s="93"/>
    </row>
    <row r="49" spans="1:16" s="29" customFormat="1" ht="13.8" x14ac:dyDescent="0.25">
      <c r="A49" s="80" t="s">
        <v>91</v>
      </c>
      <c r="B49" s="49">
        <v>0.24383561643835616</v>
      </c>
      <c r="C49" s="96" t="s">
        <v>31</v>
      </c>
      <c r="D49" s="81">
        <v>27.9298770467</v>
      </c>
      <c r="E49" s="11">
        <v>3.0399999999999983</v>
      </c>
      <c r="F49" s="12" t="s">
        <v>36</v>
      </c>
      <c r="G49" s="12" t="s">
        <v>36</v>
      </c>
      <c r="H49" s="33" t="s">
        <v>36</v>
      </c>
      <c r="I49" s="11" t="s">
        <v>36</v>
      </c>
      <c r="J49" s="33" t="s">
        <v>36</v>
      </c>
      <c r="K49" s="11" t="s">
        <v>36</v>
      </c>
      <c r="L49" s="22" t="s">
        <v>36</v>
      </c>
      <c r="N49" s="93"/>
      <c r="O49" s="93"/>
      <c r="P49" s="93"/>
    </row>
    <row r="50" spans="1:16" s="29" customFormat="1" ht="13.8" x14ac:dyDescent="0.25">
      <c r="A50" s="80" t="s">
        <v>90</v>
      </c>
      <c r="B50" s="49">
        <v>0.24383561643835616</v>
      </c>
      <c r="C50" s="96" t="s">
        <v>123</v>
      </c>
      <c r="D50" s="81">
        <v>72.443047598000007</v>
      </c>
      <c r="E50" s="11">
        <v>6.7700000000000093</v>
      </c>
      <c r="F50" s="12" t="s">
        <v>36</v>
      </c>
      <c r="G50" s="12" t="s">
        <v>36</v>
      </c>
      <c r="H50" s="33" t="s">
        <v>36</v>
      </c>
      <c r="I50" s="11" t="s">
        <v>36</v>
      </c>
      <c r="J50" s="33" t="s">
        <v>36</v>
      </c>
      <c r="K50" s="11" t="s">
        <v>36</v>
      </c>
      <c r="L50" s="22" t="s">
        <v>36</v>
      </c>
      <c r="N50" s="93"/>
      <c r="O50" s="93"/>
      <c r="P50" s="93"/>
    </row>
    <row r="51" spans="1:16" s="29" customFormat="1" ht="13.8" x14ac:dyDescent="0.25">
      <c r="A51" s="80" t="s">
        <v>89</v>
      </c>
      <c r="B51" s="49">
        <v>0.24383561643835616</v>
      </c>
      <c r="C51" s="96" t="s">
        <v>38</v>
      </c>
      <c r="D51" s="81">
        <v>95.670200554100006</v>
      </c>
      <c r="E51" s="11">
        <v>10.390000000000011</v>
      </c>
      <c r="F51" s="12" t="s">
        <v>36</v>
      </c>
      <c r="G51" s="12" t="s">
        <v>36</v>
      </c>
      <c r="H51" s="33" t="s">
        <v>36</v>
      </c>
      <c r="I51" s="11" t="s">
        <v>36</v>
      </c>
      <c r="J51" s="33" t="s">
        <v>36</v>
      </c>
      <c r="K51" s="11" t="s">
        <v>36</v>
      </c>
      <c r="L51" s="22" t="s">
        <v>36</v>
      </c>
      <c r="N51" s="93"/>
      <c r="O51" s="93"/>
      <c r="P51" s="93"/>
    </row>
    <row r="52" spans="1:16" s="29" customFormat="1" ht="13.8" x14ac:dyDescent="0.25">
      <c r="A52" s="80" t="s">
        <v>88</v>
      </c>
      <c r="B52" s="49">
        <v>0.24383561643835616</v>
      </c>
      <c r="C52" s="96" t="s">
        <v>38</v>
      </c>
      <c r="D52" s="81">
        <v>101.2353890258</v>
      </c>
      <c r="E52" s="11">
        <v>10.600000000000009</v>
      </c>
      <c r="F52" s="12" t="s">
        <v>36</v>
      </c>
      <c r="G52" s="12" t="s">
        <v>36</v>
      </c>
      <c r="H52" s="33" t="s">
        <v>36</v>
      </c>
      <c r="I52" s="11" t="s">
        <v>36</v>
      </c>
      <c r="J52" s="33" t="s">
        <v>36</v>
      </c>
      <c r="K52" s="11" t="s">
        <v>36</v>
      </c>
      <c r="L52" s="22" t="s">
        <v>36</v>
      </c>
      <c r="N52" s="93"/>
      <c r="O52" s="93"/>
      <c r="P52" s="93"/>
    </row>
    <row r="53" spans="1:16" s="29" customFormat="1" ht="13.8" x14ac:dyDescent="0.25">
      <c r="A53" s="80" t="s">
        <v>87</v>
      </c>
      <c r="B53" s="49">
        <v>0.24383561643835616</v>
      </c>
      <c r="C53" s="96" t="s">
        <v>38</v>
      </c>
      <c r="D53" s="81">
        <v>83.898500086300004</v>
      </c>
      <c r="E53" s="11">
        <v>10.030000000000005</v>
      </c>
      <c r="F53" s="12" t="s">
        <v>36</v>
      </c>
      <c r="G53" s="12" t="s">
        <v>36</v>
      </c>
      <c r="H53" s="33" t="s">
        <v>36</v>
      </c>
      <c r="I53" s="11" t="s">
        <v>36</v>
      </c>
      <c r="J53" s="33" t="s">
        <v>36</v>
      </c>
      <c r="K53" s="11" t="s">
        <v>36</v>
      </c>
      <c r="L53" s="22" t="s">
        <v>36</v>
      </c>
      <c r="N53" s="93"/>
      <c r="O53" s="93"/>
      <c r="P53" s="93"/>
    </row>
    <row r="54" spans="1:16" s="29" customFormat="1" ht="13.8" x14ac:dyDescent="0.25">
      <c r="A54" s="80" t="s">
        <v>86</v>
      </c>
      <c r="B54" s="49">
        <v>0.24383561643835616</v>
      </c>
      <c r="C54" s="96" t="s">
        <v>38</v>
      </c>
      <c r="D54" s="81">
        <v>32.401510479800002</v>
      </c>
      <c r="E54" s="11">
        <v>10.349999999999993</v>
      </c>
      <c r="F54" s="12" t="s">
        <v>36</v>
      </c>
      <c r="G54" s="12" t="s">
        <v>36</v>
      </c>
      <c r="H54" s="33" t="s">
        <v>36</v>
      </c>
      <c r="I54" s="11" t="s">
        <v>36</v>
      </c>
      <c r="J54" s="33" t="s">
        <v>36</v>
      </c>
      <c r="K54" s="11" t="s">
        <v>36</v>
      </c>
      <c r="L54" s="22" t="s">
        <v>36</v>
      </c>
      <c r="N54" s="93"/>
      <c r="O54" s="93"/>
      <c r="P54" s="93"/>
    </row>
    <row r="55" spans="1:16" s="29" customFormat="1" ht="13.8" x14ac:dyDescent="0.25">
      <c r="A55" s="80" t="s">
        <v>85</v>
      </c>
      <c r="B55" s="49">
        <v>0.24383561643835616</v>
      </c>
      <c r="C55" s="96" t="s">
        <v>38</v>
      </c>
      <c r="D55" s="81">
        <v>2.7486668574999999</v>
      </c>
      <c r="E55" s="11">
        <v>10.159999999999991</v>
      </c>
      <c r="F55" s="12" t="s">
        <v>36</v>
      </c>
      <c r="G55" s="12" t="s">
        <v>36</v>
      </c>
      <c r="H55" s="33" t="s">
        <v>36</v>
      </c>
      <c r="I55" s="11" t="s">
        <v>36</v>
      </c>
      <c r="J55" s="33" t="s">
        <v>36</v>
      </c>
      <c r="K55" s="11" t="s">
        <v>36</v>
      </c>
      <c r="L55" s="22" t="s">
        <v>36</v>
      </c>
      <c r="N55" s="93"/>
      <c r="O55" s="93"/>
      <c r="P55" s="93"/>
    </row>
    <row r="56" spans="1:16" s="29" customFormat="1" ht="13.8" x14ac:dyDescent="0.25">
      <c r="A56" s="80" t="s">
        <v>92</v>
      </c>
      <c r="B56" s="49">
        <v>0.24383561643835616</v>
      </c>
      <c r="C56" s="96" t="s">
        <v>124</v>
      </c>
      <c r="D56" s="81">
        <v>1.2743617536</v>
      </c>
      <c r="E56" s="11">
        <v>2.7099999999999902</v>
      </c>
      <c r="F56" s="12" t="s">
        <v>36</v>
      </c>
      <c r="G56" s="12" t="s">
        <v>36</v>
      </c>
      <c r="H56" s="33" t="s">
        <v>36</v>
      </c>
      <c r="I56" s="11" t="s">
        <v>36</v>
      </c>
      <c r="J56" s="33" t="s">
        <v>36</v>
      </c>
      <c r="K56" s="11" t="s">
        <v>36</v>
      </c>
      <c r="L56" s="22" t="s">
        <v>36</v>
      </c>
      <c r="N56" s="93"/>
      <c r="O56" s="93"/>
      <c r="P56" s="93"/>
    </row>
    <row r="57" spans="1:16" s="29" customFormat="1" ht="13.8" x14ac:dyDescent="0.25">
      <c r="A57" s="80" t="s">
        <v>105</v>
      </c>
      <c r="B57" s="49">
        <v>0.24383561643835616</v>
      </c>
      <c r="C57" s="96" t="s">
        <v>118</v>
      </c>
      <c r="D57" s="81">
        <v>0.71358444999999993</v>
      </c>
      <c r="E57" s="11">
        <v>4.0599999999999969</v>
      </c>
      <c r="F57" s="12" t="s">
        <v>36</v>
      </c>
      <c r="G57" s="12" t="s">
        <v>36</v>
      </c>
      <c r="H57" s="33" t="s">
        <v>36</v>
      </c>
      <c r="I57" s="11" t="s">
        <v>36</v>
      </c>
      <c r="J57" s="33" t="s">
        <v>36</v>
      </c>
      <c r="K57" s="11" t="s">
        <v>36</v>
      </c>
      <c r="L57" s="22" t="s">
        <v>36</v>
      </c>
      <c r="N57" s="93"/>
      <c r="O57" s="93"/>
      <c r="P57" s="93"/>
    </row>
    <row r="58" spans="1:16" s="29" customFormat="1" ht="13.8" x14ac:dyDescent="0.25">
      <c r="A58" s="80" t="s">
        <v>104</v>
      </c>
      <c r="B58" s="49">
        <v>0.24383561643835616</v>
      </c>
      <c r="C58" s="96" t="s">
        <v>35</v>
      </c>
      <c r="D58" s="81">
        <v>1.1061298267999999</v>
      </c>
      <c r="E58" s="11">
        <v>6.590000000000007</v>
      </c>
      <c r="F58" s="12" t="s">
        <v>36</v>
      </c>
      <c r="G58" s="12" t="s">
        <v>36</v>
      </c>
      <c r="H58" s="33" t="s">
        <v>36</v>
      </c>
      <c r="I58" s="11" t="s">
        <v>36</v>
      </c>
      <c r="J58" s="33" t="s">
        <v>36</v>
      </c>
      <c r="K58" s="11" t="s">
        <v>36</v>
      </c>
      <c r="L58" s="22" t="s">
        <v>36</v>
      </c>
      <c r="N58" s="93"/>
      <c r="O58" s="93"/>
      <c r="P58" s="93"/>
    </row>
    <row r="59" spans="1:16" s="29" customFormat="1" ht="13.8" x14ac:dyDescent="0.25">
      <c r="A59" s="80" t="s">
        <v>103</v>
      </c>
      <c r="B59" s="49">
        <v>0.24383561643835616</v>
      </c>
      <c r="C59" s="96" t="s">
        <v>38</v>
      </c>
      <c r="D59" s="81">
        <v>1.0429613960999999</v>
      </c>
      <c r="E59" s="11">
        <v>8.9499999999999922</v>
      </c>
      <c r="F59" s="12" t="s">
        <v>36</v>
      </c>
      <c r="G59" s="12" t="s">
        <v>36</v>
      </c>
      <c r="H59" s="33" t="s">
        <v>36</v>
      </c>
      <c r="I59" s="11" t="s">
        <v>36</v>
      </c>
      <c r="J59" s="33" t="s">
        <v>36</v>
      </c>
      <c r="K59" s="11" t="s">
        <v>36</v>
      </c>
      <c r="L59" s="22" t="s">
        <v>36</v>
      </c>
      <c r="N59" s="93"/>
      <c r="O59" s="93"/>
      <c r="P59" s="93"/>
    </row>
    <row r="60" spans="1:16" s="29" customFormat="1" ht="13.8" x14ac:dyDescent="0.25">
      <c r="A60" s="80" t="s">
        <v>102</v>
      </c>
      <c r="B60" s="49">
        <v>0.24383561643835616</v>
      </c>
      <c r="C60" s="96" t="s">
        <v>38</v>
      </c>
      <c r="D60" s="81">
        <v>1.0427635944</v>
      </c>
      <c r="E60" s="11">
        <v>8.4500000000000028</v>
      </c>
      <c r="F60" s="12" t="s">
        <v>36</v>
      </c>
      <c r="G60" s="12" t="s">
        <v>36</v>
      </c>
      <c r="H60" s="33" t="s">
        <v>36</v>
      </c>
      <c r="I60" s="11" t="s">
        <v>36</v>
      </c>
      <c r="J60" s="33" t="s">
        <v>36</v>
      </c>
      <c r="K60" s="11" t="s">
        <v>36</v>
      </c>
      <c r="L60" s="22" t="s">
        <v>36</v>
      </c>
      <c r="N60" s="93"/>
      <c r="O60" s="93"/>
      <c r="P60" s="93"/>
    </row>
    <row r="61" spans="1:16" s="29" customFormat="1" ht="13.8" x14ac:dyDescent="0.25">
      <c r="A61" s="80" t="s">
        <v>101</v>
      </c>
      <c r="B61" s="49">
        <v>0.24383561643835616</v>
      </c>
      <c r="C61" s="96" t="s">
        <v>38</v>
      </c>
      <c r="D61" s="81">
        <v>0.89349125399999996</v>
      </c>
      <c r="E61" s="11">
        <v>8.8200000000000056</v>
      </c>
      <c r="F61" s="12" t="s">
        <v>36</v>
      </c>
      <c r="G61" s="12" t="s">
        <v>36</v>
      </c>
      <c r="H61" s="33" t="s">
        <v>36</v>
      </c>
      <c r="I61" s="11" t="s">
        <v>36</v>
      </c>
      <c r="J61" s="33" t="s">
        <v>36</v>
      </c>
      <c r="K61" s="11" t="s">
        <v>36</v>
      </c>
      <c r="L61" s="22" t="s">
        <v>36</v>
      </c>
      <c r="N61" s="93"/>
      <c r="O61" s="93"/>
      <c r="P61" s="93"/>
    </row>
    <row r="62" spans="1:16" s="29" customFormat="1" ht="13.8" x14ac:dyDescent="0.25">
      <c r="A62" s="80" t="s">
        <v>100</v>
      </c>
      <c r="B62" s="49">
        <v>0.24383561643835616</v>
      </c>
      <c r="C62" s="96" t="s">
        <v>38</v>
      </c>
      <c r="D62" s="81">
        <v>0.37059499290000003</v>
      </c>
      <c r="E62" s="11">
        <v>9.27</v>
      </c>
      <c r="F62" s="12" t="s">
        <v>36</v>
      </c>
      <c r="G62" s="12" t="s">
        <v>36</v>
      </c>
      <c r="H62" s="33" t="s">
        <v>36</v>
      </c>
      <c r="I62" s="11" t="s">
        <v>36</v>
      </c>
      <c r="J62" s="33" t="s">
        <v>36</v>
      </c>
      <c r="K62" s="11" t="s">
        <v>36</v>
      </c>
      <c r="L62" s="22" t="s">
        <v>36</v>
      </c>
      <c r="N62" s="93"/>
      <c r="O62" s="93"/>
      <c r="P62" s="93"/>
    </row>
    <row r="63" spans="1:16" s="29" customFormat="1" ht="13.8" x14ac:dyDescent="0.25">
      <c r="A63" s="80" t="s">
        <v>99</v>
      </c>
      <c r="B63" s="49">
        <v>0.24383561643835616</v>
      </c>
      <c r="C63" s="96" t="s">
        <v>38</v>
      </c>
      <c r="D63" s="81">
        <v>7.6681578099999995E-2</v>
      </c>
      <c r="E63" s="11">
        <v>9.2600000000000016</v>
      </c>
      <c r="F63" s="12" t="s">
        <v>36</v>
      </c>
      <c r="G63" s="12" t="s">
        <v>36</v>
      </c>
      <c r="H63" s="33" t="s">
        <v>36</v>
      </c>
      <c r="I63" s="11" t="s">
        <v>36</v>
      </c>
      <c r="J63" s="33" t="s">
        <v>36</v>
      </c>
      <c r="K63" s="11" t="s">
        <v>36</v>
      </c>
      <c r="L63" s="22" t="s">
        <v>36</v>
      </c>
      <c r="N63" s="93"/>
      <c r="O63" s="93"/>
      <c r="P63" s="93"/>
    </row>
    <row r="64" spans="1:16" s="29" customFormat="1" ht="13.8" x14ac:dyDescent="0.25">
      <c r="A64" s="80" t="s">
        <v>98</v>
      </c>
      <c r="B64" s="49">
        <v>0.24383561643835616</v>
      </c>
      <c r="C64" s="96" t="s">
        <v>125</v>
      </c>
      <c r="D64" s="81">
        <v>0.17092151250000001</v>
      </c>
      <c r="E64" s="11">
        <v>2.8000000000000025</v>
      </c>
      <c r="F64" s="12" t="s">
        <v>36</v>
      </c>
      <c r="G64" s="12" t="s">
        <v>36</v>
      </c>
      <c r="H64" s="33" t="s">
        <v>36</v>
      </c>
      <c r="I64" s="11" t="s">
        <v>36</v>
      </c>
      <c r="J64" s="33" t="s">
        <v>36</v>
      </c>
      <c r="K64" s="11" t="s">
        <v>36</v>
      </c>
      <c r="L64" s="22" t="s">
        <v>36</v>
      </c>
      <c r="N64" s="93"/>
      <c r="O64" s="93"/>
      <c r="P64" s="93"/>
    </row>
    <row r="65" spans="1:16" s="29" customFormat="1" ht="13.8" x14ac:dyDescent="0.25">
      <c r="A65" s="80" t="s">
        <v>69</v>
      </c>
      <c r="B65" s="49">
        <v>0.24383561643835616</v>
      </c>
      <c r="C65" s="96" t="s">
        <v>126</v>
      </c>
      <c r="D65" s="81">
        <v>2.0247233200000001</v>
      </c>
      <c r="E65" s="11">
        <v>5.4100000000000037</v>
      </c>
      <c r="F65" s="12" t="s">
        <v>36</v>
      </c>
      <c r="G65" s="12" t="s">
        <v>36</v>
      </c>
      <c r="H65" s="33" t="s">
        <v>36</v>
      </c>
      <c r="I65" s="11" t="s">
        <v>36</v>
      </c>
      <c r="J65" s="33" t="s">
        <v>36</v>
      </c>
      <c r="K65" s="11" t="s">
        <v>36</v>
      </c>
      <c r="L65" s="22" t="s">
        <v>36</v>
      </c>
      <c r="N65" s="93"/>
      <c r="O65" s="93"/>
      <c r="P65" s="93"/>
    </row>
    <row r="66" spans="1:16" s="29" customFormat="1" ht="13.8" x14ac:dyDescent="0.25">
      <c r="A66" s="80" t="s">
        <v>76</v>
      </c>
      <c r="B66" s="49">
        <v>0.24383561643835616</v>
      </c>
      <c r="C66" s="96" t="s">
        <v>127</v>
      </c>
      <c r="D66" s="81">
        <v>4.7849399100000003</v>
      </c>
      <c r="E66" s="11">
        <v>7.8400000000000025</v>
      </c>
      <c r="F66" s="12" t="s">
        <v>36</v>
      </c>
      <c r="G66" s="12" t="s">
        <v>36</v>
      </c>
      <c r="H66" s="33" t="s">
        <v>36</v>
      </c>
      <c r="I66" s="11" t="s">
        <v>36</v>
      </c>
      <c r="J66" s="33" t="s">
        <v>36</v>
      </c>
      <c r="K66" s="11" t="s">
        <v>36</v>
      </c>
      <c r="L66" s="22" t="s">
        <v>36</v>
      </c>
      <c r="N66" s="93"/>
      <c r="O66" s="93"/>
      <c r="P66" s="93"/>
    </row>
    <row r="67" spans="1:16" s="29" customFormat="1" ht="13.8" x14ac:dyDescent="0.25">
      <c r="A67" s="80" t="s">
        <v>75</v>
      </c>
      <c r="B67" s="49">
        <v>0.24383561643835616</v>
      </c>
      <c r="C67" s="96" t="s">
        <v>38</v>
      </c>
      <c r="D67" s="81">
        <v>5.1048359900000007</v>
      </c>
      <c r="E67" s="11">
        <v>11.470000000000002</v>
      </c>
      <c r="F67" s="12" t="s">
        <v>36</v>
      </c>
      <c r="G67" s="12" t="s">
        <v>36</v>
      </c>
      <c r="H67" s="33" t="s">
        <v>36</v>
      </c>
      <c r="I67" s="11" t="s">
        <v>36</v>
      </c>
      <c r="J67" s="33" t="s">
        <v>36</v>
      </c>
      <c r="K67" s="11" t="s">
        <v>36</v>
      </c>
      <c r="L67" s="22" t="s">
        <v>36</v>
      </c>
      <c r="N67" s="93"/>
      <c r="O67" s="93"/>
      <c r="P67" s="93"/>
    </row>
    <row r="68" spans="1:16" s="29" customFormat="1" ht="13.8" x14ac:dyDescent="0.25">
      <c r="A68" s="80" t="s">
        <v>74</v>
      </c>
      <c r="B68" s="49">
        <v>0.24383561643835616</v>
      </c>
      <c r="C68" s="96" t="s">
        <v>38</v>
      </c>
      <c r="D68" s="81">
        <v>5.0027260599999996</v>
      </c>
      <c r="E68" s="11">
        <v>13.880000000000003</v>
      </c>
      <c r="F68" s="12" t="s">
        <v>36</v>
      </c>
      <c r="G68" s="12" t="s">
        <v>36</v>
      </c>
      <c r="H68" s="33" t="s">
        <v>36</v>
      </c>
      <c r="I68" s="11" t="s">
        <v>36</v>
      </c>
      <c r="J68" s="33" t="s">
        <v>36</v>
      </c>
      <c r="K68" s="11" t="s">
        <v>36</v>
      </c>
      <c r="L68" s="22" t="s">
        <v>36</v>
      </c>
      <c r="N68" s="93"/>
      <c r="O68" s="93"/>
      <c r="P68" s="93"/>
    </row>
    <row r="69" spans="1:16" s="29" customFormat="1" ht="13.8" x14ac:dyDescent="0.25">
      <c r="A69" s="80" t="s">
        <v>73</v>
      </c>
      <c r="B69" s="49">
        <v>0.24383561643835616</v>
      </c>
      <c r="C69" s="96" t="s">
        <v>38</v>
      </c>
      <c r="D69" s="81">
        <v>3.96683012</v>
      </c>
      <c r="E69" s="11">
        <v>11.509999999999998</v>
      </c>
      <c r="F69" s="12" t="s">
        <v>36</v>
      </c>
      <c r="G69" s="12" t="s">
        <v>36</v>
      </c>
      <c r="H69" s="33" t="s">
        <v>36</v>
      </c>
      <c r="I69" s="11" t="s">
        <v>36</v>
      </c>
      <c r="J69" s="33" t="s">
        <v>36</v>
      </c>
      <c r="K69" s="11" t="s">
        <v>36</v>
      </c>
      <c r="L69" s="22" t="s">
        <v>36</v>
      </c>
      <c r="N69" s="93"/>
      <c r="O69" s="93"/>
      <c r="P69" s="93"/>
    </row>
    <row r="70" spans="1:16" s="29" customFormat="1" ht="13.8" x14ac:dyDescent="0.25">
      <c r="A70" s="80" t="s">
        <v>72</v>
      </c>
      <c r="B70" s="49">
        <v>0.24383561643835616</v>
      </c>
      <c r="C70" s="96" t="s">
        <v>38</v>
      </c>
      <c r="D70" s="81">
        <v>1.9151460500000002</v>
      </c>
      <c r="E70" s="11">
        <v>11.589999999999989</v>
      </c>
      <c r="F70" s="12" t="s">
        <v>36</v>
      </c>
      <c r="G70" s="12" t="s">
        <v>36</v>
      </c>
      <c r="H70" s="33" t="s">
        <v>36</v>
      </c>
      <c r="I70" s="11" t="s">
        <v>36</v>
      </c>
      <c r="J70" s="33" t="s">
        <v>36</v>
      </c>
      <c r="K70" s="11" t="s">
        <v>36</v>
      </c>
      <c r="L70" s="22" t="s">
        <v>36</v>
      </c>
      <c r="N70" s="93"/>
      <c r="O70" s="93"/>
      <c r="P70" s="93"/>
    </row>
    <row r="71" spans="1:16" s="29" customFormat="1" ht="13.8" x14ac:dyDescent="0.25">
      <c r="A71" s="80" t="s">
        <v>71</v>
      </c>
      <c r="B71" s="49">
        <v>0.24383561643835616</v>
      </c>
      <c r="C71" s="96" t="s">
        <v>38</v>
      </c>
      <c r="D71" s="81">
        <v>0.45099189000000001</v>
      </c>
      <c r="E71" s="11">
        <v>12.21000000000001</v>
      </c>
      <c r="F71" s="12" t="s">
        <v>36</v>
      </c>
      <c r="G71" s="12" t="s">
        <v>36</v>
      </c>
      <c r="H71" s="33" t="s">
        <v>36</v>
      </c>
      <c r="I71" s="11" t="s">
        <v>36</v>
      </c>
      <c r="J71" s="33" t="s">
        <v>36</v>
      </c>
      <c r="K71" s="11" t="s">
        <v>36</v>
      </c>
      <c r="L71" s="22" t="s">
        <v>36</v>
      </c>
      <c r="N71" s="93"/>
      <c r="O71" s="93"/>
      <c r="P71" s="93"/>
    </row>
    <row r="72" spans="1:16" s="29" customFormat="1" ht="14.4" thickBot="1" x14ac:dyDescent="0.3">
      <c r="A72" s="80" t="s">
        <v>70</v>
      </c>
      <c r="B72" s="49">
        <v>0.24383561643835616</v>
      </c>
      <c r="C72" s="96" t="s">
        <v>31</v>
      </c>
      <c r="D72" s="81">
        <v>0.30408435</v>
      </c>
      <c r="E72" s="11">
        <v>3.2000000000000028</v>
      </c>
      <c r="F72" s="12" t="s">
        <v>36</v>
      </c>
      <c r="G72" s="12" t="s">
        <v>36</v>
      </c>
      <c r="H72" s="33" t="s">
        <v>36</v>
      </c>
      <c r="I72" s="11" t="s">
        <v>36</v>
      </c>
      <c r="J72" s="33" t="s">
        <v>36</v>
      </c>
      <c r="K72" s="11" t="s">
        <v>36</v>
      </c>
      <c r="L72" s="22" t="s">
        <v>36</v>
      </c>
    </row>
    <row r="73" spans="1:16" s="29" customFormat="1" ht="14.4" thickBot="1" x14ac:dyDescent="0.3">
      <c r="A73" s="63" t="s">
        <v>32</v>
      </c>
      <c r="B73" s="64"/>
      <c r="C73" s="64"/>
      <c r="D73" s="64"/>
      <c r="E73" s="18">
        <v>9.3688866636173653</v>
      </c>
      <c r="F73" s="99"/>
      <c r="G73" s="99"/>
      <c r="H73" s="99"/>
      <c r="I73" s="99"/>
      <c r="J73" s="99"/>
      <c r="K73" s="99"/>
      <c r="L73" s="99"/>
      <c r="M73" s="100"/>
      <c r="N73" s="93"/>
      <c r="O73" s="93"/>
      <c r="P73" s="93"/>
    </row>
    <row r="74" spans="1:16" s="29" customFormat="1" ht="14.4" thickBot="1" x14ac:dyDescent="0.3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</row>
    <row r="75" spans="1:16" s="29" customFormat="1" ht="14.4" thickBot="1" x14ac:dyDescent="0.3">
      <c r="A75" s="128" t="s">
        <v>19</v>
      </c>
      <c r="B75" s="129"/>
      <c r="C75" s="102"/>
      <c r="D75" s="103">
        <v>3373.6614841752003</v>
      </c>
      <c r="E75" s="104">
        <v>6.6645613106936983</v>
      </c>
      <c r="F75" s="105">
        <v>3.8402421409401759</v>
      </c>
      <c r="G75" s="105">
        <v>4.1392517135825617</v>
      </c>
      <c r="H75" s="105">
        <v>5.6284456371588547</v>
      </c>
      <c r="I75" s="104">
        <v>5.0174156342336964</v>
      </c>
      <c r="J75" s="106">
        <v>4.8454338921188524</v>
      </c>
      <c r="K75" s="107"/>
      <c r="L75" s="106"/>
    </row>
    <row r="76" spans="1:16" s="29" customFormat="1" ht="13.8" x14ac:dyDescent="0.25">
      <c r="A76" s="27"/>
      <c r="B76" s="27"/>
      <c r="C76" s="27"/>
      <c r="D76" s="28"/>
      <c r="E76" s="27"/>
      <c r="F76" s="27"/>
      <c r="G76" s="27"/>
      <c r="H76" s="27"/>
      <c r="I76" s="27"/>
      <c r="J76" s="27"/>
      <c r="K76" s="27"/>
      <c r="L76" s="27"/>
    </row>
    <row r="77" spans="1:16" s="29" customFormat="1" ht="12.6" x14ac:dyDescent="0.25">
      <c r="A77" s="130" t="s">
        <v>128</v>
      </c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</row>
    <row r="78" spans="1:16" s="29" customFormat="1" ht="12.6" x14ac:dyDescent="0.25">
      <c r="A78" s="131" t="s">
        <v>129</v>
      </c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</row>
    <row r="79" spans="1:16" s="29" customFormat="1" ht="12.6" x14ac:dyDescent="0.25">
      <c r="A79" s="127" t="s">
        <v>40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</row>
    <row r="80" spans="1:16" s="29" customFormat="1" ht="12.6" x14ac:dyDescent="0.25">
      <c r="A80" s="127" t="s">
        <v>18</v>
      </c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</row>
    <row r="81" spans="1:12" s="29" customFormat="1" ht="12.6" x14ac:dyDescent="0.25">
      <c r="A81" s="127" t="s">
        <v>130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</row>
    <row r="82" spans="1:12" s="29" customFormat="1" ht="12.6" x14ac:dyDescent="0.25">
      <c r="A82" s="127" t="s">
        <v>132</v>
      </c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</row>
    <row r="83" spans="1:12" s="29" customFormat="1" ht="13.8" x14ac:dyDescent="0.25">
      <c r="A83" s="29" t="s">
        <v>131</v>
      </c>
      <c r="E83" s="31"/>
      <c r="F83" s="31"/>
      <c r="G83" s="31"/>
      <c r="H83" s="31"/>
      <c r="I83" s="31"/>
      <c r="J83" s="31"/>
      <c r="K83" s="31"/>
      <c r="L83" s="31"/>
    </row>
  </sheetData>
  <mergeCells count="19">
    <mergeCell ref="A81:L81"/>
    <mergeCell ref="A82:L82"/>
    <mergeCell ref="A75:B75"/>
    <mergeCell ref="A77:L77"/>
    <mergeCell ref="A78:L78"/>
    <mergeCell ref="A79:L79"/>
    <mergeCell ref="A80:L80"/>
    <mergeCell ref="A32:L32"/>
    <mergeCell ref="A2:A3"/>
    <mergeCell ref="B2:B3"/>
    <mergeCell ref="C2:C3"/>
    <mergeCell ref="D2:D3"/>
    <mergeCell ref="E2:H2"/>
    <mergeCell ref="I2:J2"/>
    <mergeCell ref="K2:L2"/>
    <mergeCell ref="A4:L4"/>
    <mergeCell ref="A12:L12"/>
    <mergeCell ref="A18:L18"/>
    <mergeCell ref="A26:L26"/>
  </mergeCells>
  <conditionalFormatting sqref="E13:J17 E5:J11 E19:J24 F73:J73 E28:J30 I35:I37 K35:K37 E35:E37 E25:H25 E75:J75">
    <cfRule type="cellIs" dxfId="103" priority="103" operator="greaterThanOrEqual">
      <formula>0</formula>
    </cfRule>
    <cfRule type="cellIs" dxfId="102" priority="104" operator="lessThan">
      <formula>0</formula>
    </cfRule>
  </conditionalFormatting>
  <conditionalFormatting sqref="E27">
    <cfRule type="cellIs" dxfId="101" priority="101" operator="greaterThanOrEqual">
      <formula>0</formula>
    </cfRule>
    <cfRule type="cellIs" dxfId="100" priority="102" operator="lessThan">
      <formula>0</formula>
    </cfRule>
  </conditionalFormatting>
  <conditionalFormatting sqref="F27">
    <cfRule type="cellIs" dxfId="99" priority="99" operator="greaterThanOrEqual">
      <formula>0</formula>
    </cfRule>
    <cfRule type="cellIs" dxfId="98" priority="100" operator="lessThan">
      <formula>0</formula>
    </cfRule>
  </conditionalFormatting>
  <conditionalFormatting sqref="G27">
    <cfRule type="cellIs" dxfId="97" priority="97" operator="greaterThanOrEqual">
      <formula>0</formula>
    </cfRule>
    <cfRule type="cellIs" dxfId="96" priority="98" operator="lessThan">
      <formula>0</formula>
    </cfRule>
  </conditionalFormatting>
  <conditionalFormatting sqref="H27">
    <cfRule type="cellIs" dxfId="95" priority="95" operator="greaterThanOrEqual">
      <formula>0</formula>
    </cfRule>
    <cfRule type="cellIs" dxfId="94" priority="96" operator="lessThan">
      <formula>0</formula>
    </cfRule>
  </conditionalFormatting>
  <conditionalFormatting sqref="I27">
    <cfRule type="cellIs" dxfId="93" priority="93" operator="greaterThanOrEqual">
      <formula>0</formula>
    </cfRule>
    <cfRule type="cellIs" dxfId="92" priority="94" operator="lessThan">
      <formula>0</formula>
    </cfRule>
  </conditionalFormatting>
  <conditionalFormatting sqref="J27">
    <cfRule type="cellIs" dxfId="91" priority="91" operator="greaterThanOrEqual">
      <formula>0</formula>
    </cfRule>
    <cfRule type="cellIs" dxfId="90" priority="92" operator="lessThan">
      <formula>0</formula>
    </cfRule>
  </conditionalFormatting>
  <conditionalFormatting sqref="F37">
    <cfRule type="cellIs" dxfId="89" priority="89" operator="greaterThanOrEqual">
      <formula>0</formula>
    </cfRule>
    <cfRule type="cellIs" dxfId="88" priority="90" operator="lessThan">
      <formula>0</formula>
    </cfRule>
  </conditionalFormatting>
  <conditionalFormatting sqref="H37">
    <cfRule type="cellIs" dxfId="87" priority="87" operator="greaterThanOrEqual">
      <formula>0</formula>
    </cfRule>
    <cfRule type="cellIs" dxfId="86" priority="88" operator="lessThan">
      <formula>0</formula>
    </cfRule>
  </conditionalFormatting>
  <conditionalFormatting sqref="J35">
    <cfRule type="cellIs" dxfId="85" priority="73" operator="greaterThanOrEqual">
      <formula>0</formula>
    </cfRule>
    <cfRule type="cellIs" dxfId="84" priority="74" operator="lessThan">
      <formula>0</formula>
    </cfRule>
  </conditionalFormatting>
  <conditionalFormatting sqref="F36">
    <cfRule type="cellIs" dxfId="83" priority="85" operator="greaterThanOrEqual">
      <formula>0</formula>
    </cfRule>
    <cfRule type="cellIs" dxfId="82" priority="86" operator="lessThan">
      <formula>0</formula>
    </cfRule>
  </conditionalFormatting>
  <conditionalFormatting sqref="J37">
    <cfRule type="cellIs" dxfId="81" priority="77" operator="greaterThanOrEqual">
      <formula>0</formula>
    </cfRule>
    <cfRule type="cellIs" dxfId="80" priority="78" operator="lessThan">
      <formula>0</formula>
    </cfRule>
  </conditionalFormatting>
  <conditionalFormatting sqref="H36">
    <cfRule type="cellIs" dxfId="79" priority="83" operator="greaterThanOrEqual">
      <formula>0</formula>
    </cfRule>
    <cfRule type="cellIs" dxfId="78" priority="84" operator="lessThan">
      <formula>0</formula>
    </cfRule>
  </conditionalFormatting>
  <conditionalFormatting sqref="F35">
    <cfRule type="cellIs" dxfId="77" priority="81" operator="greaterThanOrEqual">
      <formula>0</formula>
    </cfRule>
    <cfRule type="cellIs" dxfId="76" priority="82" operator="lessThan">
      <formula>0</formula>
    </cfRule>
  </conditionalFormatting>
  <conditionalFormatting sqref="H35">
    <cfRule type="cellIs" dxfId="75" priority="79" operator="greaterThanOrEqual">
      <formula>0</formula>
    </cfRule>
    <cfRule type="cellIs" dxfId="74" priority="80" operator="lessThan">
      <formula>0</formula>
    </cfRule>
  </conditionalFormatting>
  <conditionalFormatting sqref="E73">
    <cfRule type="cellIs" dxfId="73" priority="59" operator="greaterThanOrEqual">
      <formula>0</formula>
    </cfRule>
    <cfRule type="cellIs" dxfId="72" priority="60" operator="lessThan">
      <formula>0</formula>
    </cfRule>
  </conditionalFormatting>
  <conditionalFormatting sqref="J36">
    <cfRule type="cellIs" dxfId="71" priority="75" operator="greaterThanOrEqual">
      <formula>0</formula>
    </cfRule>
    <cfRule type="cellIs" dxfId="70" priority="76" operator="lessThan">
      <formula>0</formula>
    </cfRule>
  </conditionalFormatting>
  <conditionalFormatting sqref="L37">
    <cfRule type="cellIs" dxfId="69" priority="71" operator="greaterThanOrEqual">
      <formula>0</formula>
    </cfRule>
    <cfRule type="cellIs" dxfId="68" priority="72" operator="lessThan">
      <formula>0</formula>
    </cfRule>
  </conditionalFormatting>
  <conditionalFormatting sqref="L36">
    <cfRule type="cellIs" dxfId="67" priority="69" operator="greaterThanOrEqual">
      <formula>0</formula>
    </cfRule>
    <cfRule type="cellIs" dxfId="66" priority="70" operator="lessThan">
      <formula>0</formula>
    </cfRule>
  </conditionalFormatting>
  <conditionalFormatting sqref="L35">
    <cfRule type="cellIs" dxfId="65" priority="67" operator="greaterThanOrEqual">
      <formula>0</formula>
    </cfRule>
    <cfRule type="cellIs" dxfId="64" priority="68" operator="lessThan">
      <formula>0</formula>
    </cfRule>
  </conditionalFormatting>
  <conditionalFormatting sqref="I25:J25">
    <cfRule type="cellIs" dxfId="63" priority="61" operator="greaterThanOrEqual">
      <formula>0</formula>
    </cfRule>
    <cfRule type="cellIs" dxfId="62" priority="62" operator="lessThan">
      <formula>0</formula>
    </cfRule>
  </conditionalFormatting>
  <conditionalFormatting sqref="I33">
    <cfRule type="cellIs" dxfId="61" priority="49" operator="greaterThanOrEqual">
      <formula>0</formula>
    </cfRule>
    <cfRule type="cellIs" dxfId="60" priority="50" operator="lessThan">
      <formula>0</formula>
    </cfRule>
  </conditionalFormatting>
  <conditionalFormatting sqref="E34:F34 H34:J34">
    <cfRule type="cellIs" dxfId="59" priority="57" operator="greaterThanOrEqual">
      <formula>0</formula>
    </cfRule>
    <cfRule type="cellIs" dxfId="58" priority="58" operator="lessThan">
      <formula>0</formula>
    </cfRule>
  </conditionalFormatting>
  <conditionalFormatting sqref="E33">
    <cfRule type="cellIs" dxfId="57" priority="55" operator="greaterThanOrEqual">
      <formula>0</formula>
    </cfRule>
    <cfRule type="cellIs" dxfId="56" priority="56" operator="lessThan">
      <formula>0</formula>
    </cfRule>
  </conditionalFormatting>
  <conditionalFormatting sqref="E31:H31">
    <cfRule type="cellIs" dxfId="55" priority="65" operator="greaterThanOrEqual">
      <formula>0</formula>
    </cfRule>
    <cfRule type="cellIs" dxfId="54" priority="66" operator="lessThan">
      <formula>0</formula>
    </cfRule>
  </conditionalFormatting>
  <conditionalFormatting sqref="I31:J31">
    <cfRule type="cellIs" dxfId="53" priority="63" operator="greaterThanOrEqual">
      <formula>0</formula>
    </cfRule>
    <cfRule type="cellIs" dxfId="52" priority="64" operator="lessThan">
      <formula>0</formula>
    </cfRule>
  </conditionalFormatting>
  <conditionalFormatting sqref="F33">
    <cfRule type="cellIs" dxfId="51" priority="53" operator="greaterThanOrEqual">
      <formula>0</formula>
    </cfRule>
    <cfRule type="cellIs" dxfId="50" priority="54" operator="lessThan">
      <formula>0</formula>
    </cfRule>
  </conditionalFormatting>
  <conditionalFormatting sqref="L38">
    <cfRule type="cellIs" dxfId="49" priority="37" operator="greaterThanOrEqual">
      <formula>0</formula>
    </cfRule>
    <cfRule type="cellIs" dxfId="48" priority="38" operator="lessThan">
      <formula>0</formula>
    </cfRule>
  </conditionalFormatting>
  <conditionalFormatting sqref="H33">
    <cfRule type="cellIs" dxfId="47" priority="51" operator="greaterThanOrEqual">
      <formula>0</formula>
    </cfRule>
    <cfRule type="cellIs" dxfId="46" priority="52" operator="lessThan">
      <formula>0</formula>
    </cfRule>
  </conditionalFormatting>
  <conditionalFormatting sqref="J33">
    <cfRule type="cellIs" dxfId="45" priority="47" operator="greaterThanOrEqual">
      <formula>0</formula>
    </cfRule>
    <cfRule type="cellIs" dxfId="44" priority="48" operator="lessThan">
      <formula>0</formula>
    </cfRule>
  </conditionalFormatting>
  <conditionalFormatting sqref="I38 K38 E38">
    <cfRule type="cellIs" dxfId="43" priority="45" operator="greaterThanOrEqual">
      <formula>0</formula>
    </cfRule>
    <cfRule type="cellIs" dxfId="42" priority="46" operator="lessThan">
      <formula>0</formula>
    </cfRule>
  </conditionalFormatting>
  <conditionalFormatting sqref="F38">
    <cfRule type="cellIs" dxfId="41" priority="43" operator="greaterThanOrEqual">
      <formula>0</formula>
    </cfRule>
    <cfRule type="cellIs" dxfId="40" priority="44" operator="lessThan">
      <formula>0</formula>
    </cfRule>
  </conditionalFormatting>
  <conditionalFormatting sqref="L72">
    <cfRule type="cellIs" dxfId="39" priority="27" operator="greaterThanOrEqual">
      <formula>0</formula>
    </cfRule>
    <cfRule type="cellIs" dxfId="38" priority="28" operator="lessThan">
      <formula>0</formula>
    </cfRule>
  </conditionalFormatting>
  <conditionalFormatting sqref="H38">
    <cfRule type="cellIs" dxfId="37" priority="41" operator="greaterThanOrEqual">
      <formula>0</formula>
    </cfRule>
    <cfRule type="cellIs" dxfId="36" priority="42" operator="lessThan">
      <formula>0</formula>
    </cfRule>
  </conditionalFormatting>
  <conditionalFormatting sqref="J38">
    <cfRule type="cellIs" dxfId="35" priority="39" operator="greaterThanOrEqual">
      <formula>0</formula>
    </cfRule>
    <cfRule type="cellIs" dxfId="34" priority="40" operator="lessThan">
      <formula>0</formula>
    </cfRule>
  </conditionalFormatting>
  <conditionalFormatting sqref="E72 K72 I72">
    <cfRule type="cellIs" dxfId="33" priority="35" operator="greaterThanOrEqual">
      <formula>0</formula>
    </cfRule>
    <cfRule type="cellIs" dxfId="32" priority="36" operator="lessThan">
      <formula>0</formula>
    </cfRule>
  </conditionalFormatting>
  <conditionalFormatting sqref="F72">
    <cfRule type="cellIs" dxfId="31" priority="33" operator="greaterThanOrEqual">
      <formula>0</formula>
    </cfRule>
    <cfRule type="cellIs" dxfId="30" priority="34" operator="lessThan">
      <formula>0</formula>
    </cfRule>
  </conditionalFormatting>
  <conditionalFormatting sqref="H72">
    <cfRule type="cellIs" dxfId="29" priority="31" operator="greaterThanOrEqual">
      <formula>0</formula>
    </cfRule>
    <cfRule type="cellIs" dxfId="28" priority="32" operator="lessThan">
      <formula>0</formula>
    </cfRule>
  </conditionalFormatting>
  <conditionalFormatting sqref="J72">
    <cfRule type="cellIs" dxfId="27" priority="29" operator="greaterThanOrEqual">
      <formula>0</formula>
    </cfRule>
    <cfRule type="cellIs" dxfId="26" priority="30" operator="lessThan">
      <formula>0</formula>
    </cfRule>
  </conditionalFormatting>
  <conditionalFormatting sqref="I39:I71 K39:K71 E39:E71">
    <cfRule type="cellIs" dxfId="25" priority="25" operator="greaterThanOrEqual">
      <formula>0</formula>
    </cfRule>
    <cfRule type="cellIs" dxfId="24" priority="26" operator="lessThan">
      <formula>0</formula>
    </cfRule>
  </conditionalFormatting>
  <conditionalFormatting sqref="F39:F71">
    <cfRule type="cellIs" dxfId="23" priority="23" operator="greaterThanOrEqual">
      <formula>0</formula>
    </cfRule>
    <cfRule type="cellIs" dxfId="22" priority="24" operator="lessThan">
      <formula>0</formula>
    </cfRule>
  </conditionalFormatting>
  <conditionalFormatting sqref="G34">
    <cfRule type="cellIs" dxfId="21" priority="9" operator="greaterThanOrEqual">
      <formula>0</formula>
    </cfRule>
    <cfRule type="cellIs" dxfId="20" priority="10" operator="lessThan">
      <formula>0</formula>
    </cfRule>
  </conditionalFormatting>
  <conditionalFormatting sqref="H39:H71">
    <cfRule type="cellIs" dxfId="19" priority="21" operator="greaterThanOrEqual">
      <formula>0</formula>
    </cfRule>
    <cfRule type="cellIs" dxfId="18" priority="22" operator="lessThan">
      <formula>0</formula>
    </cfRule>
  </conditionalFormatting>
  <conditionalFormatting sqref="J39:J71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L39:L71">
    <cfRule type="cellIs" dxfId="15" priority="17" operator="greaterThanOrEqual">
      <formula>0</formula>
    </cfRule>
    <cfRule type="cellIs" dxfId="14" priority="18" operator="lessThan">
      <formula>0</formula>
    </cfRule>
  </conditionalFormatting>
  <conditionalFormatting sqref="G37">
    <cfRule type="cellIs" dxfId="13" priority="15" operator="greaterThanOrEqual">
      <formula>0</formula>
    </cfRule>
    <cfRule type="cellIs" dxfId="12" priority="16" operator="lessThan">
      <formula>0</formula>
    </cfRule>
  </conditionalFormatting>
  <conditionalFormatting sqref="G36">
    <cfRule type="cellIs" dxfId="11" priority="13" operator="greaterThanOrEqual">
      <formula>0</formula>
    </cfRule>
    <cfRule type="cellIs" dxfId="10" priority="14" operator="lessThan">
      <formula>0</formula>
    </cfRule>
  </conditionalFormatting>
  <conditionalFormatting sqref="G35">
    <cfRule type="cellIs" dxfId="9" priority="11" operator="greaterThanOrEqual">
      <formula>0</formula>
    </cfRule>
    <cfRule type="cellIs" dxfId="8" priority="12" operator="lessThan">
      <formula>0</formula>
    </cfRule>
  </conditionalFormatting>
  <conditionalFormatting sqref="G33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G38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G72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G39:G71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5"/>
  <sheetViews>
    <sheetView topLeftCell="A106" zoomScale="80" zoomScaleNormal="80" workbookViewId="0">
      <selection activeCell="B131" sqref="B131:B135"/>
    </sheetView>
  </sheetViews>
  <sheetFormatPr defaultRowHeight="13.2" x14ac:dyDescent="0.25"/>
  <cols>
    <col min="1" max="1" width="69.5546875" bestFit="1" customWidth="1"/>
    <col min="2" max="2" width="21.44140625" bestFit="1" customWidth="1"/>
    <col min="3" max="3" width="10.33203125" bestFit="1" customWidth="1"/>
    <col min="4" max="4" width="14" bestFit="1" customWidth="1"/>
    <col min="5" max="5" width="9.109375" bestFit="1" customWidth="1"/>
    <col min="8" max="8" width="13.5546875" customWidth="1"/>
    <col min="9" max="9" width="12" bestFit="1" customWidth="1"/>
    <col min="11" max="11" width="12" bestFit="1" customWidth="1"/>
    <col min="12" max="12" width="13.6640625" customWidth="1"/>
    <col min="13" max="14" width="12" bestFit="1" customWidth="1"/>
  </cols>
  <sheetData>
    <row r="2" spans="1:2" ht="15.6" x14ac:dyDescent="0.25">
      <c r="A2" s="51" t="s">
        <v>21</v>
      </c>
      <c r="B2" s="51" t="s">
        <v>25</v>
      </c>
    </row>
    <row r="3" spans="1:2" ht="13.8" x14ac:dyDescent="0.25">
      <c r="A3" s="52" t="s">
        <v>1</v>
      </c>
      <c r="B3" s="58">
        <v>178895</v>
      </c>
    </row>
    <row r="4" spans="1:2" ht="13.8" x14ac:dyDescent="0.25">
      <c r="A4" s="52" t="s">
        <v>4</v>
      </c>
      <c r="B4" s="58">
        <v>29354</v>
      </c>
    </row>
    <row r="5" spans="1:2" ht="13.8" x14ac:dyDescent="0.25">
      <c r="A5" s="52" t="s">
        <v>68</v>
      </c>
      <c r="B5" s="58">
        <v>7474</v>
      </c>
    </row>
    <row r="6" spans="1:2" ht="13.8" x14ac:dyDescent="0.25">
      <c r="A6" s="52" t="s">
        <v>2</v>
      </c>
      <c r="B6" s="58">
        <v>77080</v>
      </c>
    </row>
    <row r="7" spans="1:2" ht="13.8" x14ac:dyDescent="0.25">
      <c r="A7" s="52" t="s">
        <v>69</v>
      </c>
      <c r="B7" s="58">
        <v>639</v>
      </c>
    </row>
    <row r="8" spans="1:2" ht="13.8" x14ac:dyDescent="0.25">
      <c r="A8" s="52" t="s">
        <v>70</v>
      </c>
      <c r="B8" s="58">
        <v>52</v>
      </c>
    </row>
    <row r="9" spans="1:2" ht="13.8" x14ac:dyDescent="0.25">
      <c r="A9" s="52" t="s">
        <v>71</v>
      </c>
      <c r="B9" s="58">
        <v>817</v>
      </c>
    </row>
    <row r="10" spans="1:2" ht="13.8" x14ac:dyDescent="0.25">
      <c r="A10" s="52" t="s">
        <v>72</v>
      </c>
      <c r="B10" s="58">
        <v>2156</v>
      </c>
    </row>
    <row r="11" spans="1:2" ht="13.8" x14ac:dyDescent="0.25">
      <c r="A11" s="52" t="s">
        <v>73</v>
      </c>
      <c r="B11" s="58">
        <v>2451</v>
      </c>
    </row>
    <row r="12" spans="1:2" ht="13.8" x14ac:dyDescent="0.25">
      <c r="A12" s="52" t="s">
        <v>74</v>
      </c>
      <c r="B12" s="58">
        <v>1847</v>
      </c>
    </row>
    <row r="13" spans="1:2" ht="13.8" x14ac:dyDescent="0.25">
      <c r="A13" s="52" t="s">
        <v>75</v>
      </c>
      <c r="B13" s="58">
        <v>1694</v>
      </c>
    </row>
    <row r="14" spans="1:2" ht="13.8" x14ac:dyDescent="0.25">
      <c r="A14" s="52" t="s">
        <v>76</v>
      </c>
      <c r="B14" s="58">
        <v>1567</v>
      </c>
    </row>
    <row r="15" spans="1:2" ht="13.8" x14ac:dyDescent="0.25">
      <c r="A15" s="52" t="s">
        <v>77</v>
      </c>
      <c r="B15" s="58">
        <v>148</v>
      </c>
    </row>
    <row r="16" spans="1:2" ht="13.8" x14ac:dyDescent="0.25">
      <c r="A16" s="52" t="s">
        <v>78</v>
      </c>
      <c r="B16" s="58">
        <v>611</v>
      </c>
    </row>
    <row r="17" spans="1:5" ht="13.8" x14ac:dyDescent="0.25">
      <c r="A17" s="52" t="s">
        <v>79</v>
      </c>
      <c r="B17" s="58">
        <v>1160</v>
      </c>
    </row>
    <row r="18" spans="1:5" ht="13.8" x14ac:dyDescent="0.25">
      <c r="A18" s="52" t="s">
        <v>80</v>
      </c>
      <c r="B18" s="58">
        <v>1546</v>
      </c>
    </row>
    <row r="19" spans="1:5" ht="13.8" x14ac:dyDescent="0.25">
      <c r="A19" s="52" t="s">
        <v>81</v>
      </c>
      <c r="B19" s="58">
        <v>1408</v>
      </c>
    </row>
    <row r="20" spans="1:5" ht="13.8" x14ac:dyDescent="0.25">
      <c r="A20" s="52" t="s">
        <v>82</v>
      </c>
      <c r="B20" s="58">
        <v>1382</v>
      </c>
    </row>
    <row r="21" spans="1:5" ht="13.8" x14ac:dyDescent="0.25">
      <c r="A21" s="52" t="s">
        <v>83</v>
      </c>
      <c r="B21" s="58">
        <v>1275</v>
      </c>
    </row>
    <row r="22" spans="1:5" ht="13.8" x14ac:dyDescent="0.25">
      <c r="A22" s="52" t="s">
        <v>84</v>
      </c>
      <c r="B22" s="58">
        <v>612</v>
      </c>
    </row>
    <row r="23" spans="1:5" ht="13.8" x14ac:dyDescent="0.25">
      <c r="A23" s="52" t="s">
        <v>46</v>
      </c>
      <c r="B23" s="58">
        <v>62390</v>
      </c>
    </row>
    <row r="24" spans="1:5" ht="13.8" x14ac:dyDescent="0.25">
      <c r="A24" s="52" t="s">
        <v>42</v>
      </c>
      <c r="B24" s="58">
        <v>133137</v>
      </c>
    </row>
    <row r="25" spans="1:5" ht="13.8" x14ac:dyDescent="0.25">
      <c r="A25" s="52" t="s">
        <v>47</v>
      </c>
      <c r="B25" s="58">
        <v>20156</v>
      </c>
    </row>
    <row r="26" spans="1:5" ht="13.8" x14ac:dyDescent="0.25">
      <c r="A26" s="52" t="s">
        <v>85</v>
      </c>
      <c r="B26" s="58">
        <v>4946</v>
      </c>
      <c r="E26" s="61"/>
    </row>
    <row r="27" spans="1:5" ht="13.8" x14ac:dyDescent="0.25">
      <c r="A27" s="52" t="s">
        <v>86</v>
      </c>
      <c r="B27" s="58">
        <v>24992</v>
      </c>
      <c r="D27" s="61"/>
    </row>
    <row r="28" spans="1:5" ht="13.8" x14ac:dyDescent="0.25">
      <c r="A28" s="52" t="s">
        <v>87</v>
      </c>
      <c r="B28" s="58">
        <v>36344</v>
      </c>
      <c r="D28" s="61"/>
      <c r="E28" s="61"/>
    </row>
    <row r="29" spans="1:5" ht="12.75" customHeight="1" x14ac:dyDescent="0.25">
      <c r="A29" s="52" t="s">
        <v>88</v>
      </c>
      <c r="B29" s="58">
        <v>23944</v>
      </c>
      <c r="D29" s="61"/>
    </row>
    <row r="30" spans="1:5" ht="12.6" customHeight="1" x14ac:dyDescent="0.25">
      <c r="A30" s="52" t="s">
        <v>89</v>
      </c>
      <c r="B30" s="58">
        <v>21688</v>
      </c>
      <c r="D30" s="61"/>
    </row>
    <row r="31" spans="1:5" ht="13.8" x14ac:dyDescent="0.25">
      <c r="A31" s="52" t="s">
        <v>90</v>
      </c>
      <c r="B31" s="58">
        <v>17798</v>
      </c>
    </row>
    <row r="32" spans="1:5" ht="13.8" x14ac:dyDescent="0.25">
      <c r="A32" s="52" t="s">
        <v>91</v>
      </c>
      <c r="B32" s="58">
        <v>7200</v>
      </c>
    </row>
    <row r="33" spans="1:2" ht="13.8" x14ac:dyDescent="0.25">
      <c r="A33" s="52" t="s">
        <v>92</v>
      </c>
      <c r="B33" s="58">
        <v>372</v>
      </c>
    </row>
    <row r="34" spans="1:2" ht="13.8" x14ac:dyDescent="0.25">
      <c r="A34" s="52" t="s">
        <v>58</v>
      </c>
      <c r="B34" s="58">
        <v>13185</v>
      </c>
    </row>
    <row r="35" spans="1:2" ht="13.8" x14ac:dyDescent="0.25">
      <c r="A35" s="52" t="s">
        <v>59</v>
      </c>
      <c r="B35" s="58">
        <v>10715</v>
      </c>
    </row>
    <row r="36" spans="1:2" ht="13.8" x14ac:dyDescent="0.25">
      <c r="A36" s="52" t="s">
        <v>45</v>
      </c>
      <c r="B36" s="58">
        <v>96169</v>
      </c>
    </row>
    <row r="37" spans="1:2" ht="13.8" x14ac:dyDescent="0.25">
      <c r="A37" s="52" t="s">
        <v>43</v>
      </c>
      <c r="B37" s="58">
        <v>104641</v>
      </c>
    </row>
    <row r="38" spans="1:2" ht="13.8" x14ac:dyDescent="0.25">
      <c r="A38" s="52" t="s">
        <v>41</v>
      </c>
      <c r="B38" s="58">
        <v>154677</v>
      </c>
    </row>
    <row r="39" spans="1:2" ht="13.8" x14ac:dyDescent="0.25">
      <c r="A39" s="52" t="s">
        <v>44</v>
      </c>
      <c r="B39" s="58">
        <v>91527</v>
      </c>
    </row>
    <row r="40" spans="1:2" ht="13.8" x14ac:dyDescent="0.25">
      <c r="A40" s="52" t="s">
        <v>49</v>
      </c>
      <c r="B40" s="58">
        <v>2094</v>
      </c>
    </row>
    <row r="41" spans="1:2" ht="13.8" x14ac:dyDescent="0.25">
      <c r="A41" s="52" t="s">
        <v>93</v>
      </c>
      <c r="B41" s="58">
        <v>127</v>
      </c>
    </row>
    <row r="42" spans="1:2" ht="13.8" x14ac:dyDescent="0.25">
      <c r="A42" s="52" t="s">
        <v>48</v>
      </c>
      <c r="B42" s="58">
        <v>16550</v>
      </c>
    </row>
    <row r="43" spans="1:2" ht="13.8" x14ac:dyDescent="0.25">
      <c r="A43" s="52" t="s">
        <v>94</v>
      </c>
      <c r="B43" s="58">
        <v>8748</v>
      </c>
    </row>
    <row r="44" spans="1:2" ht="13.8" x14ac:dyDescent="0.25">
      <c r="A44" s="52" t="s">
        <v>95</v>
      </c>
      <c r="B44" s="58">
        <v>9281</v>
      </c>
    </row>
    <row r="45" spans="1:2" ht="13.8" x14ac:dyDescent="0.25">
      <c r="A45" s="52" t="s">
        <v>96</v>
      </c>
      <c r="B45" s="58">
        <v>9487</v>
      </c>
    </row>
    <row r="46" spans="1:2" ht="13.8" x14ac:dyDescent="0.25">
      <c r="A46" s="52" t="s">
        <v>97</v>
      </c>
      <c r="B46" s="58">
        <v>1281</v>
      </c>
    </row>
    <row r="47" spans="1:2" ht="13.8" x14ac:dyDescent="0.25">
      <c r="A47" s="52" t="s">
        <v>98</v>
      </c>
      <c r="B47" s="58">
        <v>38</v>
      </c>
    </row>
    <row r="48" spans="1:2" ht="13.8" x14ac:dyDescent="0.25">
      <c r="A48" s="52" t="s">
        <v>99</v>
      </c>
      <c r="B48" s="58">
        <v>229</v>
      </c>
    </row>
    <row r="49" spans="1:3" ht="13.8" x14ac:dyDescent="0.25">
      <c r="A49" s="52" t="s">
        <v>100</v>
      </c>
      <c r="B49" s="58">
        <v>441</v>
      </c>
    </row>
    <row r="50" spans="1:3" ht="13.8" x14ac:dyDescent="0.25">
      <c r="A50" s="52" t="s">
        <v>101</v>
      </c>
      <c r="B50" s="58">
        <v>485</v>
      </c>
    </row>
    <row r="51" spans="1:3" ht="13.8" x14ac:dyDescent="0.25">
      <c r="A51" s="52" t="s">
        <v>102</v>
      </c>
      <c r="B51" s="58">
        <v>353</v>
      </c>
    </row>
    <row r="52" spans="1:3" ht="13.8" x14ac:dyDescent="0.25">
      <c r="A52" s="52" t="s">
        <v>103</v>
      </c>
      <c r="B52" s="58">
        <v>351</v>
      </c>
    </row>
    <row r="53" spans="1:3" ht="13.8" x14ac:dyDescent="0.25">
      <c r="A53" s="52" t="s">
        <v>104</v>
      </c>
      <c r="B53" s="58">
        <v>293</v>
      </c>
    </row>
    <row r="54" spans="1:3" ht="13.8" x14ac:dyDescent="0.25">
      <c r="A54" s="52" t="s">
        <v>105</v>
      </c>
      <c r="B54" s="58">
        <v>199</v>
      </c>
    </row>
    <row r="55" spans="1:3" ht="13.8" x14ac:dyDescent="0.25">
      <c r="A55" s="52" t="s">
        <v>57</v>
      </c>
      <c r="B55" s="58">
        <v>3899</v>
      </c>
    </row>
    <row r="56" spans="1:3" ht="13.8" x14ac:dyDescent="0.25">
      <c r="A56" s="52" t="s">
        <v>56</v>
      </c>
      <c r="B56" s="58">
        <v>67574</v>
      </c>
    </row>
    <row r="57" spans="1:3" ht="13.8" x14ac:dyDescent="0.25">
      <c r="A57" s="52" t="s">
        <v>55</v>
      </c>
      <c r="B57" s="58">
        <v>41117</v>
      </c>
    </row>
    <row r="58" spans="1:3" ht="13.8" x14ac:dyDescent="0.25">
      <c r="A58" s="52" t="s">
        <v>54</v>
      </c>
      <c r="B58" s="58">
        <v>11457</v>
      </c>
    </row>
    <row r="59" spans="1:3" ht="13.8" x14ac:dyDescent="0.25">
      <c r="A59" s="132" t="s">
        <v>133</v>
      </c>
      <c r="B59" s="133">
        <v>1310053</v>
      </c>
    </row>
    <row r="60" spans="1:3" x14ac:dyDescent="0.25">
      <c r="B60" s="85"/>
    </row>
    <row r="62" spans="1:3" ht="15.6" x14ac:dyDescent="0.25">
      <c r="A62" s="51" t="s">
        <v>22</v>
      </c>
      <c r="B62" s="51" t="s">
        <v>25</v>
      </c>
      <c r="C62" s="86"/>
    </row>
    <row r="63" spans="1:3" ht="13.8" x14ac:dyDescent="0.25">
      <c r="A63" s="52" t="s">
        <v>50</v>
      </c>
      <c r="B63" s="59">
        <v>525956</v>
      </c>
      <c r="C63" s="86"/>
    </row>
    <row r="64" spans="1:3" ht="13.8" x14ac:dyDescent="0.25">
      <c r="A64" s="52" t="s">
        <v>67</v>
      </c>
      <c r="B64" s="59">
        <v>126436</v>
      </c>
      <c r="C64" s="86"/>
    </row>
    <row r="65" spans="1:3" ht="13.8" x14ac:dyDescent="0.25">
      <c r="A65" s="52" t="s">
        <v>53</v>
      </c>
      <c r="B65" s="59">
        <v>137284</v>
      </c>
      <c r="C65" s="86"/>
    </row>
    <row r="66" spans="1:3" ht="13.8" x14ac:dyDescent="0.25">
      <c r="A66" s="52" t="s">
        <v>51</v>
      </c>
      <c r="B66" s="59">
        <v>296552</v>
      </c>
      <c r="C66" s="86"/>
    </row>
    <row r="67" spans="1:3" ht="13.8" x14ac:dyDescent="0.25">
      <c r="A67" s="52" t="s">
        <v>52</v>
      </c>
      <c r="B67" s="59">
        <v>223825</v>
      </c>
      <c r="C67" s="57"/>
    </row>
    <row r="68" spans="1:3" ht="13.8" x14ac:dyDescent="0.25">
      <c r="A68" s="53"/>
      <c r="C68" s="57"/>
    </row>
    <row r="69" spans="1:3" x14ac:dyDescent="0.25">
      <c r="C69" s="57"/>
    </row>
    <row r="70" spans="1:3" ht="15.6" x14ac:dyDescent="0.25">
      <c r="A70" s="51" t="s">
        <v>21</v>
      </c>
      <c r="B70" s="51" t="s">
        <v>23</v>
      </c>
      <c r="C70" s="57"/>
    </row>
    <row r="71" spans="1:3" ht="13.8" x14ac:dyDescent="0.25">
      <c r="A71" s="52" t="s">
        <v>6</v>
      </c>
      <c r="B71" s="60">
        <v>56614282.770000003</v>
      </c>
    </row>
    <row r="72" spans="1:3" ht="13.8" x14ac:dyDescent="0.25">
      <c r="A72" s="52" t="s">
        <v>5</v>
      </c>
      <c r="B72" s="60">
        <v>9309926.0099999998</v>
      </c>
    </row>
    <row r="73" spans="1:3" ht="13.8" x14ac:dyDescent="0.25">
      <c r="A73" s="52" t="s">
        <v>54</v>
      </c>
      <c r="B73" s="60">
        <v>29527809.8464</v>
      </c>
    </row>
    <row r="74" spans="1:3" ht="13.8" x14ac:dyDescent="0.25">
      <c r="A74" s="52" t="s">
        <v>4</v>
      </c>
      <c r="B74" s="60">
        <v>83973606.310000002</v>
      </c>
    </row>
    <row r="75" spans="1:3" ht="13.8" x14ac:dyDescent="0.25">
      <c r="A75" s="52" t="s">
        <v>28</v>
      </c>
      <c r="B75" s="60">
        <v>38873178.710000001</v>
      </c>
    </row>
    <row r="76" spans="1:3" ht="13.8" x14ac:dyDescent="0.25">
      <c r="A76" s="52" t="s">
        <v>7</v>
      </c>
      <c r="B76" s="60">
        <v>327624062.02999997</v>
      </c>
    </row>
    <row r="77" spans="1:3" ht="13.8" x14ac:dyDescent="0.25">
      <c r="A77" s="52" t="s">
        <v>55</v>
      </c>
      <c r="B77" s="60">
        <v>116028394.24609999</v>
      </c>
    </row>
    <row r="78" spans="1:3" ht="13.8" x14ac:dyDescent="0.25">
      <c r="A78" s="52" t="s">
        <v>8</v>
      </c>
      <c r="B78" s="60">
        <v>267894849.47</v>
      </c>
    </row>
    <row r="79" spans="1:3" ht="13.8" x14ac:dyDescent="0.25">
      <c r="A79" s="52" t="s">
        <v>11</v>
      </c>
      <c r="B79" s="60">
        <v>108359695.3</v>
      </c>
    </row>
    <row r="80" spans="1:3" ht="13.8" x14ac:dyDescent="0.25">
      <c r="A80" s="52" t="s">
        <v>56</v>
      </c>
      <c r="B80" s="60">
        <v>171256768.6191</v>
      </c>
    </row>
    <row r="81" spans="1:2" ht="13.8" x14ac:dyDescent="0.25">
      <c r="A81" s="52" t="s">
        <v>1</v>
      </c>
      <c r="B81" s="60">
        <v>578676888.49000001</v>
      </c>
    </row>
    <row r="82" spans="1:2" ht="13.8" x14ac:dyDescent="0.25">
      <c r="A82" s="52" t="s">
        <v>9</v>
      </c>
      <c r="B82" s="60">
        <v>413612311.75999999</v>
      </c>
    </row>
    <row r="83" spans="1:2" ht="13.8" x14ac:dyDescent="0.25">
      <c r="A83" s="52" t="s">
        <v>10</v>
      </c>
      <c r="B83" s="60">
        <v>219954258.72</v>
      </c>
    </row>
    <row r="84" spans="1:2" ht="13.8" x14ac:dyDescent="0.25">
      <c r="A84" s="52" t="s">
        <v>57</v>
      </c>
      <c r="B84" s="60">
        <v>5774492.2070000004</v>
      </c>
    </row>
    <row r="85" spans="1:2" ht="13.8" x14ac:dyDescent="0.25">
      <c r="A85" s="52" t="s">
        <v>2</v>
      </c>
      <c r="B85" s="60">
        <v>186149749.27000001</v>
      </c>
    </row>
    <row r="86" spans="1:2" ht="13.8" x14ac:dyDescent="0.25">
      <c r="A86" s="52" t="s">
        <v>12</v>
      </c>
      <c r="B86" s="60">
        <v>187497235.91999999</v>
      </c>
    </row>
    <row r="87" spans="1:2" ht="13.8" x14ac:dyDescent="0.25">
      <c r="A87" s="52" t="s">
        <v>62</v>
      </c>
      <c r="B87" s="60">
        <v>23479317.16</v>
      </c>
    </row>
    <row r="88" spans="1:2" ht="13.8" x14ac:dyDescent="0.25">
      <c r="A88" s="52" t="s">
        <v>66</v>
      </c>
      <c r="B88" s="60">
        <v>28746744.399999999</v>
      </c>
    </row>
    <row r="89" spans="1:2" ht="13.8" x14ac:dyDescent="0.25">
      <c r="A89" s="52" t="s">
        <v>65</v>
      </c>
      <c r="B89" s="60">
        <v>25080480.710000001</v>
      </c>
    </row>
    <row r="90" spans="1:2" ht="13.8" x14ac:dyDescent="0.25">
      <c r="A90" s="52" t="s">
        <v>64</v>
      </c>
      <c r="B90" s="60">
        <v>17933496.440000001</v>
      </c>
    </row>
    <row r="91" spans="1:2" ht="13.8" x14ac:dyDescent="0.25">
      <c r="A91" s="52" t="s">
        <v>63</v>
      </c>
      <c r="B91" s="60">
        <v>9009052.9499999993</v>
      </c>
    </row>
    <row r="92" spans="1:2" ht="13.8" x14ac:dyDescent="0.25">
      <c r="A92" s="52" t="s">
        <v>61</v>
      </c>
      <c r="B92" s="60">
        <v>1671508.45</v>
      </c>
    </row>
    <row r="93" spans="1:2" ht="13.8" x14ac:dyDescent="0.25">
      <c r="A93" s="52" t="s">
        <v>97</v>
      </c>
      <c r="B93" s="60">
        <v>4230614.82</v>
      </c>
    </row>
    <row r="94" spans="1:2" ht="13.8" x14ac:dyDescent="0.25">
      <c r="A94" s="52" t="s">
        <v>93</v>
      </c>
      <c r="B94" s="60">
        <v>830390.41</v>
      </c>
    </row>
    <row r="95" spans="1:2" ht="13.8" x14ac:dyDescent="0.25">
      <c r="A95" s="52" t="s">
        <v>84</v>
      </c>
      <c r="B95" s="60">
        <v>1912445.56</v>
      </c>
    </row>
    <row r="96" spans="1:2" ht="13.8" x14ac:dyDescent="0.25">
      <c r="A96" s="52" t="s">
        <v>80</v>
      </c>
      <c r="B96" s="60">
        <v>1940057.97</v>
      </c>
    </row>
    <row r="97" spans="1:2" ht="13.8" x14ac:dyDescent="0.25">
      <c r="A97" s="52" t="s">
        <v>79</v>
      </c>
      <c r="B97" s="60">
        <v>785019.44</v>
      </c>
    </row>
    <row r="98" spans="1:2" ht="13.8" x14ac:dyDescent="0.25">
      <c r="A98" s="52" t="s">
        <v>78</v>
      </c>
      <c r="B98" s="60">
        <v>142394.4</v>
      </c>
    </row>
    <row r="99" spans="1:2" ht="13.8" x14ac:dyDescent="0.25">
      <c r="A99" s="52" t="s">
        <v>77</v>
      </c>
      <c r="B99" s="60">
        <v>470892.26</v>
      </c>
    </row>
    <row r="100" spans="1:2" ht="13.8" x14ac:dyDescent="0.25">
      <c r="A100" s="52" t="s">
        <v>83</v>
      </c>
      <c r="B100" s="60">
        <v>3645561.45</v>
      </c>
    </row>
    <row r="101" spans="1:2" ht="13.8" x14ac:dyDescent="0.25">
      <c r="A101" s="52" t="s">
        <v>82</v>
      </c>
      <c r="B101" s="60">
        <v>3220316.11</v>
      </c>
    </row>
    <row r="102" spans="1:2" ht="13.8" x14ac:dyDescent="0.25">
      <c r="A102" s="52" t="s">
        <v>81</v>
      </c>
      <c r="B102" s="60">
        <v>2862722.27</v>
      </c>
    </row>
    <row r="103" spans="1:2" ht="13.8" x14ac:dyDescent="0.25">
      <c r="A103" s="52" t="s">
        <v>91</v>
      </c>
      <c r="B103" s="60">
        <v>27929877.046700001</v>
      </c>
    </row>
    <row r="104" spans="1:2" ht="13.8" x14ac:dyDescent="0.25">
      <c r="A104" s="52" t="s">
        <v>90</v>
      </c>
      <c r="B104" s="60">
        <v>72443047.598000005</v>
      </c>
    </row>
    <row r="105" spans="1:2" ht="13.8" x14ac:dyDescent="0.25">
      <c r="A105" s="52" t="s">
        <v>89</v>
      </c>
      <c r="B105" s="60">
        <v>95670200.554100007</v>
      </c>
    </row>
    <row r="106" spans="1:2" ht="13.8" x14ac:dyDescent="0.25">
      <c r="A106" s="52" t="s">
        <v>88</v>
      </c>
      <c r="B106" s="60">
        <v>101235389.0258</v>
      </c>
    </row>
    <row r="107" spans="1:2" ht="13.8" x14ac:dyDescent="0.25">
      <c r="A107" s="52" t="s">
        <v>87</v>
      </c>
      <c r="B107" s="60">
        <v>83898500.086300001</v>
      </c>
    </row>
    <row r="108" spans="1:2" ht="13.8" x14ac:dyDescent="0.25">
      <c r="A108" s="52" t="s">
        <v>86</v>
      </c>
      <c r="B108" s="60">
        <v>32401510.479800001</v>
      </c>
    </row>
    <row r="109" spans="1:2" ht="13.8" x14ac:dyDescent="0.25">
      <c r="A109" s="52" t="s">
        <v>85</v>
      </c>
      <c r="B109" s="60">
        <v>2748666.8574999999</v>
      </c>
    </row>
    <row r="110" spans="1:2" ht="13.8" x14ac:dyDescent="0.25">
      <c r="A110" s="52" t="s">
        <v>92</v>
      </c>
      <c r="B110" s="60">
        <v>1274361.7535999999</v>
      </c>
    </row>
    <row r="111" spans="1:2" ht="13.8" x14ac:dyDescent="0.25">
      <c r="A111" s="52" t="s">
        <v>105</v>
      </c>
      <c r="B111" s="60">
        <v>713584.45</v>
      </c>
    </row>
    <row r="112" spans="1:2" ht="13.8" x14ac:dyDescent="0.25">
      <c r="A112" s="52" t="s">
        <v>104</v>
      </c>
      <c r="B112" s="60">
        <v>1106129.8267999999</v>
      </c>
    </row>
    <row r="113" spans="1:2" ht="13.8" x14ac:dyDescent="0.25">
      <c r="A113" s="52" t="s">
        <v>103</v>
      </c>
      <c r="B113" s="60">
        <v>1042961.3961</v>
      </c>
    </row>
    <row r="114" spans="1:2" ht="13.8" x14ac:dyDescent="0.25">
      <c r="A114" s="52" t="s">
        <v>102</v>
      </c>
      <c r="B114" s="60">
        <v>1042763.5943999999</v>
      </c>
    </row>
    <row r="115" spans="1:2" ht="13.8" x14ac:dyDescent="0.25">
      <c r="A115" s="52" t="s">
        <v>101</v>
      </c>
      <c r="B115" s="60">
        <v>893491.25399999996</v>
      </c>
    </row>
    <row r="116" spans="1:2" ht="13.8" x14ac:dyDescent="0.25">
      <c r="A116" s="52" t="s">
        <v>100</v>
      </c>
      <c r="B116" s="60">
        <v>370594.99290000001</v>
      </c>
    </row>
    <row r="117" spans="1:2" ht="13.8" x14ac:dyDescent="0.25">
      <c r="A117" s="52" t="s">
        <v>99</v>
      </c>
      <c r="B117" s="60">
        <v>76681.578099999999</v>
      </c>
    </row>
    <row r="118" spans="1:2" ht="13.8" x14ac:dyDescent="0.25">
      <c r="A118" s="52" t="s">
        <v>98</v>
      </c>
      <c r="B118" s="60">
        <v>170921.51250000001</v>
      </c>
    </row>
    <row r="119" spans="1:2" ht="13.8" x14ac:dyDescent="0.25">
      <c r="A119" s="52" t="s">
        <v>69</v>
      </c>
      <c r="B119" s="60">
        <v>2024723.32</v>
      </c>
    </row>
    <row r="120" spans="1:2" ht="13.8" x14ac:dyDescent="0.25">
      <c r="A120" s="52" t="s">
        <v>76</v>
      </c>
      <c r="B120" s="60">
        <v>4784939.91</v>
      </c>
    </row>
    <row r="121" spans="1:2" ht="13.8" x14ac:dyDescent="0.25">
      <c r="A121" s="52" t="s">
        <v>75</v>
      </c>
      <c r="B121" s="60">
        <v>5104835.99</v>
      </c>
    </row>
    <row r="122" spans="1:2" ht="13.8" x14ac:dyDescent="0.25">
      <c r="A122" s="52" t="s">
        <v>74</v>
      </c>
      <c r="B122" s="60">
        <v>5002726.0599999996</v>
      </c>
    </row>
    <row r="123" spans="1:2" ht="13.8" x14ac:dyDescent="0.25">
      <c r="A123" s="52" t="s">
        <v>73</v>
      </c>
      <c r="B123" s="60">
        <v>3966830.12</v>
      </c>
    </row>
    <row r="124" spans="1:2" ht="13.8" x14ac:dyDescent="0.25">
      <c r="A124" s="52" t="s">
        <v>72</v>
      </c>
      <c r="B124" s="60">
        <v>1915146.05</v>
      </c>
    </row>
    <row r="125" spans="1:2" ht="13.8" x14ac:dyDescent="0.25">
      <c r="A125" s="52" t="s">
        <v>71</v>
      </c>
      <c r="B125" s="60">
        <v>450991.89</v>
      </c>
    </row>
    <row r="126" spans="1:2" ht="13.8" x14ac:dyDescent="0.25">
      <c r="A126" s="52" t="s">
        <v>70</v>
      </c>
      <c r="B126" s="60">
        <v>304084.34999999998</v>
      </c>
    </row>
    <row r="127" spans="1:2" ht="13.8" x14ac:dyDescent="0.25">
      <c r="A127" s="132" t="s">
        <v>133</v>
      </c>
      <c r="B127" s="133">
        <v>3373661484.175199</v>
      </c>
    </row>
    <row r="130" spans="1:3" ht="15.6" x14ac:dyDescent="0.25">
      <c r="A130" s="51" t="s">
        <v>22</v>
      </c>
      <c r="B130" s="51" t="s">
        <v>23</v>
      </c>
    </row>
    <row r="131" spans="1:3" ht="13.8" x14ac:dyDescent="0.25">
      <c r="A131" s="52" t="s">
        <v>50</v>
      </c>
      <c r="B131" s="84">
        <v>1248123365.9300001</v>
      </c>
      <c r="C131" s="86"/>
    </row>
    <row r="132" spans="1:3" ht="13.8" x14ac:dyDescent="0.25">
      <c r="A132" s="52" t="s">
        <v>67</v>
      </c>
      <c r="B132" s="59">
        <v>328004593.52340001</v>
      </c>
      <c r="C132" s="86"/>
    </row>
    <row r="133" spans="1:3" ht="13.8" x14ac:dyDescent="0.25">
      <c r="A133" s="52" t="s">
        <v>53</v>
      </c>
      <c r="B133" s="59">
        <v>417601553.40179998</v>
      </c>
      <c r="C133" s="86"/>
    </row>
    <row r="134" spans="1:3" ht="13.8" x14ac:dyDescent="0.25">
      <c r="A134" s="52" t="s">
        <v>51</v>
      </c>
      <c r="B134" s="59">
        <v>872354521.75999987</v>
      </c>
      <c r="C134" s="86"/>
    </row>
    <row r="135" spans="1:3" ht="13.8" x14ac:dyDescent="0.25">
      <c r="A135" s="52" t="s">
        <v>52</v>
      </c>
      <c r="B135" s="59">
        <v>507577449.55999994</v>
      </c>
      <c r="C135" s="8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Rezultatai</vt:lpstr>
      <vt:lpstr>Papildomi duomenys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Audrius Silgalis</dc:creator>
  <cp:lastModifiedBy>Viktorija Dičpinigaitienė</cp:lastModifiedBy>
  <cp:lastPrinted>2019-01-15T16:15:01Z</cp:lastPrinted>
  <dcterms:created xsi:type="dcterms:W3CDTF">2008-11-20T12:30:07Z</dcterms:created>
  <dcterms:modified xsi:type="dcterms:W3CDTF">2019-04-15T13:55:05Z</dcterms:modified>
</cp:coreProperties>
</file>