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931"/>
  <workbookPr filterPrivacy="1" defaultThemeVersion="124226"/>
  <xr:revisionPtr revIDLastSave="0" documentId="13_ncr:1_{56DF78B6-0BFD-48A8-ACFB-FF8A6FF8B8EC}" xr6:coauthVersionLast="47" xr6:coauthVersionMax="47" xr10:uidLastSave="{00000000-0000-0000-0000-000000000000}"/>
  <bookViews>
    <workbookView xWindow="-28920" yWindow="-4485" windowWidth="29040" windowHeight="15840" tabRatio="803" xr2:uid="{00000000-000D-0000-FFFF-FFFF00000000}"/>
  </bookViews>
  <sheets>
    <sheet name="2022-12-31" sheetId="2" r:id="rId1"/>
    <sheet name="Papildoma informacija" sheetId="1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<sst xmlns="http://schemas.openxmlformats.org/spreadsheetml/2006/main" count="288" uniqueCount="127">
  <si>
    <t xml:space="preserve">Pensijų kaupimo bendrovės pavadinimas
</t>
  </si>
  <si>
    <t xml:space="preserve">Fondo kodas
</t>
  </si>
  <si>
    <t xml:space="preserve">Pensijų fondo pavadinimas
</t>
  </si>
  <si>
    <t xml:space="preserve">Luminor investicijų valdymas UAB </t>
  </si>
  <si>
    <t>INVL STABILO III 58+ / INVL Stabilus</t>
  </si>
  <si>
    <t>Luminor pensija 1 plius</t>
  </si>
  <si>
    <t>Luminor pensija 2 plius</t>
  </si>
  <si>
    <t>INVL Medio III 47+</t>
  </si>
  <si>
    <t>INVL Apdairus</t>
  </si>
  <si>
    <t>Luminor pensija darbuotojui 1 plius</t>
  </si>
  <si>
    <t>Luminor pensija darbuotojui 2 plius</t>
  </si>
  <si>
    <t>Luminor pensija 3 plius</t>
  </si>
  <si>
    <t>INVL Drąsus</t>
  </si>
  <si>
    <t>INVL Extremo III 16+</t>
  </si>
  <si>
    <t>Mišraus investavimo pensijų fondai</t>
  </si>
  <si>
    <t>Akcijų pensijų fondai</t>
  </si>
  <si>
    <t>Obligacijų pensijų fondai</t>
  </si>
  <si>
    <t>Dalyvių skaičius</t>
  </si>
  <si>
    <t>S017</t>
  </si>
  <si>
    <t>S018</t>
  </si>
  <si>
    <t>S021</t>
  </si>
  <si>
    <t>S033</t>
  </si>
  <si>
    <t>S039</t>
  </si>
  <si>
    <t>S032</t>
  </si>
  <si>
    <t>S022</t>
  </si>
  <si>
    <t>S019</t>
  </si>
  <si>
    <t>S040</t>
  </si>
  <si>
    <t>S028</t>
  </si>
  <si>
    <t>S041</t>
  </si>
  <si>
    <t>S042</t>
  </si>
  <si>
    <t>FONDŲ GRĄŽA</t>
  </si>
  <si>
    <t>Grynųjų aktyvų vertė, mln.</t>
  </si>
  <si>
    <t>Pensijų kaupimo bendrovė</t>
  </si>
  <si>
    <t>Fondas</t>
  </si>
  <si>
    <t>IŠ VISO:</t>
  </si>
  <si>
    <t>UAB „INVL Asset Management“</t>
  </si>
  <si>
    <t>UAB „SEB investicijų valdymas“</t>
  </si>
  <si>
    <t>Rizikingų aktyvų dalis fonde (investicijų į akcijas dalis), proc.</t>
  </si>
  <si>
    <t>iki 8</t>
  </si>
  <si>
    <t>iki 50</t>
  </si>
  <si>
    <t>iki 25</t>
  </si>
  <si>
    <t>iki 70</t>
  </si>
  <si>
    <t>iki 100</t>
  </si>
  <si>
    <t>vidutinė metinė lyginamojo indekso grąža per praėjusius 3 metus, proc.</t>
  </si>
  <si>
    <t>vidutinė metinė lyginamojo indekso grąža per praėjusius 5 metus, proc.</t>
  </si>
  <si>
    <t>standartinis nuokrypis per praėjusius 5 metus, proc.</t>
  </si>
  <si>
    <t>standartinis nuokrypis per praėjusius 10 metų, proc.</t>
  </si>
  <si>
    <t>Grynųjų aktyvų vertė, mln. (skalė kairėje)</t>
  </si>
  <si>
    <t>Dalyvių skaičius (skalė dešinėje)</t>
  </si>
  <si>
    <t>Veiklos 
laikotarpis</t>
  </si>
  <si>
    <t>S048</t>
  </si>
  <si>
    <t>S046</t>
  </si>
  <si>
    <t>S047</t>
  </si>
  <si>
    <t>UAB „Swedbank investicijų valdymas“</t>
  </si>
  <si>
    <t>-</t>
  </si>
  <si>
    <t>iki 30</t>
  </si>
  <si>
    <t>iki 60</t>
  </si>
  <si>
    <t>S049</t>
  </si>
  <si>
    <t>SEB pensija 50+</t>
  </si>
  <si>
    <t>SEB pensija 18+</t>
  </si>
  <si>
    <t>SEB pensija 58+</t>
  </si>
  <si>
    <t>grąža [1] nuo metų pradžios, proc.</t>
  </si>
  <si>
    <t>[1] Apskaitos vieneto vertės pokytis. Juo atsižvelgiama į atskaitymus nuo turto, tačiau neatsižvelgiama į atskaitymus nuo įmokų, dėl to grynoji grąža yra mažesnė.</t>
  </si>
  <si>
    <t>vidutinė metinė grąža [2] per praėjusius 3 metus, proc.</t>
  </si>
  <si>
    <t>[2] Apskaičiuota remiantis apskaitos vieneto vertės pokyčiu per nurodytą laikotarpį. Vidutinė metinė grąža gauta taikant geometrinį vidurkį.</t>
  </si>
  <si>
    <t>LYGINAMOJO INDEKSO GRĄŽA [3]</t>
  </si>
  <si>
    <t xml:space="preserve">[3] Lyginamasis indeksas apibrėžiamas kaip pensijų kaupimo bendrovės pasirinktas orientacinis investicijų portfelis, atitinkantis fondo investavimo strategiją, su kurio vertės pokyčio reikšme lyginama fondo investicijų portfelio investicijų grąža. </t>
  </si>
  <si>
    <t>RIZIKOS RODIKLIAI [4]</t>
  </si>
  <si>
    <t xml:space="preserve">[4] Rodikliui apskaičiuoti naudoti mėnesiniai apskaitos vieneto verčių pokyčiai, rezultatas perskaičiuotas į metinį. Standartinis nuokrypis parodo, kaip intensyviai per laikotarpį svyruoja fondo investicinio vieneto vertė. Kuo šis rodiklis didesnis, tuo didesnė rizika. </t>
  </si>
  <si>
    <t>Svertinis vidurkis [5]:</t>
  </si>
  <si>
    <t>Grynųjų aktyvų [6] vertė, mln. Eur</t>
  </si>
  <si>
    <t>[6] Grynieji aktyvai – pensijų fondą sudarančio turto vertės ir  įsipareigojimų skirtumas.</t>
  </si>
  <si>
    <t>40-60</t>
  </si>
  <si>
    <t>vidutinė metinė grąža [2] per praėjusius 5 metus, proc.</t>
  </si>
  <si>
    <t>vidutinė metinė grąža [2] per praėjusius 10 metų, proc.</t>
  </si>
  <si>
    <t>vidutinė metinė grąža [2] per praėjusius 15 metų, proc.</t>
  </si>
  <si>
    <t>Visų pensijų fondų svertinis vidurkis [5]:</t>
  </si>
  <si>
    <t>S050</t>
  </si>
  <si>
    <t>Luminor tvari ateitis index</t>
  </si>
  <si>
    <t>S051</t>
  </si>
  <si>
    <t>Pensijos fondas 60+ (apriboto nutraukimo)</t>
  </si>
  <si>
    <t>Pensijos fondas 18+ (apriboto nutraukimo)</t>
  </si>
  <si>
    <t>S052</t>
  </si>
  <si>
    <t>S053</t>
  </si>
  <si>
    <t>S054</t>
  </si>
  <si>
    <t>SEB index. Klimato ateitis</t>
  </si>
  <si>
    <t>Pensijos fondas 50+ (apriboto nutraukimo)</t>
  </si>
  <si>
    <t>SEB index. Klimato ateitis [7]</t>
  </si>
  <si>
    <t>[7] Fondas veiklą pradėjo 2022-01-03 dieną.</t>
  </si>
  <si>
    <t>Pensijos fondas 60+ [8]</t>
  </si>
  <si>
    <t>Pensijos fondas 50+ [9]</t>
  </si>
  <si>
    <t>Pensijos fondas 18+  [10]</t>
  </si>
  <si>
    <t>Swedbank Pensijos fondas 60+ (apriboto nutraukimo)</t>
  </si>
  <si>
    <t>Swedbank Pensijos fondas 50+ (apriboto nutraukimo)</t>
  </si>
  <si>
    <t>Swedbank Pensijos fondas 60+</t>
  </si>
  <si>
    <t>Swedbank Pensijos fondas 50+</t>
  </si>
  <si>
    <t>Swedbank Pensijos fondas 18+ (apriboto nutraukimo)</t>
  </si>
  <si>
    <t>Swedbank Pensijos fondas 18+</t>
  </si>
  <si>
    <t>Goindex pasaulio akcijų</t>
  </si>
  <si>
    <t>Goindex subalansuotas</t>
  </si>
  <si>
    <t>Goindex, UAB</t>
  </si>
  <si>
    <t>S056</t>
  </si>
  <si>
    <t>S057</t>
  </si>
  <si>
    <t>5 mėn.</t>
  </si>
  <si>
    <t>Goindex pasaulio akcijų [11]</t>
  </si>
  <si>
    <t>Goindex subalansuotas [12]</t>
  </si>
  <si>
    <t>9 m. 3 mėn.</t>
  </si>
  <si>
    <t>18 m. 1 mėn.</t>
  </si>
  <si>
    <t>18 m. 2 mėn.</t>
  </si>
  <si>
    <t>Luminor pensija darbuotojui 1 plius [13]</t>
  </si>
  <si>
    <t>8 m. 1 mėn.</t>
  </si>
  <si>
    <t>Luminor pensija darbuotojui 2 plius [13]</t>
  </si>
  <si>
    <t>9 m. 8 mėn.</t>
  </si>
  <si>
    <t>15 m. 3 mėn.</t>
  </si>
  <si>
    <t>9 mėn.</t>
  </si>
  <si>
    <t>2 m. 10 mėn.</t>
  </si>
  <si>
    <t>1 m.</t>
  </si>
  <si>
    <t>3 m. 1 mėn.</t>
  </si>
  <si>
    <t>1 m. 7 mėn.</t>
  </si>
  <si>
    <t>Pastaba: praeities rezultatai negarantuoja, kad tokie patys ar panašūs rezultatai bus ir ateityje.</t>
  </si>
  <si>
    <t>[5] Svertiniam vidurkiui apskaičiuoti naudotas 2022-12-31 dienos fondų grynųjų aktyvų dydis.</t>
  </si>
  <si>
    <t>[8] Fondas veiklą pradėjo 2022-04-07 dieną.</t>
  </si>
  <si>
    <t>[9] Fondas veiklą pradėjo 2022-04-07 dieną.</t>
  </si>
  <si>
    <t>[10] Fondas veiklą pradėjo 2022-04-07 dieną.</t>
  </si>
  <si>
    <t>[11] Fondas veiklą pradėjo 2022-07-21 dieną.</t>
  </si>
  <si>
    <t>[12] Fondas veiklą pradėjo 2022-07-21 dieną.</t>
  </si>
  <si>
    <t>[13] 2022-11-25 fondas prijungtas prie Luminor pensija 2 plius fondo ir panaikintas. Fondo grąža, lyginamojo indekso ir rizikos rodikliai pateikiami paskutinei fondo veiklos dienai 2022-11-24.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</si>
</sst>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\ _€_-;\-* #,##0.00\ _€_-;_-* &quot;-&quot;??\ _€_-;_-@_-"/>
    <numFmt numFmtId="165" formatCode="_-* #,##0\ _€_-;\-* #,##0\ _€_-;_-* &quot;-&quot;??\ _€_-;_-@_-"/>
    <numFmt numFmtId="166" formatCode="0.0%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Verdana"/>
      <family val="2"/>
      <charset val="186"/>
    </font>
    <font>
      <sz val="10"/>
      <color theme="1"/>
      <name val="Verdana"/>
      <family val="2"/>
      <charset val="186"/>
    </font>
    <font>
      <b/>
      <sz val="11"/>
      <color theme="1"/>
      <name val="Verdana"/>
      <family val="2"/>
      <charset val="186"/>
    </font>
    <font>
      <b/>
      <i/>
      <u/>
      <sz val="10"/>
      <color rgb="FFFF0000"/>
      <name val="Verdana"/>
      <family val="2"/>
      <charset val="186"/>
    </font>
    <font>
      <sz val="11"/>
      <color theme="1"/>
      <name val="Verdana"/>
      <family val="2"/>
      <charset val="186"/>
    </font>
    <font>
      <b/>
      <sz val="10"/>
      <color theme="0"/>
      <name val="Verdana"/>
      <family val="2"/>
      <charset val="186"/>
    </font>
    <font>
      <sz val="10"/>
      <color theme="0"/>
      <name val="Verdana"/>
      <family val="2"/>
      <charset val="186"/>
    </font>
    <font>
      <b/>
      <sz val="10"/>
      <name val="Verdana"/>
      <family val="2"/>
      <charset val="186"/>
    </font>
    <font>
      <sz val="10"/>
      <name val="Verdana"/>
      <family val="2"/>
      <charset val="186"/>
    </font>
    <font>
      <b/>
      <sz val="10"/>
      <color theme="0"/>
      <name val="Verdana"/>
      <family val="2"/>
    </font>
    <font>
      <sz val="10"/>
      <color rgb="FFC00000"/>
      <name val="Verdana"/>
      <family val="2"/>
      <charset val="186"/>
    </font>
    <font>
      <sz val="8"/>
      <name val="Calibri"/>
      <family val="2"/>
      <scheme val="minor"/>
    </font>
    <font>
      <sz val="10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7D"/>
        <bgColor indexed="64"/>
      </patternFill>
    </fill>
  </fills>
  <borders count="8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5">
    <xf numFmtId="0" fontId="0" fillId="0" borderId="0" xfId="0"/>
    <xf numFmtId="0" fontId="3" fillId="0" borderId="0" xfId="0" applyFont="1"/>
    <xf numFmtId="0" fontId="3" fillId="0" borderId="0" xfId="0" applyFont="1" applyAlignment="1">
      <alignment wrapText="1"/>
    </xf>
    <xf numFmtId="0" fontId="3" fillId="0" borderId="0" xfId="0" applyFont="1" applyAlignment="1">
      <alignment horizontal="center" vertical="center"/>
    </xf>
    <xf numFmtId="2" fontId="3" fillId="0" borderId="0" xfId="0" applyNumberFormat="1" applyFont="1" applyBorder="1" applyAlignment="1">
      <alignment horizontal="center" vertical="center" wrapText="1"/>
    </xf>
    <xf numFmtId="0" fontId="3" fillId="0" borderId="0" xfId="0" applyFont="1" applyFill="1" applyAlignment="1">
      <alignment vertical="center" wrapText="1"/>
    </xf>
    <xf numFmtId="0" fontId="3" fillId="0" borderId="0" xfId="0" applyFont="1" applyFill="1" applyAlignment="1">
      <alignment wrapText="1"/>
    </xf>
    <xf numFmtId="2" fontId="3" fillId="0" borderId="0" xfId="0" applyNumberFormat="1" applyFont="1" applyBorder="1" applyAlignment="1">
      <alignment horizontal="center" vertical="center"/>
    </xf>
    <xf numFmtId="9" fontId="3" fillId="0" borderId="0" xfId="2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0" fillId="0" borderId="0" xfId="0" applyFill="1"/>
    <xf numFmtId="0" fontId="6" fillId="0" borderId="0" xfId="0" applyFont="1" applyFill="1" applyAlignment="1"/>
    <xf numFmtId="9" fontId="6" fillId="0" borderId="0" xfId="2" applyFont="1" applyFill="1" applyAlignment="1">
      <alignment horizontal="center"/>
    </xf>
    <xf numFmtId="0" fontId="4" fillId="0" borderId="0" xfId="0" applyFont="1" applyFill="1" applyAlignment="1">
      <alignment horizontal="right"/>
    </xf>
    <xf numFmtId="2" fontId="4" fillId="0" borderId="0" xfId="0" applyNumberFormat="1" applyFont="1" applyFill="1" applyAlignment="1">
      <alignment wrapText="1"/>
    </xf>
    <xf numFmtId="0" fontId="6" fillId="0" borderId="0" xfId="0" applyFont="1" applyFill="1" applyAlignment="1">
      <alignment wrapText="1"/>
    </xf>
    <xf numFmtId="2" fontId="0" fillId="0" borderId="0" xfId="0" applyNumberFormat="1" applyFill="1"/>
    <xf numFmtId="0" fontId="3" fillId="0" borderId="0" xfId="0" applyFont="1" applyAlignment="1"/>
    <xf numFmtId="0" fontId="3" fillId="0" borderId="0" xfId="0" applyFont="1" applyFill="1" applyAlignment="1">
      <alignment vertical="center"/>
    </xf>
    <xf numFmtId="0" fontId="3" fillId="0" borderId="1" xfId="0" applyFont="1" applyBorder="1" applyAlignment="1">
      <alignment wrapText="1"/>
    </xf>
    <xf numFmtId="0" fontId="5" fillId="0" borderId="1" xfId="0" applyFont="1" applyBorder="1" applyAlignment="1">
      <alignment wrapText="1"/>
    </xf>
    <xf numFmtId="0" fontId="5" fillId="0" borderId="1" xfId="0" applyFont="1" applyBorder="1" applyAlignment="1">
      <alignment horizontal="left" vertical="center"/>
    </xf>
    <xf numFmtId="0" fontId="3" fillId="0" borderId="1" xfId="0" applyFont="1" applyBorder="1"/>
    <xf numFmtId="0" fontId="7" fillId="3" borderId="1" xfId="0" applyFont="1" applyFill="1" applyBorder="1" applyAlignment="1">
      <alignment horizontal="left" wrapText="1"/>
    </xf>
    <xf numFmtId="0" fontId="7" fillId="3" borderId="1" xfId="0" applyFont="1" applyFill="1" applyBorder="1" applyAlignment="1">
      <alignment horizontal="center" vertical="center" wrapText="1"/>
    </xf>
    <xf numFmtId="0" fontId="2" fillId="0" borderId="0" xfId="0" applyFont="1" applyFill="1" applyAlignment="1">
      <alignment wrapText="1"/>
    </xf>
    <xf numFmtId="0" fontId="3" fillId="0" borderId="0" xfId="0" applyFont="1" applyFill="1" applyAlignment="1"/>
    <xf numFmtId="9" fontId="3" fillId="0" borderId="0" xfId="2" applyFont="1" applyFill="1" applyAlignment="1">
      <alignment horizontal="center"/>
    </xf>
    <xf numFmtId="2" fontId="2" fillId="0" borderId="0" xfId="0" applyNumberFormat="1" applyFont="1" applyFill="1" applyAlignment="1">
      <alignment wrapText="1"/>
    </xf>
    <xf numFmtId="0" fontId="3" fillId="0" borderId="2" xfId="0" applyFont="1" applyFill="1" applyBorder="1" applyAlignment="1">
      <alignment wrapText="1"/>
    </xf>
    <xf numFmtId="2" fontId="3" fillId="0" borderId="2" xfId="0" applyNumberFormat="1" applyFont="1" applyFill="1" applyBorder="1" applyAlignment="1">
      <alignment horizontal="center" vertical="center"/>
    </xf>
    <xf numFmtId="0" fontId="3" fillId="0" borderId="2" xfId="2" applyNumberFormat="1" applyFont="1" applyFill="1" applyBorder="1" applyAlignment="1">
      <alignment horizontal="center" vertical="center"/>
    </xf>
    <xf numFmtId="165" fontId="3" fillId="0" borderId="2" xfId="1" applyNumberFormat="1" applyFont="1" applyFill="1" applyBorder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2" fontId="3" fillId="0" borderId="2" xfId="0" applyNumberFormat="1" applyFont="1" applyFill="1" applyBorder="1" applyAlignment="1">
      <alignment horizontal="center" vertical="center" wrapText="1"/>
    </xf>
    <xf numFmtId="2" fontId="3" fillId="0" borderId="0" xfId="0" applyNumberFormat="1" applyFont="1" applyFill="1" applyBorder="1" applyAlignment="1">
      <alignment horizontal="center" vertical="center"/>
    </xf>
    <xf numFmtId="0" fontId="3" fillId="0" borderId="0" xfId="2" applyNumberFormat="1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2" fontId="3" fillId="0" borderId="0" xfId="0" applyNumberFormat="1" applyFont="1" applyFill="1" applyBorder="1" applyAlignment="1">
      <alignment horizontal="center" vertical="center" wrapText="1"/>
    </xf>
    <xf numFmtId="0" fontId="2" fillId="0" borderId="0" xfId="0" applyFont="1" applyFill="1" applyAlignment="1"/>
    <xf numFmtId="0" fontId="3" fillId="0" borderId="0" xfId="2" applyNumberFormat="1" applyFont="1" applyFill="1" applyAlignment="1">
      <alignment horizontal="center"/>
    </xf>
    <xf numFmtId="2" fontId="3" fillId="0" borderId="0" xfId="0" applyNumberFormat="1" applyFont="1" applyFill="1" applyAlignment="1">
      <alignment horizontal="center"/>
    </xf>
    <xf numFmtId="0" fontId="3" fillId="0" borderId="0" xfId="0" applyFont="1" applyFill="1" applyAlignment="1">
      <alignment horizontal="center"/>
    </xf>
    <xf numFmtId="2" fontId="3" fillId="0" borderId="0" xfId="0" applyNumberFormat="1" applyFont="1" applyFill="1" applyAlignment="1">
      <alignment horizontal="center" wrapText="1"/>
    </xf>
    <xf numFmtId="0" fontId="7" fillId="3" borderId="0" xfId="0" applyFont="1" applyFill="1" applyAlignment="1">
      <alignment vertical="center"/>
    </xf>
    <xf numFmtId="9" fontId="7" fillId="3" borderId="0" xfId="2" applyFont="1" applyFill="1" applyBorder="1" applyAlignment="1">
      <alignment vertical="center"/>
    </xf>
    <xf numFmtId="0" fontId="8" fillId="3" borderId="0" xfId="0" applyFont="1" applyFill="1" applyAlignment="1">
      <alignment vertical="center"/>
    </xf>
    <xf numFmtId="0" fontId="7" fillId="3" borderId="0" xfId="0" applyFont="1" applyFill="1" applyAlignment="1">
      <alignment horizontal="right" vertical="center"/>
    </xf>
    <xf numFmtId="2" fontId="7" fillId="3" borderId="0" xfId="0" applyNumberFormat="1" applyFont="1" applyFill="1" applyAlignment="1">
      <alignment vertical="center" wrapText="1"/>
    </xf>
    <xf numFmtId="0" fontId="8" fillId="3" borderId="0" xfId="0" applyFont="1" applyFill="1" applyAlignment="1">
      <alignment vertical="center" wrapText="1"/>
    </xf>
    <xf numFmtId="0" fontId="9" fillId="0" borderId="0" xfId="0" applyFont="1" applyFill="1" applyAlignment="1">
      <alignment horizontal="right"/>
    </xf>
    <xf numFmtId="0" fontId="10" fillId="0" borderId="0" xfId="0" applyFont="1" applyFill="1" applyBorder="1" applyAlignment="1">
      <alignment horizontal="center" vertical="center"/>
    </xf>
    <xf numFmtId="2" fontId="3" fillId="0" borderId="2" xfId="0" applyNumberFormat="1" applyFont="1" applyFill="1" applyBorder="1" applyAlignment="1">
      <alignment wrapText="1"/>
    </xf>
    <xf numFmtId="165" fontId="3" fillId="0" borderId="2" xfId="1" applyNumberFormat="1" applyFont="1" applyFill="1" applyBorder="1" applyAlignment="1">
      <alignment wrapText="1"/>
    </xf>
    <xf numFmtId="2" fontId="7" fillId="3" borderId="1" xfId="0" applyNumberFormat="1" applyFont="1" applyFill="1" applyBorder="1" applyAlignment="1">
      <alignment horizontal="right" wrapText="1"/>
    </xf>
    <xf numFmtId="165" fontId="7" fillId="3" borderId="1" xfId="1" applyNumberFormat="1" applyFont="1" applyFill="1" applyBorder="1" applyAlignment="1">
      <alignment horizontal="left" wrapText="1"/>
    </xf>
    <xf numFmtId="0" fontId="11" fillId="3" borderId="1" xfId="0" applyFont="1" applyFill="1" applyBorder="1" applyAlignment="1">
      <alignment horizontal="right" wrapText="1"/>
    </xf>
    <xf numFmtId="14" fontId="3" fillId="0" borderId="2" xfId="0" applyNumberFormat="1" applyFont="1" applyFill="1" applyBorder="1" applyAlignment="1">
      <alignment wrapText="1"/>
    </xf>
    <xf numFmtId="2" fontId="3" fillId="0" borderId="0" xfId="0" applyNumberFormat="1" applyFont="1" applyFill="1" applyAlignment="1">
      <alignment wrapText="1"/>
    </xf>
    <xf numFmtId="166" fontId="4" fillId="0" borderId="0" xfId="2" applyNumberFormat="1" applyFont="1" applyFill="1" applyAlignment="1">
      <alignment wrapText="1"/>
    </xf>
    <xf numFmtId="165" fontId="3" fillId="0" borderId="0" xfId="1" applyNumberFormat="1" applyFont="1" applyFill="1" applyAlignment="1">
      <alignment wrapText="1"/>
    </xf>
    <xf numFmtId="2" fontId="12" fillId="0" borderId="2" xfId="0" applyNumberFormat="1" applyFont="1" applyFill="1" applyBorder="1" applyAlignment="1">
      <alignment horizontal="center" vertical="center" wrapText="1"/>
    </xf>
    <xf numFmtId="165" fontId="7" fillId="3" borderId="1" xfId="1" applyNumberFormat="1" applyFont="1" applyFill="1" applyBorder="1" applyAlignment="1">
      <alignment horizontal="right" wrapText="1"/>
    </xf>
    <xf numFmtId="14" fontId="14" fillId="2" borderId="1" xfId="0" applyNumberFormat="1" applyFont="1" applyFill="1" applyBorder="1" applyAlignment="1">
      <alignment horizontal="left" wrapText="1"/>
    </xf>
    <xf numFmtId="2" fontId="10" fillId="0" borderId="2" xfId="0" applyNumberFormat="1" applyFont="1" applyFill="1" applyBorder="1" applyAlignment="1">
      <alignment horizontal="left" vertical="center"/>
    </xf>
    <xf numFmtId="2" fontId="10" fillId="0" borderId="0" xfId="0" applyNumberFormat="1" applyFont="1" applyFill="1" applyBorder="1" applyAlignment="1">
      <alignment horizontal="left" vertical="center"/>
    </xf>
    <xf numFmtId="0" fontId="10" fillId="0" borderId="0" xfId="0" applyNumberFormat="1" applyFont="1" applyFill="1" applyAlignment="1">
      <alignment horizontal="left"/>
    </xf>
    <xf numFmtId="2" fontId="10" fillId="0" borderId="0" xfId="0" applyNumberFormat="1" applyFont="1" applyFill="1" applyAlignment="1">
      <alignment horizontal="left"/>
    </xf>
    <xf numFmtId="0" fontId="10" fillId="0" borderId="0" xfId="0" applyFont="1" applyAlignment="1"/>
    <xf numFmtId="165" fontId="7" fillId="3" borderId="1" xfId="1" applyNumberFormat="1" applyFont="1" applyFill="1" applyBorder="1" applyAlignment="1">
      <alignment horizontal="center" vertical="center" wrapText="1"/>
    </xf>
    <xf numFmtId="165" fontId="7" fillId="3" borderId="3" xfId="1" applyNumberFormat="1" applyFont="1" applyFill="1" applyBorder="1" applyAlignment="1">
      <alignment horizontal="center" vertical="center" wrapText="1"/>
    </xf>
    <xf numFmtId="165" fontId="7" fillId="3" borderId="5" xfId="1" applyNumberFormat="1" applyFont="1" applyFill="1" applyBorder="1" applyAlignment="1">
      <alignment horizontal="center" vertical="center" wrapText="1"/>
    </xf>
    <xf numFmtId="165" fontId="7" fillId="3" borderId="4" xfId="1" applyNumberFormat="1" applyFont="1" applyFill="1" applyBorder="1" applyAlignment="1">
      <alignment horizontal="center" vertical="center" wrapText="1"/>
    </xf>
    <xf numFmtId="165" fontId="7" fillId="3" borderId="6" xfId="1" applyNumberFormat="1" applyFont="1" applyFill="1" applyBorder="1" applyAlignment="1">
      <alignment horizontal="center" vertical="center" wrapText="1"/>
    </xf>
    <xf numFmtId="165" fontId="7" fillId="3" borderId="7" xfId="1" applyNumberFormat="1" applyFont="1" applyFill="1" applyBorder="1" applyAlignment="1">
      <alignment horizontal="center" vertical="center" wrapText="1"/>
    </xf>
  </cellXfs>
  <cellStyles count="3">
    <cellStyle name="Comma" xfId="1" builtinId="3"/>
    <cellStyle name="Normal" xfId="0" builtinId="0"/>
    <cellStyle name="Percent" xfId="2" builtinId="5"/>
  </cellStyles>
  <dxfs count="13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color rgb="FF9C0006"/>
      </font>
      <fill>
        <patternFill>
          <bgColor rgb="FFFFC7CE"/>
        </patternFill>
      </fill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</dxfs>
  <tableStyles count="0" defaultTableStyle="TableStyleMedium2" defaultPivotStyle="PivotStyleMedium9"/>
  <colors>
    <mruColors>
      <color rgb="FFE31C48"/>
      <color rgb="FF99FFCC"/>
      <color rgb="FF903F98"/>
      <color rgb="FFFCAF17"/>
      <color rgb="FF00B07D"/>
      <color rgb="FF009900"/>
      <color rgb="FF9C5BCD"/>
      <color rgb="FF99FF99"/>
      <color rgb="FFC9FFC9"/>
      <color rgb="FFFFFFC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lt-LT"/>
              <a:t>Grynųjų aktyvų vertė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31901723414439737"/>
          <c:y val="0.27890440121027904"/>
          <c:w val="0.32982964070404208"/>
          <c:h val="0.66015875099340715"/>
        </c:manualLayout>
      </c:layout>
      <c:pieChart>
        <c:varyColors val="1"/>
        <c:ser>
          <c:idx val="0"/>
          <c:order val="0"/>
          <c:tx>
            <c:strRef>
              <c:f>'Papildoma informacija'!$B$1</c:f>
              <c:strCache>
                <c:ptCount val="1"/>
                <c:pt idx="0">
                  <c:v>Grynųjų aktyvų vertė, mln.</c:v>
                </c:pt>
              </c:strCache>
            </c:strRef>
          </c:tx>
          <c:dPt>
            <c:idx val="0"/>
            <c:bubble3D val="0"/>
            <c:spPr>
              <a:solidFill>
                <a:srgbClr val="903F98"/>
              </a:solidFill>
            </c:spPr>
            <c:extLst>
              <c:ext xmlns:c16="http://schemas.microsoft.com/office/drawing/2014/chart" uri="{C3380CC4-5D6E-409C-BE32-E72D297353CC}">
                <c16:uniqueId val="{00000001-6445-422D-8956-308635099803}"/>
              </c:ext>
            </c:extLst>
          </c:dPt>
          <c:dPt>
            <c:idx val="1"/>
            <c:bubble3D val="0"/>
            <c:spPr>
              <a:solidFill>
                <a:srgbClr val="FCAF17"/>
              </a:solidFill>
            </c:spPr>
            <c:extLst>
              <c:ext xmlns:c16="http://schemas.microsoft.com/office/drawing/2014/chart" uri="{C3380CC4-5D6E-409C-BE32-E72D297353CC}">
                <c16:uniqueId val="{00000003-6445-422D-8956-308635099803}"/>
              </c:ext>
            </c:extLst>
          </c:dPt>
          <c:dPt>
            <c:idx val="2"/>
            <c:bubble3D val="0"/>
            <c:spPr>
              <a:solidFill>
                <a:srgbClr val="00B07D"/>
              </a:solidFill>
            </c:spPr>
            <c:extLst>
              <c:ext xmlns:c16="http://schemas.microsoft.com/office/drawing/2014/chart" uri="{C3380CC4-5D6E-409C-BE32-E72D297353CC}">
                <c16:uniqueId val="{00000005-6445-422D-8956-308635099803}"/>
              </c:ext>
            </c:extLst>
          </c:dPt>
          <c:dPt>
            <c:idx val="3"/>
            <c:bubble3D val="0"/>
            <c:spPr>
              <a:solidFill>
                <a:srgbClr val="E31C48"/>
              </a:solidFill>
            </c:spPr>
            <c:extLst>
              <c:ext xmlns:c16="http://schemas.microsoft.com/office/drawing/2014/chart" uri="{C3380CC4-5D6E-409C-BE32-E72D297353CC}">
                <c16:uniqueId val="{00000007-6445-422D-8956-308635099803}"/>
              </c:ext>
            </c:extLst>
          </c:dPt>
          <c:dLbls>
            <c:dLbl>
              <c:idx val="0"/>
              <c:layout>
                <c:manualLayout>
                  <c:x val="2.5086824409098384E-2"/>
                  <c:y val="0.2750793354016741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445-422D-8956-308635099803}"/>
                </c:ext>
              </c:extLst>
            </c:dLbl>
            <c:dLbl>
              <c:idx val="1"/>
              <c:layout>
                <c:manualLayout>
                  <c:x val="-7.1910432213700859E-2"/>
                  <c:y val="-5.7546496517430157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445-422D-8956-308635099803}"/>
                </c:ext>
              </c:extLst>
            </c:dLbl>
            <c:dLbl>
              <c:idx val="2"/>
              <c:layout>
                <c:manualLayout>
                  <c:x val="-0.10494619422572178"/>
                  <c:y val="0.13202901720618257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445-422D-8956-308635099803}"/>
                </c:ext>
              </c:extLst>
            </c:dLbl>
            <c:dLbl>
              <c:idx val="3"/>
              <c:layout>
                <c:manualLayout>
                  <c:x val="0.27546902050257993"/>
                  <c:y val="0.1031813928675585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6445-422D-8956-308635099803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'Papildoma informacija'!$A$2:$A$6</c:f>
              <c:strCache>
                <c:ptCount val="5"/>
                <c:pt idx="0">
                  <c:v>Luminor investicijų valdymas UAB </c:v>
                </c:pt>
                <c:pt idx="1">
                  <c:v>UAB „INVL Asset Management“</c:v>
                </c:pt>
                <c:pt idx="2">
                  <c:v>UAB „SEB investicijų valdymas“</c:v>
                </c:pt>
                <c:pt idx="3">
                  <c:v>UAB „Swedbank investicijų valdymas“</c:v>
                </c:pt>
                <c:pt idx="4">
                  <c:v>Goindex, UAB</c:v>
                </c:pt>
              </c:strCache>
            </c:strRef>
          </c:cat>
          <c:val>
            <c:numRef>
              <c:f>'Papildoma informacija'!$B$2:$B$6</c:f>
              <c:numCache>
                <c:formatCode>0.00</c:formatCode>
                <c:ptCount val="5"/>
                <c:pt idx="0">
                  <c:v>71.786163000000002</c:v>
                </c:pt>
                <c:pt idx="1">
                  <c:v>90.14615400000001</c:v>
                </c:pt>
                <c:pt idx="2">
                  <c:v>52.497469999999993</c:v>
                </c:pt>
                <c:pt idx="3">
                  <c:v>7.3529840000000002</c:v>
                </c:pt>
                <c:pt idx="4">
                  <c:v>0.51913100000000001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445-422D-8956-308635099803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0"/>
  </c:chart>
  <c:txPr>
    <a:bodyPr/>
    <a:lstStyle/>
    <a:p>
      <a:pPr>
        <a:defRPr sz="800">
          <a:latin typeface="Verdana" panose="020B0604030504040204" pitchFamily="34" charset="0"/>
          <a:ea typeface="Verdana" panose="020B0604030504040204" pitchFamily="34" charset="0"/>
        </a:defRPr>
      </a:pPr>
      <a:endParaRPr lang="lt-L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>
        <c:manualLayout>
          <c:layoutTarget val="inner"/>
          <c:xMode val="edge"/>
          <c:yMode val="edge"/>
          <c:x val="0.31227850343659652"/>
          <c:y val="0.24712776148313875"/>
          <c:w val="0.36321609399685939"/>
          <c:h val="0.63822630680772852"/>
        </c:manualLayout>
      </c:layout>
      <c:pieChart>
        <c:varyColors val="1"/>
        <c:ser>
          <c:idx val="0"/>
          <c:order val="0"/>
          <c:tx>
            <c:strRef>
              <c:f>'Papildoma informacija'!$C$1</c:f>
              <c:strCache>
                <c:ptCount val="1"/>
                <c:pt idx="0">
                  <c:v>Dalyvių skaičius</c:v>
                </c:pt>
              </c:strCache>
            </c:strRef>
          </c:tx>
          <c:dPt>
            <c:idx val="0"/>
            <c:bubble3D val="0"/>
            <c:spPr>
              <a:solidFill>
                <a:srgbClr val="903F98"/>
              </a:solidFill>
            </c:spPr>
            <c:extLst>
              <c:ext xmlns:c16="http://schemas.microsoft.com/office/drawing/2014/chart" uri="{C3380CC4-5D6E-409C-BE32-E72D297353CC}">
                <c16:uniqueId val="{00000001-1FCA-4E76-AC12-275B74A39CDD}"/>
              </c:ext>
            </c:extLst>
          </c:dPt>
          <c:dPt>
            <c:idx val="1"/>
            <c:bubble3D val="0"/>
            <c:spPr>
              <a:solidFill>
                <a:srgbClr val="FCAF17"/>
              </a:solidFill>
            </c:spPr>
            <c:extLst>
              <c:ext xmlns:c16="http://schemas.microsoft.com/office/drawing/2014/chart" uri="{C3380CC4-5D6E-409C-BE32-E72D297353CC}">
                <c16:uniqueId val="{00000003-1FCA-4E76-AC12-275B74A39CDD}"/>
              </c:ext>
            </c:extLst>
          </c:dPt>
          <c:dPt>
            <c:idx val="2"/>
            <c:bubble3D val="0"/>
            <c:spPr>
              <a:solidFill>
                <a:srgbClr val="00B07D"/>
              </a:solidFill>
            </c:spPr>
            <c:extLst>
              <c:ext xmlns:c16="http://schemas.microsoft.com/office/drawing/2014/chart" uri="{C3380CC4-5D6E-409C-BE32-E72D297353CC}">
                <c16:uniqueId val="{00000005-1FCA-4E76-AC12-275B74A39CDD}"/>
              </c:ext>
            </c:extLst>
          </c:dPt>
          <c:dPt>
            <c:idx val="3"/>
            <c:bubble3D val="0"/>
            <c:spPr>
              <a:solidFill>
                <a:srgbClr val="E31C48"/>
              </a:solidFill>
            </c:spPr>
            <c:extLst>
              <c:ext xmlns:c16="http://schemas.microsoft.com/office/drawing/2014/chart" uri="{C3380CC4-5D6E-409C-BE32-E72D297353CC}">
                <c16:uniqueId val="{00000007-1FCA-4E76-AC12-275B74A39CDD}"/>
              </c:ext>
            </c:extLst>
          </c:dPt>
          <c:dLbls>
            <c:dLbl>
              <c:idx val="0"/>
              <c:layout>
                <c:manualLayout>
                  <c:x val="4.4786222745033778E-2"/>
                  <c:y val="5.0172027685143873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FCA-4E76-AC12-275B74A39CDD}"/>
                </c:ext>
              </c:extLst>
            </c:dLbl>
            <c:dLbl>
              <c:idx val="1"/>
              <c:layout>
                <c:manualLayout>
                  <c:x val="-5.6204406969277157E-2"/>
                  <c:y val="-3.4910941045361597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FCA-4E76-AC12-275B74A39CDD}"/>
                </c:ext>
              </c:extLst>
            </c:dLbl>
            <c:dLbl>
              <c:idx val="2"/>
              <c:layout>
                <c:manualLayout>
                  <c:x val="-0.13080008748906385"/>
                  <c:y val="0.1705683143773695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FCA-4E76-AC12-275B74A39CDD}"/>
                </c:ext>
              </c:extLst>
            </c:dLbl>
            <c:dLbl>
              <c:idx val="3"/>
              <c:layout>
                <c:manualLayout>
                  <c:x val="0.32730722299278403"/>
                  <c:y val="8.72826392662971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1FCA-4E76-AC12-275B74A39CDD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'Papildoma informacija'!$A$2:$A$6</c:f>
              <c:strCache>
                <c:ptCount val="5"/>
                <c:pt idx="0">
                  <c:v>Luminor investicijų valdymas UAB </c:v>
                </c:pt>
                <c:pt idx="1">
                  <c:v>UAB „INVL Asset Management“</c:v>
                </c:pt>
                <c:pt idx="2">
                  <c:v>UAB „SEB investicijų valdymas“</c:v>
                </c:pt>
                <c:pt idx="3">
                  <c:v>UAB „Swedbank investicijų valdymas“</c:v>
                </c:pt>
                <c:pt idx="4">
                  <c:v>Goindex, UAB</c:v>
                </c:pt>
              </c:strCache>
            </c:strRef>
          </c:cat>
          <c:val>
            <c:numRef>
              <c:f>'Papildoma informacija'!$C$2:$C$6</c:f>
              <c:numCache>
                <c:formatCode>_-* #\ ##0\ _€_-;\-* #\ ##0\ _€_-;_-* "-"??\ _€_-;_-@_-</c:formatCode>
                <c:ptCount val="5"/>
                <c:pt idx="0">
                  <c:v>36189</c:v>
                </c:pt>
                <c:pt idx="1">
                  <c:v>30110</c:v>
                </c:pt>
                <c:pt idx="2">
                  <c:v>14667</c:v>
                </c:pt>
                <c:pt idx="3">
                  <c:v>14447</c:v>
                </c:pt>
                <c:pt idx="4">
                  <c:v>225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FCA-4E76-AC12-275B74A39CDD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0"/>
  </c:chart>
  <c:txPr>
    <a:bodyPr/>
    <a:lstStyle/>
    <a:p>
      <a:pPr>
        <a:defRPr sz="800">
          <a:latin typeface="Verdana" panose="020B0604030504040204" pitchFamily="34" charset="0"/>
          <a:ea typeface="Verdana" panose="020B0604030504040204" pitchFamily="34" charset="0"/>
        </a:defRPr>
      </a:pPr>
      <a:endParaRPr lang="lt-L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lt-LT"/>
              <a:t>Grynųjų aktyvų vertė ir dalyvių skaičius</a:t>
            </a:r>
          </a:p>
        </c:rich>
      </c:tx>
      <c:layout>
        <c:manualLayout>
          <c:xMode val="edge"/>
          <c:yMode val="edge"/>
          <c:x val="0.41877623411894899"/>
          <c:y val="8.1174827824552681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7232813591122453"/>
          <c:y val="0.16651391228766224"/>
          <c:w val="0.76300882871189213"/>
          <c:h val="0.54340188962361491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'Papildoma informacija'!$C$22</c:f>
              <c:strCache>
                <c:ptCount val="1"/>
                <c:pt idx="0">
                  <c:v>Dalyvių skaičius (skalė dešinėje)</c:v>
                </c:pt>
              </c:strCache>
            </c:strRef>
          </c:tx>
          <c:spPr>
            <a:solidFill>
              <a:srgbClr val="00B07D"/>
            </a:solidFill>
          </c:spPr>
          <c:invertIfNegative val="0"/>
          <c:cat>
            <c:strRef>
              <c:f>'Papildoma informacija'!$A$23:$A$45</c:f>
              <c:strCache>
                <c:ptCount val="23"/>
                <c:pt idx="0">
                  <c:v>INVL STABILO III 58+ / INVL Stabilus</c:v>
                </c:pt>
                <c:pt idx="1">
                  <c:v>INVL Apdairus</c:v>
                </c:pt>
                <c:pt idx="2">
                  <c:v>INVL Medio III 47+</c:v>
                </c:pt>
                <c:pt idx="3">
                  <c:v>INVL Drąsus</c:v>
                </c:pt>
                <c:pt idx="4">
                  <c:v>INVL Extremo III 16+</c:v>
                </c:pt>
                <c:pt idx="5">
                  <c:v>Luminor pensija 1 plius</c:v>
                </c:pt>
                <c:pt idx="6">
                  <c:v>Luminor pensija 2 plius</c:v>
                </c:pt>
                <c:pt idx="7">
                  <c:v>Luminor pensija 3 plius</c:v>
                </c:pt>
                <c:pt idx="8">
                  <c:v>Luminor pensija darbuotojui 1 plius</c:v>
                </c:pt>
                <c:pt idx="9">
                  <c:v>Luminor pensija darbuotojui 2 plius</c:v>
                </c:pt>
                <c:pt idx="10">
                  <c:v>Luminor tvari ateitis index</c:v>
                </c:pt>
                <c:pt idx="11">
                  <c:v>SEB pensija 50+</c:v>
                </c:pt>
                <c:pt idx="12">
                  <c:v>SEB pensija 58+</c:v>
                </c:pt>
                <c:pt idx="13">
                  <c:v>SEB pensija 18+</c:v>
                </c:pt>
                <c:pt idx="14">
                  <c:v>SEB index. Klimato ateitis</c:v>
                </c:pt>
                <c:pt idx="15">
                  <c:v>Swedbank Pensijos fondas 60+ (apriboto nutraukimo)</c:v>
                </c:pt>
                <c:pt idx="16">
                  <c:v>Swedbank Pensijos fondas 50+ (apriboto nutraukimo)</c:v>
                </c:pt>
                <c:pt idx="17">
                  <c:v>Swedbank Pensijos fondas 60+</c:v>
                </c:pt>
                <c:pt idx="18">
                  <c:v>Swedbank Pensijos fondas 50+</c:v>
                </c:pt>
                <c:pt idx="19">
                  <c:v>Swedbank Pensijos fondas 18+ (apriboto nutraukimo)</c:v>
                </c:pt>
                <c:pt idx="20">
                  <c:v>Swedbank Pensijos fondas 18+</c:v>
                </c:pt>
                <c:pt idx="21">
                  <c:v>Goindex pasaulio akcijų</c:v>
                </c:pt>
                <c:pt idx="22">
                  <c:v>Goindex subalansuotas</c:v>
                </c:pt>
              </c:strCache>
            </c:strRef>
          </c:cat>
          <c:val>
            <c:numRef>
              <c:f>'Papildoma informacija'!$C$23:$C$45</c:f>
              <c:numCache>
                <c:formatCode>_-* #\ ##0\ _€_-;\-* #\ ##0\ _€_-;_-* "-"??\ _€_-;_-@_-</c:formatCode>
                <c:ptCount val="23"/>
                <c:pt idx="0">
                  <c:v>3054</c:v>
                </c:pt>
                <c:pt idx="1">
                  <c:v>1493</c:v>
                </c:pt>
                <c:pt idx="2">
                  <c:v>4920</c:v>
                </c:pt>
                <c:pt idx="3">
                  <c:v>3467</c:v>
                </c:pt>
                <c:pt idx="4">
                  <c:v>17176</c:v>
                </c:pt>
                <c:pt idx="5">
                  <c:v>4397</c:v>
                </c:pt>
                <c:pt idx="6">
                  <c:v>25994</c:v>
                </c:pt>
                <c:pt idx="7">
                  <c:v>5139</c:v>
                </c:pt>
                <c:pt idx="8">
                  <c:v>0</c:v>
                </c:pt>
                <c:pt idx="9">
                  <c:v>0</c:v>
                </c:pt>
                <c:pt idx="10">
                  <c:v>659</c:v>
                </c:pt>
                <c:pt idx="11">
                  <c:v>429</c:v>
                </c:pt>
                <c:pt idx="12">
                  <c:v>1997</c:v>
                </c:pt>
                <c:pt idx="13">
                  <c:v>11682</c:v>
                </c:pt>
                <c:pt idx="14">
                  <c:v>559</c:v>
                </c:pt>
                <c:pt idx="15">
                  <c:v>125</c:v>
                </c:pt>
                <c:pt idx="16">
                  <c:v>514</c:v>
                </c:pt>
                <c:pt idx="17">
                  <c:v>619</c:v>
                </c:pt>
                <c:pt idx="18">
                  <c:v>3982</c:v>
                </c:pt>
                <c:pt idx="19">
                  <c:v>1370</c:v>
                </c:pt>
                <c:pt idx="20">
                  <c:v>7837</c:v>
                </c:pt>
                <c:pt idx="21">
                  <c:v>194</c:v>
                </c:pt>
                <c:pt idx="22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48-4638-BEFE-4972150D0F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84150528"/>
        <c:axId val="383981184"/>
      </c:barChart>
      <c:lineChart>
        <c:grouping val="standard"/>
        <c:varyColors val="0"/>
        <c:ser>
          <c:idx val="0"/>
          <c:order val="0"/>
          <c:tx>
            <c:strRef>
              <c:f>'Papildoma informacija'!$B$22</c:f>
              <c:strCache>
                <c:ptCount val="1"/>
                <c:pt idx="0">
                  <c:v>Grynųjų aktyvų vertė, mln. (skalė kairėje)</c:v>
                </c:pt>
              </c:strCache>
            </c:strRef>
          </c:tx>
          <c:spPr>
            <a:ln>
              <a:solidFill>
                <a:srgbClr val="FCAF17"/>
              </a:solidFill>
            </a:ln>
          </c:spPr>
          <c:marker>
            <c:symbol val="none"/>
          </c:marker>
          <c:cat>
            <c:strRef>
              <c:f>'Papildoma informacija'!$A$23:$A$45</c:f>
              <c:strCache>
                <c:ptCount val="23"/>
                <c:pt idx="0">
                  <c:v>INVL STABILO III 58+ / INVL Stabilus</c:v>
                </c:pt>
                <c:pt idx="1">
                  <c:v>INVL Apdairus</c:v>
                </c:pt>
                <c:pt idx="2">
                  <c:v>INVL Medio III 47+</c:v>
                </c:pt>
                <c:pt idx="3">
                  <c:v>INVL Drąsus</c:v>
                </c:pt>
                <c:pt idx="4">
                  <c:v>INVL Extremo III 16+</c:v>
                </c:pt>
                <c:pt idx="5">
                  <c:v>Luminor pensija 1 plius</c:v>
                </c:pt>
                <c:pt idx="6">
                  <c:v>Luminor pensija 2 plius</c:v>
                </c:pt>
                <c:pt idx="7">
                  <c:v>Luminor pensija 3 plius</c:v>
                </c:pt>
                <c:pt idx="8">
                  <c:v>Luminor pensija darbuotojui 1 plius</c:v>
                </c:pt>
                <c:pt idx="9">
                  <c:v>Luminor pensija darbuotojui 2 plius</c:v>
                </c:pt>
                <c:pt idx="10">
                  <c:v>Luminor tvari ateitis index</c:v>
                </c:pt>
                <c:pt idx="11">
                  <c:v>SEB pensija 50+</c:v>
                </c:pt>
                <c:pt idx="12">
                  <c:v>SEB pensija 58+</c:v>
                </c:pt>
                <c:pt idx="13">
                  <c:v>SEB pensija 18+</c:v>
                </c:pt>
                <c:pt idx="14">
                  <c:v>SEB index. Klimato ateitis</c:v>
                </c:pt>
                <c:pt idx="15">
                  <c:v>Swedbank Pensijos fondas 60+ (apriboto nutraukimo)</c:v>
                </c:pt>
                <c:pt idx="16">
                  <c:v>Swedbank Pensijos fondas 50+ (apriboto nutraukimo)</c:v>
                </c:pt>
                <c:pt idx="17">
                  <c:v>Swedbank Pensijos fondas 60+</c:v>
                </c:pt>
                <c:pt idx="18">
                  <c:v>Swedbank Pensijos fondas 50+</c:v>
                </c:pt>
                <c:pt idx="19">
                  <c:v>Swedbank Pensijos fondas 18+ (apriboto nutraukimo)</c:v>
                </c:pt>
                <c:pt idx="20">
                  <c:v>Swedbank Pensijos fondas 18+</c:v>
                </c:pt>
                <c:pt idx="21">
                  <c:v>Goindex pasaulio akcijų</c:v>
                </c:pt>
                <c:pt idx="22">
                  <c:v>Goindex subalansuotas</c:v>
                </c:pt>
              </c:strCache>
            </c:strRef>
          </c:cat>
          <c:val>
            <c:numRef>
              <c:f>'Papildoma informacija'!$B$23:$B$45</c:f>
              <c:numCache>
                <c:formatCode>0.00</c:formatCode>
                <c:ptCount val="23"/>
                <c:pt idx="0">
                  <c:v>11.714824999999999</c:v>
                </c:pt>
                <c:pt idx="1">
                  <c:v>3.4671439999999998</c:v>
                </c:pt>
                <c:pt idx="2">
                  <c:v>16.865486000000001</c:v>
                </c:pt>
                <c:pt idx="3">
                  <c:v>8.2355049999999999</c:v>
                </c:pt>
                <c:pt idx="4">
                  <c:v>49.863194</c:v>
                </c:pt>
                <c:pt idx="5">
                  <c:v>9.8422990000000006</c:v>
                </c:pt>
                <c:pt idx="6">
                  <c:v>47.715324000000003</c:v>
                </c:pt>
                <c:pt idx="7">
                  <c:v>12.580876999999999</c:v>
                </c:pt>
                <c:pt idx="8">
                  <c:v>0</c:v>
                </c:pt>
                <c:pt idx="9">
                  <c:v>0</c:v>
                </c:pt>
                <c:pt idx="10">
                  <c:v>1.6476630000000001</c:v>
                </c:pt>
                <c:pt idx="11">
                  <c:v>1.4800789999999999</c:v>
                </c:pt>
                <c:pt idx="12">
                  <c:v>8.6724239999999995</c:v>
                </c:pt>
                <c:pt idx="13">
                  <c:v>41.357720999999998</c:v>
                </c:pt>
                <c:pt idx="14">
                  <c:v>0.98724599999999996</c:v>
                </c:pt>
                <c:pt idx="15">
                  <c:v>0.45653899999999997</c:v>
                </c:pt>
                <c:pt idx="16">
                  <c:v>1.1117980000000001</c:v>
                </c:pt>
                <c:pt idx="17">
                  <c:v>0.16708200000000001</c:v>
                </c:pt>
                <c:pt idx="18">
                  <c:v>0.60600100000000001</c:v>
                </c:pt>
                <c:pt idx="19">
                  <c:v>3.7779850000000001</c:v>
                </c:pt>
                <c:pt idx="20">
                  <c:v>1.233579</c:v>
                </c:pt>
                <c:pt idx="21">
                  <c:v>0.43999899999999997</c:v>
                </c:pt>
                <c:pt idx="22">
                  <c:v>7.9131999999999994E-2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E48-4638-BEFE-4972150D0F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84148992"/>
        <c:axId val="383980608"/>
      </c:lineChart>
      <c:catAx>
        <c:axId val="38414899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383980608"/>
        <c:crosses val="autoZero"/>
        <c:auto val="1"/>
        <c:lblAlgn val="ctr"/>
        <c:lblOffset val="100"/>
        <c:noMultiLvlLbl val="0"/>
      </c:catAx>
      <c:valAx>
        <c:axId val="38398060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lt-LT"/>
                  <a:t>Grynųmų aktyvų vertė, mln.</a:t>
                </a:r>
              </a:p>
            </c:rich>
          </c:tx>
          <c:layout>
            <c:manualLayout>
              <c:xMode val="edge"/>
              <c:yMode val="edge"/>
              <c:x val="0.12184539651090991"/>
              <c:y val="0.26832800626359354"/>
            </c:manualLayout>
          </c:layout>
          <c:overlay val="0"/>
        </c:title>
        <c:numFmt formatCode="0.00" sourceLinked="1"/>
        <c:majorTickMark val="none"/>
        <c:minorTickMark val="none"/>
        <c:tickLblPos val="nextTo"/>
        <c:crossAx val="384148992"/>
        <c:crosses val="autoZero"/>
        <c:crossBetween val="between"/>
      </c:valAx>
      <c:valAx>
        <c:axId val="383981184"/>
        <c:scaling>
          <c:orientation val="minMax"/>
        </c:scaling>
        <c:delete val="0"/>
        <c:axPos val="r"/>
        <c:numFmt formatCode="_-* #\ ##0\ _€_-;\-* #\ ##0\ _€_-;_-* &quot;-&quot;??\ _€_-;_-@_-" sourceLinked="1"/>
        <c:majorTickMark val="out"/>
        <c:minorTickMark val="none"/>
        <c:tickLblPos val="nextTo"/>
        <c:crossAx val="384150528"/>
        <c:crosses val="max"/>
        <c:crossBetween val="between"/>
      </c:valAx>
      <c:catAx>
        <c:axId val="38415052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83981184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</c:dTable>
    </c:plotArea>
    <c:plotVisOnly val="1"/>
    <c:dispBlanksAs val="gap"/>
    <c:showDLblsOverMax val="0"/>
  </c:chart>
  <c:txPr>
    <a:bodyPr/>
    <a:lstStyle/>
    <a:p>
      <a:pPr>
        <a:defRPr sz="800">
          <a:latin typeface="Verdana" panose="020B0604030504040204" pitchFamily="34" charset="0"/>
          <a:ea typeface="Verdana" panose="020B0604030504040204" pitchFamily="34" charset="0"/>
        </a:defRPr>
      </a:pPr>
      <a:endParaRPr lang="lt-LT"/>
    </a:p>
  </c:txPr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44824</xdr:rowOff>
    </xdr:from>
    <xdr:to>
      <xdr:col>1</xdr:col>
      <xdr:colOff>1963271</xdr:colOff>
      <xdr:row>19</xdr:row>
      <xdr:rowOff>155089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2008094</xdr:colOff>
      <xdr:row>7</xdr:row>
      <xdr:rowOff>44823</xdr:rowOff>
    </xdr:from>
    <xdr:to>
      <xdr:col>6</xdr:col>
      <xdr:colOff>21963</xdr:colOff>
      <xdr:row>19</xdr:row>
      <xdr:rowOff>150162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20</xdr:row>
      <xdr:rowOff>57948</xdr:rowOff>
    </xdr:from>
    <xdr:to>
      <xdr:col>16</xdr:col>
      <xdr:colOff>51252</xdr:colOff>
      <xdr:row>47</xdr:row>
      <xdr:rowOff>141379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0.97885</cdr:x>
      <cdr:y>0.26328</cdr:y>
    </cdr:from>
    <cdr:to>
      <cdr:x>1</cdr:x>
      <cdr:y>0.62878</cdr:y>
    </cdr:to>
    <cdr:sp macro="" textlink="">
      <cdr:nvSpPr>
        <cdr:cNvPr id="2" name="TextBox 1"/>
        <cdr:cNvSpPr txBox="1"/>
      </cdr:nvSpPr>
      <cdr:spPr>
        <a:xfrm xmlns:a="http://schemas.openxmlformats.org/drawingml/2006/main" rot="16200000">
          <a:off x="12604853" y="1760230"/>
          <a:ext cx="1559661" cy="28611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lt-LT" sz="800" b="1">
              <a:latin typeface="Verdana" panose="020B0604030504040204" pitchFamily="34" charset="0"/>
              <a:ea typeface="Verdana" panose="020B0604030504040204" pitchFamily="34" charset="0"/>
            </a:rPr>
            <a:t>Dalyvių</a:t>
          </a:r>
          <a:r>
            <a:rPr lang="lt-LT" sz="800" b="1" baseline="0">
              <a:latin typeface="Verdana" panose="020B0604030504040204" pitchFamily="34" charset="0"/>
              <a:ea typeface="Verdana" panose="020B0604030504040204" pitchFamily="34" charset="0"/>
            </a:rPr>
            <a:t> skaičius</a:t>
          </a:r>
          <a:endParaRPr lang="lt-LT" sz="800" b="1">
            <a:latin typeface="Verdana" panose="020B0604030504040204" pitchFamily="34" charset="0"/>
            <a:ea typeface="Verdana" panose="020B0604030504040204" pitchFamily="34" charset="0"/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9FFCC"/>
  </sheetPr>
  <dimension ref="A1:T48"/>
  <sheetViews>
    <sheetView showGridLines="0" tabSelected="1" zoomScale="70" zoomScaleNormal="70" workbookViewId="0">
      <selection activeCell="C43" sqref="C43"/>
    </sheetView>
  </sheetViews>
  <sheetFormatPr defaultColWidth="8.90625" defaultRowHeight="13.5" x14ac:dyDescent="0.3"/>
  <cols>
    <col min="1" max="1" width="41" style="2" customWidth="1"/>
    <col min="2" max="2" width="7.81640625" style="2" bestFit="1" customWidth="1"/>
    <col min="3" max="3" width="44.453125" style="2" customWidth="1"/>
    <col min="4" max="4" width="15.1796875" style="1" customWidth="1"/>
    <col min="5" max="5" width="18.81640625" style="1" customWidth="1"/>
    <col min="6" max="6" width="16.81640625" style="1" customWidth="1"/>
    <col min="7" max="7" width="13.26953125" style="1" customWidth="1"/>
    <col min="8" max="8" width="2" style="1" customWidth="1"/>
    <col min="9" max="9" width="10.81640625" style="2" customWidth="1"/>
    <col min="10" max="10" width="15.81640625" style="2" customWidth="1"/>
    <col min="11" max="11" width="18.90625" style="2" customWidth="1"/>
    <col min="12" max="13" width="17.81640625" style="2" customWidth="1"/>
    <col min="14" max="14" width="2" style="1" customWidth="1"/>
    <col min="15" max="16" width="19.54296875" style="2" customWidth="1"/>
    <col min="17" max="17" width="2" style="1" customWidth="1"/>
    <col min="18" max="18" width="19.1796875" style="2" customWidth="1"/>
    <col min="19" max="19" width="17.90625" style="2" customWidth="1"/>
    <col min="20" max="20" width="9.81640625" style="2" bestFit="1" customWidth="1"/>
    <col min="21" max="21" width="5.54296875" style="1" bestFit="1" customWidth="1"/>
    <col min="22" max="22" width="9.81640625" style="1" bestFit="1" customWidth="1"/>
    <col min="23" max="16384" width="8.90625" style="1"/>
  </cols>
  <sheetData>
    <row r="1" spans="1:20" x14ac:dyDescent="0.3">
      <c r="A1" s="63">
        <v>44926</v>
      </c>
      <c r="B1" s="19"/>
      <c r="C1" s="20"/>
      <c r="D1" s="21"/>
      <c r="E1" s="22"/>
      <c r="F1" s="22"/>
      <c r="G1" s="22"/>
      <c r="H1" s="22"/>
      <c r="I1" s="70" t="s">
        <v>30</v>
      </c>
      <c r="J1" s="72"/>
      <c r="K1" s="72"/>
      <c r="L1" s="72"/>
      <c r="M1" s="71"/>
      <c r="N1" s="22"/>
      <c r="O1" s="70" t="s">
        <v>65</v>
      </c>
      <c r="P1" s="71"/>
      <c r="Q1" s="22"/>
      <c r="R1" s="73" t="s">
        <v>67</v>
      </c>
      <c r="S1" s="74"/>
    </row>
    <row r="2" spans="1:20" ht="81" x14ac:dyDescent="0.3">
      <c r="A2" s="23" t="s">
        <v>0</v>
      </c>
      <c r="B2" s="23" t="s">
        <v>1</v>
      </c>
      <c r="C2" s="23" t="s">
        <v>2</v>
      </c>
      <c r="D2" s="24" t="s">
        <v>49</v>
      </c>
      <c r="E2" s="24" t="s">
        <v>37</v>
      </c>
      <c r="F2" s="24" t="s">
        <v>70</v>
      </c>
      <c r="G2" s="69" t="s">
        <v>17</v>
      </c>
      <c r="H2" s="22"/>
      <c r="I2" s="69" t="s">
        <v>61</v>
      </c>
      <c r="J2" s="69" t="s">
        <v>63</v>
      </c>
      <c r="K2" s="69" t="s">
        <v>73</v>
      </c>
      <c r="L2" s="69" t="s">
        <v>74</v>
      </c>
      <c r="M2" s="69" t="s">
        <v>75</v>
      </c>
      <c r="N2" s="22"/>
      <c r="O2" s="69" t="s">
        <v>43</v>
      </c>
      <c r="P2" s="69" t="s">
        <v>44</v>
      </c>
      <c r="Q2" s="22"/>
      <c r="R2" s="69" t="s">
        <v>45</v>
      </c>
      <c r="S2" s="69" t="s">
        <v>46</v>
      </c>
    </row>
    <row r="3" spans="1:20" s="26" customFormat="1" x14ac:dyDescent="0.3">
      <c r="A3" s="25" t="s">
        <v>16</v>
      </c>
      <c r="B3" s="25"/>
      <c r="C3" s="25"/>
      <c r="E3" s="27"/>
      <c r="G3" s="50" t="s">
        <v>69</v>
      </c>
      <c r="I3" s="28">
        <v>-11.843988841132827</v>
      </c>
      <c r="J3" s="28">
        <v>-3.8296592978961432</v>
      </c>
      <c r="K3" s="28">
        <v>-1.9372303114031857</v>
      </c>
      <c r="L3" s="28">
        <v>0.34481529360143082</v>
      </c>
      <c r="M3" s="28">
        <v>2.2888923719612722</v>
      </c>
      <c r="O3" s="28">
        <v>-4.3863487298414432</v>
      </c>
      <c r="P3" s="28">
        <v>-1.9467098027742176</v>
      </c>
      <c r="R3" s="6"/>
      <c r="S3" s="6"/>
      <c r="T3" s="6"/>
    </row>
    <row r="4" spans="1:20" x14ac:dyDescent="0.3">
      <c r="A4" s="29" t="s">
        <v>3</v>
      </c>
      <c r="B4" s="29" t="s">
        <v>26</v>
      </c>
      <c r="C4" s="29" t="s">
        <v>5</v>
      </c>
      <c r="D4" s="64" t="s">
        <v>106</v>
      </c>
      <c r="E4" s="31">
        <v>0</v>
      </c>
      <c r="F4" s="30">
        <v>9.8422990000000006</v>
      </c>
      <c r="G4" s="32">
        <v>4397</v>
      </c>
      <c r="H4" s="33"/>
      <c r="I4" s="34">
        <v>-10.125722052327557</v>
      </c>
      <c r="J4" s="34">
        <v>-3.8971049493878529</v>
      </c>
      <c r="K4" s="34">
        <v>-2.1789216863818517</v>
      </c>
      <c r="L4" s="34" t="s">
        <v>54</v>
      </c>
      <c r="M4" s="34" t="s">
        <v>54</v>
      </c>
      <c r="N4" s="33"/>
      <c r="O4" s="34">
        <v>-3.403008159516252</v>
      </c>
      <c r="P4" s="34">
        <v>-1.7228543761953929</v>
      </c>
      <c r="Q4" s="33"/>
      <c r="R4" s="34">
        <v>2.5996767131951541</v>
      </c>
      <c r="S4" s="34" t="s">
        <v>54</v>
      </c>
    </row>
    <row r="5" spans="1:20" x14ac:dyDescent="0.3">
      <c r="A5" s="29" t="s">
        <v>35</v>
      </c>
      <c r="B5" s="29" t="s">
        <v>24</v>
      </c>
      <c r="C5" s="29" t="s">
        <v>4</v>
      </c>
      <c r="D5" s="64" t="s">
        <v>107</v>
      </c>
      <c r="E5" s="31">
        <v>0</v>
      </c>
      <c r="F5" s="30">
        <v>11.714824999999999</v>
      </c>
      <c r="G5" s="32">
        <v>3054</v>
      </c>
      <c r="H5" s="33"/>
      <c r="I5" s="34">
        <v>-11.918550345600599</v>
      </c>
      <c r="J5" s="34">
        <v>-3.9623015454139154</v>
      </c>
      <c r="K5" s="34">
        <v>-1.9843423984701847</v>
      </c>
      <c r="L5" s="34">
        <v>0.73742475544469333</v>
      </c>
      <c r="M5" s="34">
        <v>2.9011952142491637</v>
      </c>
      <c r="N5" s="33"/>
      <c r="O5" s="34">
        <v>-6.4861069607885513</v>
      </c>
      <c r="P5" s="34">
        <v>-3.0885567150719551</v>
      </c>
      <c r="Q5" s="33"/>
      <c r="R5" s="34">
        <v>4.4993102603296338</v>
      </c>
      <c r="S5" s="34">
        <v>3.6318200242998291</v>
      </c>
    </row>
    <row r="6" spans="1:20" x14ac:dyDescent="0.3">
      <c r="A6" s="29" t="s">
        <v>36</v>
      </c>
      <c r="B6" s="29" t="s">
        <v>18</v>
      </c>
      <c r="C6" s="29" t="s">
        <v>60</v>
      </c>
      <c r="D6" s="64" t="s">
        <v>108</v>
      </c>
      <c r="E6" s="31" t="s">
        <v>38</v>
      </c>
      <c r="F6" s="30">
        <v>8.6724239999999995</v>
      </c>
      <c r="G6" s="32">
        <v>1997</v>
      </c>
      <c r="H6" s="33"/>
      <c r="I6" s="34">
        <v>-13.693324219640001</v>
      </c>
      <c r="J6" s="34">
        <v>-3.5739405985442008</v>
      </c>
      <c r="K6" s="34">
        <v>-1.5992961151927831</v>
      </c>
      <c r="L6" s="34">
        <v>-0.18552675826757348</v>
      </c>
      <c r="M6" s="34">
        <v>1.461785597153531</v>
      </c>
      <c r="N6" s="33"/>
      <c r="O6" s="34">
        <v>-2.6659567949125385</v>
      </c>
      <c r="P6" s="34">
        <v>-0.65834051718612896</v>
      </c>
      <c r="Q6" s="33"/>
      <c r="R6" s="34">
        <v>4.4617260037169242</v>
      </c>
      <c r="S6" s="34">
        <v>3.5172889406640913</v>
      </c>
    </row>
    <row r="7" spans="1:20" x14ac:dyDescent="0.3">
      <c r="A7" s="6"/>
      <c r="B7" s="6"/>
      <c r="C7" s="6"/>
      <c r="D7" s="65"/>
      <c r="E7" s="36"/>
      <c r="F7" s="35"/>
      <c r="G7" s="37"/>
      <c r="H7" s="33"/>
      <c r="I7" s="38"/>
      <c r="J7" s="38"/>
      <c r="K7" s="38"/>
      <c r="L7" s="38"/>
      <c r="M7" s="38"/>
      <c r="N7" s="33"/>
      <c r="O7" s="38"/>
      <c r="P7" s="38"/>
      <c r="Q7" s="33"/>
      <c r="R7" s="38"/>
      <c r="S7" s="38"/>
    </row>
    <row r="8" spans="1:20" s="26" customFormat="1" x14ac:dyDescent="0.3">
      <c r="A8" s="39" t="s">
        <v>14</v>
      </c>
      <c r="B8" s="25"/>
      <c r="C8" s="25"/>
      <c r="D8" s="66"/>
      <c r="E8" s="40"/>
      <c r="F8" s="41"/>
      <c r="G8" s="50" t="s">
        <v>69</v>
      </c>
      <c r="H8" s="42"/>
      <c r="I8" s="28">
        <v>-13.311707058027508</v>
      </c>
      <c r="J8" s="28">
        <v>-0.99357001804158662</v>
      </c>
      <c r="K8" s="28">
        <v>0.91615740645899135</v>
      </c>
      <c r="L8" s="28">
        <v>3.1534777866047379</v>
      </c>
      <c r="M8" s="28">
        <v>3.9643120569799173</v>
      </c>
      <c r="N8" s="42"/>
      <c r="O8" s="28">
        <v>-0.50799201582513664</v>
      </c>
      <c r="P8" s="28">
        <v>1.6589890820298305</v>
      </c>
      <c r="Q8" s="42"/>
      <c r="R8" s="43"/>
      <c r="S8" s="43"/>
      <c r="T8" s="6"/>
    </row>
    <row r="9" spans="1:20" x14ac:dyDescent="0.3">
      <c r="A9" s="29" t="s">
        <v>3</v>
      </c>
      <c r="B9" s="29" t="s">
        <v>25</v>
      </c>
      <c r="C9" s="29" t="s">
        <v>6</v>
      </c>
      <c r="D9" s="64" t="s">
        <v>108</v>
      </c>
      <c r="E9" s="31" t="s">
        <v>39</v>
      </c>
      <c r="F9" s="30">
        <v>47.715324000000003</v>
      </c>
      <c r="G9" s="32">
        <v>25994</v>
      </c>
      <c r="H9" s="33"/>
      <c r="I9" s="34">
        <v>-13.307516282344666</v>
      </c>
      <c r="J9" s="34">
        <v>-1.1053920126392058</v>
      </c>
      <c r="K9" s="34">
        <v>0.6036739114867018</v>
      </c>
      <c r="L9" s="34">
        <v>2.6460730674476185</v>
      </c>
      <c r="M9" s="34">
        <v>2.3512366382651084</v>
      </c>
      <c r="N9" s="33"/>
      <c r="O9" s="34">
        <v>0.21456187461255105</v>
      </c>
      <c r="P9" s="34">
        <v>1.8202824700846776</v>
      </c>
      <c r="Q9" s="33"/>
      <c r="R9" s="34">
        <v>6.4003108952888494</v>
      </c>
      <c r="S9" s="34">
        <v>5.625754981856506</v>
      </c>
    </row>
    <row r="10" spans="1:20" x14ac:dyDescent="0.3">
      <c r="A10" s="29" t="s">
        <v>3</v>
      </c>
      <c r="B10" s="29" t="s">
        <v>28</v>
      </c>
      <c r="C10" s="29" t="s">
        <v>109</v>
      </c>
      <c r="D10" s="64" t="s">
        <v>110</v>
      </c>
      <c r="E10" s="31" t="s">
        <v>40</v>
      </c>
      <c r="F10" s="30">
        <v>0</v>
      </c>
      <c r="G10" s="32">
        <v>0</v>
      </c>
      <c r="H10" s="33"/>
      <c r="I10" s="34">
        <v>-10.4375</v>
      </c>
      <c r="J10" s="34">
        <v>-1.8916819725354306</v>
      </c>
      <c r="K10" s="34">
        <v>-0.37262974333067689</v>
      </c>
      <c r="L10" s="34" t="s">
        <v>54</v>
      </c>
      <c r="M10" s="34" t="s">
        <v>54</v>
      </c>
      <c r="N10" s="33"/>
      <c r="O10" s="34">
        <v>-0.60878078716869455</v>
      </c>
      <c r="P10" s="34">
        <v>0.65344803115054972</v>
      </c>
      <c r="Q10" s="33"/>
      <c r="R10" s="34">
        <v>4.2537888443439398</v>
      </c>
      <c r="S10" s="34" t="s">
        <v>54</v>
      </c>
    </row>
    <row r="11" spans="1:20" x14ac:dyDescent="0.3">
      <c r="A11" s="29" t="s">
        <v>3</v>
      </c>
      <c r="B11" s="29" t="s">
        <v>29</v>
      </c>
      <c r="C11" s="29" t="s">
        <v>111</v>
      </c>
      <c r="D11" s="64" t="s">
        <v>110</v>
      </c>
      <c r="E11" s="31" t="s">
        <v>39</v>
      </c>
      <c r="F11" s="30">
        <v>0</v>
      </c>
      <c r="G11" s="32">
        <v>0</v>
      </c>
      <c r="H11" s="33"/>
      <c r="I11" s="34">
        <v>-10.967379077615302</v>
      </c>
      <c r="J11" s="34">
        <v>1.0530749867232458E-2</v>
      </c>
      <c r="K11" s="34">
        <v>1.2795240446603851</v>
      </c>
      <c r="L11" s="34" t="s">
        <v>54</v>
      </c>
      <c r="M11" s="34" t="s">
        <v>54</v>
      </c>
      <c r="N11" s="33"/>
      <c r="O11" s="34">
        <v>1.3153748665471809</v>
      </c>
      <c r="P11" s="34">
        <v>2.4899005103374394</v>
      </c>
      <c r="Q11" s="33"/>
      <c r="R11" s="34">
        <v>6.5287550484531147</v>
      </c>
      <c r="S11" s="34" t="s">
        <v>54</v>
      </c>
    </row>
    <row r="12" spans="1:20" x14ac:dyDescent="0.3">
      <c r="A12" s="29" t="s">
        <v>35</v>
      </c>
      <c r="B12" s="29" t="s">
        <v>22</v>
      </c>
      <c r="C12" s="29" t="s">
        <v>8</v>
      </c>
      <c r="D12" s="64" t="s">
        <v>112</v>
      </c>
      <c r="E12" s="31" t="s">
        <v>41</v>
      </c>
      <c r="F12" s="30">
        <v>3.4671439999999998</v>
      </c>
      <c r="G12" s="32">
        <v>1493</v>
      </c>
      <c r="H12" s="33"/>
      <c r="I12" s="34">
        <v>-18.072003789673154</v>
      </c>
      <c r="J12" s="34">
        <v>-3.2717583575039733</v>
      </c>
      <c r="K12" s="34">
        <v>0.26224136435213374</v>
      </c>
      <c r="L12" s="34" t="s">
        <v>54</v>
      </c>
      <c r="M12" s="34" t="s">
        <v>54</v>
      </c>
      <c r="N12" s="33"/>
      <c r="O12" s="34">
        <v>-3.4898058221304762</v>
      </c>
      <c r="P12" s="34">
        <v>0.6747022257705293</v>
      </c>
      <c r="Q12" s="33"/>
      <c r="R12" s="34">
        <v>10.135939192718581</v>
      </c>
      <c r="S12" s="34" t="s">
        <v>54</v>
      </c>
    </row>
    <row r="13" spans="1:20" x14ac:dyDescent="0.3">
      <c r="A13" s="29" t="s">
        <v>35</v>
      </c>
      <c r="B13" s="29" t="s">
        <v>23</v>
      </c>
      <c r="C13" s="29" t="s">
        <v>7</v>
      </c>
      <c r="D13" s="64" t="s">
        <v>113</v>
      </c>
      <c r="E13" s="31" t="s">
        <v>41</v>
      </c>
      <c r="F13" s="30">
        <v>16.865486000000001</v>
      </c>
      <c r="G13" s="32">
        <v>4920</v>
      </c>
      <c r="H13" s="33"/>
      <c r="I13" s="34">
        <v>-11.976798871296445</v>
      </c>
      <c r="J13" s="34">
        <v>-0.12435614178775145</v>
      </c>
      <c r="K13" s="34">
        <v>1.934655912173544</v>
      </c>
      <c r="L13" s="34">
        <v>4.5890119048454414</v>
      </c>
      <c r="M13" s="34">
        <v>4.563664292888614</v>
      </c>
      <c r="N13" s="33"/>
      <c r="O13" s="34">
        <v>-1.8715261318274279</v>
      </c>
      <c r="P13" s="34">
        <v>1.405008734108848</v>
      </c>
      <c r="Q13" s="33"/>
      <c r="R13" s="34">
        <v>8.0772939196204252</v>
      </c>
      <c r="S13" s="34">
        <v>7.1128238980926435</v>
      </c>
    </row>
    <row r="14" spans="1:20" x14ac:dyDescent="0.3">
      <c r="A14" s="29" t="s">
        <v>53</v>
      </c>
      <c r="B14" s="29" t="s">
        <v>51</v>
      </c>
      <c r="C14" s="57" t="s">
        <v>80</v>
      </c>
      <c r="D14" s="64" t="s">
        <v>117</v>
      </c>
      <c r="E14" s="31" t="s">
        <v>55</v>
      </c>
      <c r="F14" s="30">
        <v>0.45653899999999997</v>
      </c>
      <c r="G14" s="32">
        <v>125</v>
      </c>
      <c r="H14" s="33"/>
      <c r="I14" s="34">
        <v>-17.159871736142918</v>
      </c>
      <c r="J14" s="61">
        <v>-3.3815556897588084</v>
      </c>
      <c r="K14" s="61" t="s">
        <v>54</v>
      </c>
      <c r="L14" s="61" t="s">
        <v>54</v>
      </c>
      <c r="M14" s="61" t="s">
        <v>54</v>
      </c>
      <c r="N14" s="33"/>
      <c r="O14" s="61">
        <v>-2.8641256594788445</v>
      </c>
      <c r="P14" s="61" t="s">
        <v>54</v>
      </c>
      <c r="Q14" s="33"/>
      <c r="R14" s="61" t="s">
        <v>54</v>
      </c>
      <c r="S14" s="61" t="s">
        <v>54</v>
      </c>
    </row>
    <row r="15" spans="1:20" x14ac:dyDescent="0.3">
      <c r="A15" s="29" t="s">
        <v>53</v>
      </c>
      <c r="B15" s="29" t="s">
        <v>52</v>
      </c>
      <c r="C15" s="29" t="s">
        <v>86</v>
      </c>
      <c r="D15" s="64" t="s">
        <v>117</v>
      </c>
      <c r="E15" s="31" t="s">
        <v>56</v>
      </c>
      <c r="F15" s="30">
        <v>1.1117980000000001</v>
      </c>
      <c r="G15" s="32">
        <v>514</v>
      </c>
      <c r="H15" s="33"/>
      <c r="I15" s="34">
        <v>-17.168850680243718</v>
      </c>
      <c r="J15" s="61">
        <v>-0.58426509454686526</v>
      </c>
      <c r="K15" s="61" t="s">
        <v>54</v>
      </c>
      <c r="L15" s="61" t="s">
        <v>54</v>
      </c>
      <c r="M15" s="61" t="s">
        <v>54</v>
      </c>
      <c r="N15" s="33"/>
      <c r="O15" s="61">
        <v>0.1490697648006023</v>
      </c>
      <c r="P15" s="61" t="s">
        <v>54</v>
      </c>
      <c r="Q15" s="33"/>
      <c r="R15" s="61" t="s">
        <v>54</v>
      </c>
      <c r="S15" s="61" t="s">
        <v>54</v>
      </c>
    </row>
    <row r="16" spans="1:20" x14ac:dyDescent="0.3">
      <c r="A16" s="29" t="s">
        <v>53</v>
      </c>
      <c r="B16" s="29" t="s">
        <v>84</v>
      </c>
      <c r="C16" s="29" t="s">
        <v>89</v>
      </c>
      <c r="D16" s="64" t="s">
        <v>114</v>
      </c>
      <c r="E16" s="31" t="s">
        <v>55</v>
      </c>
      <c r="F16" s="30">
        <v>0.16708200000000001</v>
      </c>
      <c r="G16" s="32">
        <v>619</v>
      </c>
      <c r="H16" s="33"/>
      <c r="I16" s="34" t="s">
        <v>54</v>
      </c>
      <c r="J16" s="61" t="s">
        <v>54</v>
      </c>
      <c r="K16" s="61" t="s">
        <v>54</v>
      </c>
      <c r="L16" s="61" t="s">
        <v>54</v>
      </c>
      <c r="M16" s="61" t="s">
        <v>54</v>
      </c>
      <c r="N16" s="33"/>
      <c r="O16" s="61" t="s">
        <v>54</v>
      </c>
      <c r="P16" s="61" t="s">
        <v>54</v>
      </c>
      <c r="Q16" s="33"/>
      <c r="R16" s="61" t="s">
        <v>54</v>
      </c>
      <c r="S16" s="61" t="s">
        <v>54</v>
      </c>
    </row>
    <row r="17" spans="1:20" x14ac:dyDescent="0.3">
      <c r="A17" s="29" t="s">
        <v>53</v>
      </c>
      <c r="B17" s="29" t="s">
        <v>83</v>
      </c>
      <c r="C17" s="29" t="s">
        <v>90</v>
      </c>
      <c r="D17" s="64" t="s">
        <v>114</v>
      </c>
      <c r="E17" s="31" t="s">
        <v>56</v>
      </c>
      <c r="F17" s="30">
        <v>0.60600100000000001</v>
      </c>
      <c r="G17" s="32">
        <v>3982</v>
      </c>
      <c r="H17" s="33"/>
      <c r="I17" s="34" t="s">
        <v>54</v>
      </c>
      <c r="J17" s="61" t="s">
        <v>54</v>
      </c>
      <c r="K17" s="61" t="s">
        <v>54</v>
      </c>
      <c r="L17" s="61" t="s">
        <v>54</v>
      </c>
      <c r="M17" s="61" t="s">
        <v>54</v>
      </c>
      <c r="N17" s="33"/>
      <c r="O17" s="61" t="s">
        <v>54</v>
      </c>
      <c r="P17" s="61" t="s">
        <v>54</v>
      </c>
      <c r="Q17" s="33"/>
      <c r="R17" s="61" t="s">
        <v>54</v>
      </c>
      <c r="S17" s="61" t="s">
        <v>54</v>
      </c>
    </row>
    <row r="18" spans="1:20" x14ac:dyDescent="0.3">
      <c r="A18" s="29" t="s">
        <v>36</v>
      </c>
      <c r="B18" s="29" t="s">
        <v>57</v>
      </c>
      <c r="C18" s="29" t="s">
        <v>58</v>
      </c>
      <c r="D18" s="64" t="s">
        <v>115</v>
      </c>
      <c r="E18" s="31" t="s">
        <v>72</v>
      </c>
      <c r="F18" s="30">
        <v>1.4800789999999999</v>
      </c>
      <c r="G18" s="32">
        <v>429</v>
      </c>
      <c r="H18" s="33"/>
      <c r="I18" s="34">
        <v>-14.134220914931506</v>
      </c>
      <c r="J18" s="61" t="s">
        <v>54</v>
      </c>
      <c r="K18" s="61" t="s">
        <v>54</v>
      </c>
      <c r="L18" s="61" t="s">
        <v>54</v>
      </c>
      <c r="M18" s="61" t="s">
        <v>54</v>
      </c>
      <c r="N18" s="33"/>
      <c r="O18" s="61" t="s">
        <v>54</v>
      </c>
      <c r="P18" s="61" t="s">
        <v>54</v>
      </c>
      <c r="Q18" s="33"/>
      <c r="R18" s="61" t="s">
        <v>54</v>
      </c>
      <c r="S18" s="61" t="s">
        <v>54</v>
      </c>
    </row>
    <row r="19" spans="1:20" x14ac:dyDescent="0.3">
      <c r="A19" s="29" t="s">
        <v>100</v>
      </c>
      <c r="B19" s="29" t="s">
        <v>102</v>
      </c>
      <c r="C19" s="29" t="s">
        <v>105</v>
      </c>
      <c r="D19" s="64" t="s">
        <v>103</v>
      </c>
      <c r="E19" s="31" t="s">
        <v>56</v>
      </c>
      <c r="F19" s="30">
        <v>7.9131999999999994E-2</v>
      </c>
      <c r="G19" s="32">
        <v>31</v>
      </c>
      <c r="H19" s="33"/>
      <c r="I19" s="34" t="s">
        <v>54</v>
      </c>
      <c r="J19" s="61" t="s">
        <v>54</v>
      </c>
      <c r="K19" s="61" t="s">
        <v>54</v>
      </c>
      <c r="L19" s="61" t="s">
        <v>54</v>
      </c>
      <c r="M19" s="61" t="s">
        <v>54</v>
      </c>
      <c r="N19" s="33"/>
      <c r="O19" s="61" t="s">
        <v>54</v>
      </c>
      <c r="P19" s="61" t="s">
        <v>54</v>
      </c>
      <c r="Q19" s="33"/>
      <c r="R19" s="61" t="s">
        <v>54</v>
      </c>
      <c r="S19" s="61" t="s">
        <v>54</v>
      </c>
    </row>
    <row r="20" spans="1:20" x14ac:dyDescent="0.3">
      <c r="A20" s="6"/>
      <c r="B20" s="6"/>
      <c r="C20" s="6"/>
      <c r="D20" s="65"/>
      <c r="E20" s="36"/>
      <c r="F20" s="35"/>
      <c r="G20" s="51"/>
      <c r="H20" s="33"/>
      <c r="I20" s="38"/>
      <c r="J20" s="38"/>
      <c r="K20" s="38"/>
      <c r="L20" s="38"/>
      <c r="M20" s="38"/>
      <c r="N20" s="33"/>
      <c r="O20" s="38"/>
      <c r="P20" s="38"/>
      <c r="Q20" s="33"/>
      <c r="R20" s="38"/>
      <c r="S20" s="38"/>
    </row>
    <row r="21" spans="1:20" s="26" customFormat="1" x14ac:dyDescent="0.3">
      <c r="A21" s="25" t="s">
        <v>15</v>
      </c>
      <c r="B21" s="25"/>
      <c r="C21" s="25"/>
      <c r="D21" s="67"/>
      <c r="E21" s="40"/>
      <c r="F21" s="41"/>
      <c r="G21" s="50" t="s">
        <v>69</v>
      </c>
      <c r="H21" s="42"/>
      <c r="I21" s="28">
        <v>-13.291076824796299</v>
      </c>
      <c r="J21" s="28">
        <v>4.2654334758170211</v>
      </c>
      <c r="K21" s="28">
        <v>5.4586364381888064</v>
      </c>
      <c r="L21" s="28">
        <v>7.1419637852390725</v>
      </c>
      <c r="M21" s="28">
        <v>9.9334974288305879</v>
      </c>
      <c r="N21" s="42"/>
      <c r="O21" s="28">
        <v>5.5515973697898886</v>
      </c>
      <c r="P21" s="28">
        <v>6.5440718131063127</v>
      </c>
      <c r="Q21" s="42"/>
      <c r="R21" s="43"/>
      <c r="S21" s="43"/>
      <c r="T21" s="6"/>
    </row>
    <row r="22" spans="1:20" x14ac:dyDescent="0.3">
      <c r="A22" s="29" t="s">
        <v>3</v>
      </c>
      <c r="B22" s="29" t="s">
        <v>27</v>
      </c>
      <c r="C22" s="29" t="s">
        <v>11</v>
      </c>
      <c r="D22" s="64" t="s">
        <v>113</v>
      </c>
      <c r="E22" s="31" t="s">
        <v>42</v>
      </c>
      <c r="F22" s="30">
        <v>12.580876999999999</v>
      </c>
      <c r="G22" s="32">
        <v>5139</v>
      </c>
      <c r="H22" s="33"/>
      <c r="I22" s="34">
        <v>-17.297833636513982</v>
      </c>
      <c r="J22" s="34">
        <v>2.691455327451453</v>
      </c>
      <c r="K22" s="34">
        <v>4.6677613215717839</v>
      </c>
      <c r="L22" s="34">
        <v>6.8341408144165561</v>
      </c>
      <c r="M22" s="34">
        <v>3.9822414548348783</v>
      </c>
      <c r="N22" s="33"/>
      <c r="O22" s="34">
        <v>4.772906707444502</v>
      </c>
      <c r="P22" s="34">
        <v>6.525737859718439</v>
      </c>
      <c r="Q22" s="33"/>
      <c r="R22" s="34">
        <v>14.373918529075544</v>
      </c>
      <c r="S22" s="34">
        <v>12.317467067519793</v>
      </c>
    </row>
    <row r="23" spans="1:20" x14ac:dyDescent="0.3">
      <c r="A23" s="29" t="s">
        <v>35</v>
      </c>
      <c r="B23" s="29" t="s">
        <v>20</v>
      </c>
      <c r="C23" s="29" t="s">
        <v>12</v>
      </c>
      <c r="D23" s="64" t="s">
        <v>107</v>
      </c>
      <c r="E23" s="31" t="s">
        <v>42</v>
      </c>
      <c r="F23" s="30">
        <v>8.2355049999999999</v>
      </c>
      <c r="G23" s="32">
        <v>3467</v>
      </c>
      <c r="H23" s="33"/>
      <c r="I23" s="34">
        <v>-7.0244328097731179</v>
      </c>
      <c r="J23" s="34">
        <v>4.939947920762422</v>
      </c>
      <c r="K23" s="34">
        <v>5.8463331169595456</v>
      </c>
      <c r="L23" s="34">
        <v>6.8948082997445592</v>
      </c>
      <c r="M23" s="34">
        <v>-1.8517183367081747</v>
      </c>
      <c r="N23" s="33"/>
      <c r="O23" s="34">
        <v>4.8595680679604625</v>
      </c>
      <c r="P23" s="34">
        <v>2.7623198568296869</v>
      </c>
      <c r="Q23" s="33"/>
      <c r="R23" s="34">
        <v>12.352356560487078</v>
      </c>
      <c r="S23" s="34">
        <v>10.702844411349485</v>
      </c>
    </row>
    <row r="24" spans="1:20" x14ac:dyDescent="0.3">
      <c r="A24" s="29" t="s">
        <v>35</v>
      </c>
      <c r="B24" s="29" t="s">
        <v>21</v>
      </c>
      <c r="C24" s="29" t="s">
        <v>13</v>
      </c>
      <c r="D24" s="64" t="s">
        <v>113</v>
      </c>
      <c r="E24" s="31" t="s">
        <v>42</v>
      </c>
      <c r="F24" s="30">
        <v>49.863194</v>
      </c>
      <c r="G24" s="32">
        <v>17176</v>
      </c>
      <c r="H24" s="33"/>
      <c r="I24" s="34">
        <v>-11.008751727314593</v>
      </c>
      <c r="J24" s="34">
        <v>4.4538510437886369</v>
      </c>
      <c r="K24" s="34">
        <v>5.9919663416614144</v>
      </c>
      <c r="L24" s="34">
        <v>8.0652635512822535</v>
      </c>
      <c r="M24" s="34">
        <v>6.8763180162568327</v>
      </c>
      <c r="N24" s="33"/>
      <c r="O24" s="34">
        <v>5.1903969869623978</v>
      </c>
      <c r="P24" s="34">
        <v>6.8958569244255363</v>
      </c>
      <c r="Q24" s="33"/>
      <c r="R24" s="34">
        <v>12.914656672830894</v>
      </c>
      <c r="S24" s="34">
        <v>11.440717475437079</v>
      </c>
    </row>
    <row r="25" spans="1:20" x14ac:dyDescent="0.3">
      <c r="A25" s="29" t="s">
        <v>36</v>
      </c>
      <c r="B25" s="29" t="s">
        <v>19</v>
      </c>
      <c r="C25" s="29" t="s">
        <v>59</v>
      </c>
      <c r="D25" s="64" t="s">
        <v>108</v>
      </c>
      <c r="E25" s="31" t="s">
        <v>42</v>
      </c>
      <c r="F25" s="30">
        <v>41.357720999999998</v>
      </c>
      <c r="G25" s="32">
        <v>11682</v>
      </c>
      <c r="H25" s="33"/>
      <c r="I25" s="34">
        <v>-15.731559854897215</v>
      </c>
      <c r="J25" s="34">
        <v>3.9575959566019892</v>
      </c>
      <c r="K25" s="34">
        <v>4.9209302529518828</v>
      </c>
      <c r="L25" s="34">
        <v>6.1716360879245702</v>
      </c>
      <c r="M25" s="34">
        <v>2.7784110589913258</v>
      </c>
      <c r="N25" s="33"/>
      <c r="O25" s="34">
        <v>5.9467041027926992</v>
      </c>
      <c r="P25" s="34">
        <v>6.8785719927741074</v>
      </c>
      <c r="Q25" s="33"/>
      <c r="R25" s="34">
        <v>13.312517878046846</v>
      </c>
      <c r="S25" s="34">
        <v>11.374549432924139</v>
      </c>
    </row>
    <row r="26" spans="1:20" x14ac:dyDescent="0.3">
      <c r="A26" s="29" t="s">
        <v>36</v>
      </c>
      <c r="B26" s="29" t="s">
        <v>79</v>
      </c>
      <c r="C26" s="29" t="s">
        <v>87</v>
      </c>
      <c r="D26" s="64" t="s">
        <v>116</v>
      </c>
      <c r="E26" s="31" t="s">
        <v>42</v>
      </c>
      <c r="F26" s="30">
        <v>0.98724599999999996</v>
      </c>
      <c r="G26" s="32">
        <v>559</v>
      </c>
      <c r="H26" s="33"/>
      <c r="I26" s="61">
        <v>-17.510000000000005</v>
      </c>
      <c r="J26" s="61" t="s">
        <v>54</v>
      </c>
      <c r="K26" s="61" t="s">
        <v>54</v>
      </c>
      <c r="L26" s="61" t="s">
        <v>54</v>
      </c>
      <c r="M26" s="61" t="s">
        <v>54</v>
      </c>
      <c r="N26" s="33"/>
      <c r="O26" s="61" t="s">
        <v>54</v>
      </c>
      <c r="P26" s="61" t="s">
        <v>54</v>
      </c>
      <c r="Q26" s="33"/>
      <c r="R26" s="61" t="s">
        <v>54</v>
      </c>
      <c r="S26" s="61" t="s">
        <v>54</v>
      </c>
    </row>
    <row r="27" spans="1:20" x14ac:dyDescent="0.3">
      <c r="A27" s="29" t="s">
        <v>53</v>
      </c>
      <c r="B27" s="29" t="s">
        <v>50</v>
      </c>
      <c r="C27" s="29" t="s">
        <v>81</v>
      </c>
      <c r="D27" s="64" t="s">
        <v>117</v>
      </c>
      <c r="E27" s="31" t="s">
        <v>42</v>
      </c>
      <c r="F27" s="30">
        <v>3.7779850000000001</v>
      </c>
      <c r="G27" s="32">
        <v>1370</v>
      </c>
      <c r="H27" s="33"/>
      <c r="I27" s="34">
        <v>-15.884295147861039</v>
      </c>
      <c r="J27" s="61">
        <v>4.6541780577756375</v>
      </c>
      <c r="K27" s="61" t="s">
        <v>54</v>
      </c>
      <c r="L27" s="61" t="s">
        <v>54</v>
      </c>
      <c r="M27" s="61" t="s">
        <v>54</v>
      </c>
      <c r="N27" s="33"/>
      <c r="O27" s="61">
        <v>4.5436159625907191</v>
      </c>
      <c r="P27" s="61" t="s">
        <v>54</v>
      </c>
      <c r="Q27" s="33"/>
      <c r="R27" s="61" t="s">
        <v>54</v>
      </c>
      <c r="S27" s="61" t="s">
        <v>54</v>
      </c>
    </row>
    <row r="28" spans="1:20" x14ac:dyDescent="0.3">
      <c r="A28" s="29" t="s">
        <v>53</v>
      </c>
      <c r="B28" s="29" t="s">
        <v>82</v>
      </c>
      <c r="C28" s="29" t="s">
        <v>91</v>
      </c>
      <c r="D28" s="64" t="s">
        <v>114</v>
      </c>
      <c r="E28" s="31" t="s">
        <v>42</v>
      </c>
      <c r="F28" s="30">
        <v>1.233579</v>
      </c>
      <c r="G28" s="32">
        <v>7837</v>
      </c>
      <c r="H28" s="33"/>
      <c r="I28" s="34" t="s">
        <v>54</v>
      </c>
      <c r="J28" s="61" t="s">
        <v>54</v>
      </c>
      <c r="K28" s="61" t="s">
        <v>54</v>
      </c>
      <c r="L28" s="61" t="s">
        <v>54</v>
      </c>
      <c r="M28" s="61" t="s">
        <v>54</v>
      </c>
      <c r="N28" s="33"/>
      <c r="O28" s="61" t="s">
        <v>54</v>
      </c>
      <c r="P28" s="61" t="s">
        <v>54</v>
      </c>
      <c r="Q28" s="33"/>
      <c r="R28" s="61" t="s">
        <v>54</v>
      </c>
      <c r="S28" s="61" t="s">
        <v>54</v>
      </c>
    </row>
    <row r="29" spans="1:20" x14ac:dyDescent="0.3">
      <c r="A29" s="29" t="s">
        <v>3</v>
      </c>
      <c r="B29" s="29" t="s">
        <v>77</v>
      </c>
      <c r="C29" s="29" t="s">
        <v>78</v>
      </c>
      <c r="D29" s="64" t="s">
        <v>118</v>
      </c>
      <c r="E29" s="31" t="s">
        <v>42</v>
      </c>
      <c r="F29" s="30">
        <v>1.6476630000000001</v>
      </c>
      <c r="G29" s="32">
        <v>659</v>
      </c>
      <c r="H29" s="33"/>
      <c r="I29" s="34">
        <v>-16.906787016143021</v>
      </c>
      <c r="J29" s="61" t="s">
        <v>54</v>
      </c>
      <c r="K29" s="61" t="s">
        <v>54</v>
      </c>
      <c r="L29" s="61" t="s">
        <v>54</v>
      </c>
      <c r="M29" s="61" t="s">
        <v>54</v>
      </c>
      <c r="N29" s="33"/>
      <c r="O29" s="61" t="s">
        <v>54</v>
      </c>
      <c r="P29" s="61" t="s">
        <v>54</v>
      </c>
      <c r="Q29" s="33"/>
      <c r="R29" s="61" t="s">
        <v>54</v>
      </c>
      <c r="S29" s="61" t="s">
        <v>54</v>
      </c>
    </row>
    <row r="30" spans="1:20" x14ac:dyDescent="0.3">
      <c r="A30" s="29" t="s">
        <v>100</v>
      </c>
      <c r="B30" s="29" t="s">
        <v>101</v>
      </c>
      <c r="C30" s="29" t="s">
        <v>104</v>
      </c>
      <c r="D30" s="64" t="s">
        <v>103</v>
      </c>
      <c r="E30" s="31" t="s">
        <v>42</v>
      </c>
      <c r="F30" s="30">
        <v>0.43999899999999997</v>
      </c>
      <c r="G30" s="32">
        <v>194</v>
      </c>
      <c r="H30" s="33"/>
      <c r="I30" s="34" t="s">
        <v>54</v>
      </c>
      <c r="J30" s="61" t="s">
        <v>54</v>
      </c>
      <c r="K30" s="61" t="s">
        <v>54</v>
      </c>
      <c r="L30" s="61" t="s">
        <v>54</v>
      </c>
      <c r="M30" s="61" t="s">
        <v>54</v>
      </c>
      <c r="N30" s="33"/>
      <c r="O30" s="61" t="s">
        <v>54</v>
      </c>
      <c r="P30" s="61" t="s">
        <v>54</v>
      </c>
      <c r="Q30" s="33"/>
      <c r="R30" s="61" t="s">
        <v>54</v>
      </c>
      <c r="S30" s="61" t="s">
        <v>54</v>
      </c>
    </row>
    <row r="31" spans="1:20" x14ac:dyDescent="0.3">
      <c r="D31" s="7"/>
      <c r="E31" s="8"/>
      <c r="F31" s="7"/>
      <c r="G31" s="9"/>
      <c r="H31" s="3"/>
      <c r="I31" s="4"/>
      <c r="J31" s="4"/>
      <c r="K31" s="4"/>
      <c r="L31" s="4"/>
      <c r="M31" s="4"/>
      <c r="N31" s="3"/>
      <c r="O31" s="4"/>
      <c r="P31" s="4"/>
      <c r="Q31" s="3"/>
      <c r="R31" s="4"/>
      <c r="S31" s="4"/>
    </row>
    <row r="33" spans="1:20" s="18" customFormat="1" x14ac:dyDescent="0.35">
      <c r="A33" s="5"/>
      <c r="B33" s="5"/>
      <c r="C33" s="5"/>
      <c r="D33" s="44"/>
      <c r="E33" s="45"/>
      <c r="F33" s="46"/>
      <c r="G33" s="47" t="s">
        <v>76</v>
      </c>
      <c r="H33" s="46"/>
      <c r="I33" s="48">
        <v>-13.130110109107305</v>
      </c>
      <c r="J33" s="48">
        <v>1.3620454500963357</v>
      </c>
      <c r="K33" s="48">
        <v>2.9144412116813414</v>
      </c>
      <c r="L33" s="48">
        <v>5.1310803082717973</v>
      </c>
      <c r="M33" s="48">
        <v>6.212544163407629</v>
      </c>
      <c r="N33" s="48"/>
      <c r="O33" s="48">
        <v>2.1132721654747777</v>
      </c>
      <c r="P33" s="48">
        <v>3.7509161301392764</v>
      </c>
      <c r="Q33" s="46"/>
      <c r="R33" s="49"/>
      <c r="S33" s="49"/>
      <c r="T33" s="5"/>
    </row>
    <row r="35" spans="1:20" x14ac:dyDescent="0.3">
      <c r="A35" s="68" t="s">
        <v>119</v>
      </c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</row>
    <row r="36" spans="1:20" x14ac:dyDescent="0.3">
      <c r="A36" s="68" t="s">
        <v>62</v>
      </c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</row>
    <row r="37" spans="1:20" x14ac:dyDescent="0.3">
      <c r="A37" s="68" t="s">
        <v>64</v>
      </c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</row>
    <row r="38" spans="1:20" x14ac:dyDescent="0.3">
      <c r="A38" s="68" t="s">
        <v>66</v>
      </c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</row>
    <row r="39" spans="1:20" x14ac:dyDescent="0.3">
      <c r="A39" s="68" t="s">
        <v>68</v>
      </c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O39" s="1"/>
      <c r="P39" s="1"/>
      <c r="R39" s="1"/>
      <c r="S39" s="1"/>
      <c r="T39" s="1"/>
    </row>
    <row r="40" spans="1:20" x14ac:dyDescent="0.3">
      <c r="A40" s="68" t="s">
        <v>120</v>
      </c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O40" s="1"/>
      <c r="P40" s="1"/>
      <c r="R40" s="1"/>
      <c r="S40" s="1"/>
      <c r="T40" s="1"/>
    </row>
    <row r="41" spans="1:20" x14ac:dyDescent="0.3">
      <c r="A41" s="68" t="s">
        <v>71</v>
      </c>
      <c r="O41" s="1"/>
      <c r="P41" s="1"/>
      <c r="R41" s="1"/>
      <c r="S41" s="1"/>
      <c r="T41" s="1"/>
    </row>
    <row r="42" spans="1:20" x14ac:dyDescent="0.3">
      <c r="A42" s="68" t="s">
        <v>88</v>
      </c>
      <c r="O42" s="1"/>
      <c r="P42" s="1"/>
      <c r="R42" s="1"/>
      <c r="S42" s="1"/>
      <c r="T42" s="1"/>
    </row>
    <row r="43" spans="1:20" x14ac:dyDescent="0.3">
      <c r="A43" s="68" t="s">
        <v>121</v>
      </c>
    </row>
    <row r="44" spans="1:20" x14ac:dyDescent="0.3">
      <c r="A44" s="68" t="s">
        <v>122</v>
      </c>
    </row>
    <row r="45" spans="1:20" x14ac:dyDescent="0.3">
      <c r="A45" s="68" t="s">
        <v>123</v>
      </c>
      <c r="P45" s="1"/>
      <c r="R45" s="1"/>
      <c r="S45" s="1"/>
      <c r="T45" s="1"/>
    </row>
    <row r="46" spans="1:20" x14ac:dyDescent="0.3">
      <c r="A46" s="68" t="s">
        <v>124</v>
      </c>
      <c r="P46" s="1"/>
      <c r="R46" s="1"/>
      <c r="S46" s="1"/>
      <c r="T46" s="1"/>
    </row>
    <row r="47" spans="1:20" x14ac:dyDescent="0.3">
      <c r="A47" s="68" t="s">
        <v>125</v>
      </c>
      <c r="P47" s="1"/>
      <c r="R47" s="1"/>
      <c r="S47" s="1"/>
      <c r="T47" s="1"/>
    </row>
    <row r="48" spans="1:20" x14ac:dyDescent="0.3">
      <c r="A48" s="68" t="s">
        <v>126</v>
      </c>
    </row>
  </sheetData>
  <mergeCells count="3">
    <mergeCell ref="O1:P1"/>
    <mergeCell ref="I1:M1"/>
    <mergeCell ref="R1:S1"/>
  </mergeCells>
  <phoneticPr fontId="13" type="noConversion"/>
  <conditionalFormatting sqref="I4:L6">
    <cfRule type="cellIs" dxfId="129" priority="183" operator="greaterThanOrEqual">
      <formula>0</formula>
    </cfRule>
    <cfRule type="cellIs" dxfId="128" priority="184" operator="lessThan">
      <formula>0</formula>
    </cfRule>
  </conditionalFormatting>
  <conditionalFormatting sqref="I9:L15 I16:I19">
    <cfRule type="cellIs" dxfId="127" priority="181" operator="greaterThanOrEqual">
      <formula>0</formula>
    </cfRule>
    <cfRule type="cellIs" dxfId="126" priority="182" operator="lessThan">
      <formula>0</formula>
    </cfRule>
  </conditionalFormatting>
  <conditionalFormatting sqref="I22:L25">
    <cfRule type="cellIs" dxfId="125" priority="179" operator="greaterThanOrEqual">
      <formula>0</formula>
    </cfRule>
    <cfRule type="cellIs" dxfId="124" priority="180" operator="lessThan">
      <formula>0</formula>
    </cfRule>
  </conditionalFormatting>
  <conditionalFormatting sqref="O4:P6">
    <cfRule type="cellIs" dxfId="123" priority="177" operator="greaterThanOrEqual">
      <formula>0</formula>
    </cfRule>
    <cfRule type="cellIs" dxfId="122" priority="178" operator="lessThan">
      <formula>0</formula>
    </cfRule>
  </conditionalFormatting>
  <conditionalFormatting sqref="O9:P13">
    <cfRule type="cellIs" dxfId="121" priority="175" operator="greaterThanOrEqual">
      <formula>0</formula>
    </cfRule>
    <cfRule type="cellIs" dxfId="120" priority="176" operator="lessThan">
      <formula>0</formula>
    </cfRule>
  </conditionalFormatting>
  <conditionalFormatting sqref="O22:P25">
    <cfRule type="cellIs" dxfId="119" priority="173" operator="greaterThanOrEqual">
      <formula>0</formula>
    </cfRule>
    <cfRule type="cellIs" dxfId="118" priority="174" operator="lessThan">
      <formula>0</formula>
    </cfRule>
  </conditionalFormatting>
  <conditionalFormatting sqref="R4:S6">
    <cfRule type="cellIs" dxfId="117" priority="171" operator="greaterThanOrEqual">
      <formula>0</formula>
    </cfRule>
    <cfRule type="cellIs" dxfId="116" priority="172" operator="lessThan">
      <formula>0</formula>
    </cfRule>
  </conditionalFormatting>
  <conditionalFormatting sqref="R9:S13">
    <cfRule type="cellIs" dxfId="115" priority="169" operator="greaterThanOrEqual">
      <formula>0</formula>
    </cfRule>
    <cfRule type="cellIs" dxfId="114" priority="170" operator="lessThan">
      <formula>0</formula>
    </cfRule>
  </conditionalFormatting>
  <conditionalFormatting sqref="R22:S25">
    <cfRule type="cellIs" dxfId="113" priority="167" operator="greaterThanOrEqual">
      <formula>0</formula>
    </cfRule>
    <cfRule type="cellIs" dxfId="112" priority="168" operator="lessThan">
      <formula>0</formula>
    </cfRule>
  </conditionalFormatting>
  <conditionalFormatting sqref="I48:S1048576 I34:S42 I43:J43 L43:S43 I44:S44 P45:S47">
    <cfRule type="duplicateValues" dxfId="111" priority="220"/>
  </conditionalFormatting>
  <conditionalFormatting sqref="R14:S15">
    <cfRule type="cellIs" dxfId="110" priority="131" operator="greaterThanOrEqual">
      <formula>0</formula>
    </cfRule>
    <cfRule type="cellIs" dxfId="109" priority="132" operator="lessThan">
      <formula>0</formula>
    </cfRule>
  </conditionalFormatting>
  <conditionalFormatting sqref="O14:P15">
    <cfRule type="cellIs" dxfId="108" priority="133" operator="greaterThanOrEqual">
      <formula>0</formula>
    </cfRule>
    <cfRule type="cellIs" dxfId="107" priority="134" operator="lessThan">
      <formula>0</formula>
    </cfRule>
  </conditionalFormatting>
  <conditionalFormatting sqref="O27:P27">
    <cfRule type="cellIs" dxfId="106" priority="129" operator="greaterThanOrEqual">
      <formula>0</formula>
    </cfRule>
    <cfRule type="cellIs" dxfId="105" priority="130" operator="lessThan">
      <formula>0</formula>
    </cfRule>
  </conditionalFormatting>
  <conditionalFormatting sqref="R27:S27">
    <cfRule type="cellIs" dxfId="104" priority="127" operator="greaterThanOrEqual">
      <formula>0</formula>
    </cfRule>
    <cfRule type="cellIs" dxfId="103" priority="128" operator="lessThan">
      <formula>0</formula>
    </cfRule>
  </conditionalFormatting>
  <conditionalFormatting sqref="J27:L27">
    <cfRule type="cellIs" dxfId="102" priority="125" operator="greaterThanOrEqual">
      <formula>0</formula>
    </cfRule>
    <cfRule type="cellIs" dxfId="101" priority="126" operator="lessThan">
      <formula>0</formula>
    </cfRule>
  </conditionalFormatting>
  <conditionalFormatting sqref="I27:I28">
    <cfRule type="cellIs" dxfId="100" priority="121" operator="greaterThanOrEqual">
      <formula>0</formula>
    </cfRule>
    <cfRule type="cellIs" dxfId="99" priority="122" operator="lessThan">
      <formula>0</formula>
    </cfRule>
  </conditionalFormatting>
  <conditionalFormatting sqref="M5:M6">
    <cfRule type="cellIs" dxfId="98" priority="119" operator="greaterThanOrEqual">
      <formula>0</formula>
    </cfRule>
    <cfRule type="cellIs" dxfId="97" priority="120" operator="lessThan">
      <formula>0</formula>
    </cfRule>
  </conditionalFormatting>
  <conditionalFormatting sqref="M9">
    <cfRule type="cellIs" dxfId="96" priority="117" operator="greaterThanOrEqual">
      <formula>0</formula>
    </cfRule>
    <cfRule type="cellIs" dxfId="95" priority="118" operator="lessThan">
      <formula>0</formula>
    </cfRule>
  </conditionalFormatting>
  <conditionalFormatting sqref="M25">
    <cfRule type="cellIs" dxfId="94" priority="115" operator="greaterThanOrEqual">
      <formula>0</formula>
    </cfRule>
    <cfRule type="cellIs" dxfId="93" priority="116" operator="lessThan">
      <formula>0</formula>
    </cfRule>
  </conditionalFormatting>
  <conditionalFormatting sqref="M18">
    <cfRule type="cellIs" dxfId="92" priority="95" operator="greaterThanOrEqual">
      <formula>0</formula>
    </cfRule>
    <cfRule type="cellIs" dxfId="91" priority="96" operator="lessThan">
      <formula>0</formula>
    </cfRule>
  </conditionalFormatting>
  <conditionalFormatting sqref="J18:L18">
    <cfRule type="cellIs" dxfId="90" priority="97" operator="greaterThanOrEqual">
      <formula>0</formula>
    </cfRule>
    <cfRule type="cellIs" dxfId="89" priority="98" operator="lessThan">
      <formula>0</formula>
    </cfRule>
  </conditionalFormatting>
  <conditionalFormatting sqref="M14:M15">
    <cfRule type="cellIs" dxfId="88" priority="99" operator="greaterThanOrEqual">
      <formula>0</formula>
    </cfRule>
    <cfRule type="cellIs" dxfId="87" priority="100" operator="lessThan">
      <formula>0</formula>
    </cfRule>
  </conditionalFormatting>
  <conditionalFormatting sqref="R18:S18">
    <cfRule type="cellIs" dxfId="86" priority="101" operator="greaterThanOrEqual">
      <formula>0</formula>
    </cfRule>
    <cfRule type="cellIs" dxfId="85" priority="102" operator="lessThan">
      <formula>0</formula>
    </cfRule>
  </conditionalFormatting>
  <conditionalFormatting sqref="O18:P18">
    <cfRule type="cellIs" dxfId="84" priority="103" operator="greaterThanOrEqual">
      <formula>0</formula>
    </cfRule>
    <cfRule type="cellIs" dxfId="83" priority="104" operator="lessThan">
      <formula>0</formula>
    </cfRule>
  </conditionalFormatting>
  <conditionalFormatting sqref="M27">
    <cfRule type="cellIs" dxfId="82" priority="93" operator="greaterThanOrEqual">
      <formula>0</formula>
    </cfRule>
    <cfRule type="cellIs" dxfId="81" priority="94" operator="lessThan">
      <formula>0</formula>
    </cfRule>
  </conditionalFormatting>
  <conditionalFormatting sqref="M4">
    <cfRule type="cellIs" dxfId="80" priority="91" operator="greaterThanOrEqual">
      <formula>0</formula>
    </cfRule>
    <cfRule type="cellIs" dxfId="79" priority="92" operator="lessThan">
      <formula>0</formula>
    </cfRule>
  </conditionalFormatting>
  <conditionalFormatting sqref="M10">
    <cfRule type="cellIs" dxfId="78" priority="89" operator="greaterThanOrEqual">
      <formula>0</formula>
    </cfRule>
    <cfRule type="cellIs" dxfId="77" priority="90" operator="lessThan">
      <formula>0</formula>
    </cfRule>
  </conditionalFormatting>
  <conditionalFormatting sqref="M11">
    <cfRule type="cellIs" dxfId="76" priority="87" operator="greaterThanOrEqual">
      <formula>0</formula>
    </cfRule>
    <cfRule type="cellIs" dxfId="75" priority="88" operator="lessThan">
      <formula>0</formula>
    </cfRule>
  </conditionalFormatting>
  <conditionalFormatting sqref="M12">
    <cfRule type="cellIs" dxfId="74" priority="85" operator="greaterThanOrEqual">
      <formula>0</formula>
    </cfRule>
    <cfRule type="cellIs" dxfId="73" priority="86" operator="lessThan">
      <formula>0</formula>
    </cfRule>
  </conditionalFormatting>
  <conditionalFormatting sqref="M13">
    <cfRule type="cellIs" dxfId="72" priority="83" operator="greaterThanOrEqual">
      <formula>0</formula>
    </cfRule>
    <cfRule type="cellIs" dxfId="71" priority="84" operator="lessThan">
      <formula>0</formula>
    </cfRule>
  </conditionalFormatting>
  <conditionalFormatting sqref="M22">
    <cfRule type="cellIs" dxfId="70" priority="81" operator="greaterThanOrEqual">
      <formula>0</formula>
    </cfRule>
    <cfRule type="cellIs" dxfId="69" priority="82" operator="lessThan">
      <formula>0</formula>
    </cfRule>
  </conditionalFormatting>
  <conditionalFormatting sqref="M23">
    <cfRule type="cellIs" dxfId="68" priority="79" operator="greaterThanOrEqual">
      <formula>0</formula>
    </cfRule>
    <cfRule type="cellIs" dxfId="67" priority="80" operator="lessThan">
      <formula>0</formula>
    </cfRule>
  </conditionalFormatting>
  <conditionalFormatting sqref="M24">
    <cfRule type="cellIs" dxfId="66" priority="77" operator="greaterThanOrEqual">
      <formula>0</formula>
    </cfRule>
    <cfRule type="cellIs" dxfId="65" priority="78" operator="lessThan">
      <formula>0</formula>
    </cfRule>
  </conditionalFormatting>
  <conditionalFormatting sqref="O26:P26">
    <cfRule type="cellIs" dxfId="64" priority="75" operator="greaterThanOrEqual">
      <formula>0</formula>
    </cfRule>
    <cfRule type="cellIs" dxfId="63" priority="76" operator="lessThan">
      <formula>0</formula>
    </cfRule>
  </conditionalFormatting>
  <conditionalFormatting sqref="R26:S26">
    <cfRule type="cellIs" dxfId="62" priority="73" operator="greaterThanOrEqual">
      <formula>0</formula>
    </cfRule>
    <cfRule type="cellIs" dxfId="61" priority="74" operator="lessThan">
      <formula>0</formula>
    </cfRule>
  </conditionalFormatting>
  <conditionalFormatting sqref="J26:L26">
    <cfRule type="cellIs" dxfId="60" priority="71" operator="greaterThanOrEqual">
      <formula>0</formula>
    </cfRule>
    <cfRule type="cellIs" dxfId="59" priority="72" operator="lessThan">
      <formula>0</formula>
    </cfRule>
  </conditionalFormatting>
  <conditionalFormatting sqref="M26">
    <cfRule type="cellIs" dxfId="58" priority="69" operator="greaterThanOrEqual">
      <formula>0</formula>
    </cfRule>
    <cfRule type="cellIs" dxfId="57" priority="70" operator="lessThan">
      <formula>0</formula>
    </cfRule>
  </conditionalFormatting>
  <conditionalFormatting sqref="I29">
    <cfRule type="cellIs" dxfId="56" priority="57" operator="greaterThanOrEqual">
      <formula>0</formula>
    </cfRule>
    <cfRule type="cellIs" dxfId="55" priority="58" operator="lessThan">
      <formula>0</formula>
    </cfRule>
  </conditionalFormatting>
  <conditionalFormatting sqref="I26">
    <cfRule type="cellIs" dxfId="54" priority="59" operator="greaterThanOrEqual">
      <formula>0</formula>
    </cfRule>
    <cfRule type="cellIs" dxfId="53" priority="60" operator="lessThan">
      <formula>0</formula>
    </cfRule>
  </conditionalFormatting>
  <conditionalFormatting sqref="O29:P29">
    <cfRule type="cellIs" dxfId="52" priority="54" operator="greaterThanOrEqual">
      <formula>0</formula>
    </cfRule>
    <cfRule type="cellIs" dxfId="51" priority="55" operator="lessThan">
      <formula>0</formula>
    </cfRule>
  </conditionalFormatting>
  <conditionalFormatting sqref="R29:S29">
    <cfRule type="cellIs" dxfId="50" priority="52" operator="greaterThanOrEqual">
      <formula>0</formula>
    </cfRule>
    <cfRule type="cellIs" dxfId="49" priority="53" operator="lessThan">
      <formula>0</formula>
    </cfRule>
  </conditionalFormatting>
  <conditionalFormatting sqref="J29:L29">
    <cfRule type="cellIs" dxfId="48" priority="50" operator="greaterThanOrEqual">
      <formula>0</formula>
    </cfRule>
    <cfRule type="cellIs" dxfId="47" priority="51" operator="lessThan">
      <formula>0</formula>
    </cfRule>
  </conditionalFormatting>
  <conditionalFormatting sqref="M29">
    <cfRule type="cellIs" dxfId="46" priority="48" operator="greaterThanOrEqual">
      <formula>0</formula>
    </cfRule>
    <cfRule type="cellIs" dxfId="45" priority="49" operator="lessThan">
      <formula>0</formula>
    </cfRule>
  </conditionalFormatting>
  <conditionalFormatting sqref="O28:P28">
    <cfRule type="cellIs" dxfId="44" priority="46" operator="greaterThanOrEqual">
      <formula>0</formula>
    </cfRule>
    <cfRule type="cellIs" dxfId="43" priority="47" operator="lessThan">
      <formula>0</formula>
    </cfRule>
  </conditionalFormatting>
  <conditionalFormatting sqref="R28:S28">
    <cfRule type="cellIs" dxfId="42" priority="44" operator="greaterThanOrEqual">
      <formula>0</formula>
    </cfRule>
    <cfRule type="cellIs" dxfId="41" priority="45" operator="lessThan">
      <formula>0</formula>
    </cfRule>
  </conditionalFormatting>
  <conditionalFormatting sqref="J28:L28">
    <cfRule type="cellIs" dxfId="40" priority="42" operator="greaterThanOrEqual">
      <formula>0</formula>
    </cfRule>
    <cfRule type="cellIs" dxfId="39" priority="43" operator="lessThan">
      <formula>0</formula>
    </cfRule>
  </conditionalFormatting>
  <conditionalFormatting sqref="M28">
    <cfRule type="cellIs" dxfId="38" priority="40" operator="greaterThanOrEqual">
      <formula>0</formula>
    </cfRule>
    <cfRule type="cellIs" dxfId="37" priority="41" operator="lessThan">
      <formula>0</formula>
    </cfRule>
  </conditionalFormatting>
  <conditionalFormatting sqref="J16:L16">
    <cfRule type="cellIs" dxfId="36" priority="38" operator="greaterThanOrEqual">
      <formula>0</formula>
    </cfRule>
    <cfRule type="cellIs" dxfId="35" priority="39" operator="lessThan">
      <formula>0</formula>
    </cfRule>
  </conditionalFormatting>
  <conditionalFormatting sqref="R16:S16">
    <cfRule type="cellIs" dxfId="34" priority="34" operator="greaterThanOrEqual">
      <formula>0</formula>
    </cfRule>
    <cfRule type="cellIs" dxfId="33" priority="35" operator="lessThan">
      <formula>0</formula>
    </cfRule>
  </conditionalFormatting>
  <conditionalFormatting sqref="O16:P16">
    <cfRule type="cellIs" dxfId="32" priority="36" operator="greaterThanOrEqual">
      <formula>0</formula>
    </cfRule>
    <cfRule type="cellIs" dxfId="31" priority="37" operator="lessThan">
      <formula>0</formula>
    </cfRule>
  </conditionalFormatting>
  <conditionalFormatting sqref="M16">
    <cfRule type="cellIs" dxfId="30" priority="32" operator="greaterThanOrEqual">
      <formula>0</formula>
    </cfRule>
    <cfRule type="cellIs" dxfId="29" priority="33" operator="lessThan">
      <formula>0</formula>
    </cfRule>
  </conditionalFormatting>
  <conditionalFormatting sqref="J17:L17">
    <cfRule type="cellIs" dxfId="28" priority="30" operator="greaterThanOrEqual">
      <formula>0</formula>
    </cfRule>
    <cfRule type="cellIs" dxfId="27" priority="31" operator="lessThan">
      <formula>0</formula>
    </cfRule>
  </conditionalFormatting>
  <conditionalFormatting sqref="R17:S17">
    <cfRule type="cellIs" dxfId="26" priority="26" operator="greaterThanOrEqual">
      <formula>0</formula>
    </cfRule>
    <cfRule type="cellIs" dxfId="25" priority="27" operator="lessThan">
      <formula>0</formula>
    </cfRule>
  </conditionalFormatting>
  <conditionalFormatting sqref="O17:P17">
    <cfRule type="cellIs" dxfId="24" priority="28" operator="greaterThanOrEqual">
      <formula>0</formula>
    </cfRule>
    <cfRule type="cellIs" dxfId="23" priority="29" operator="lessThan">
      <formula>0</formula>
    </cfRule>
  </conditionalFormatting>
  <conditionalFormatting sqref="M17">
    <cfRule type="cellIs" dxfId="22" priority="24" operator="greaterThanOrEqual">
      <formula>0</formula>
    </cfRule>
    <cfRule type="cellIs" dxfId="21" priority="25" operator="lessThan">
      <formula>0</formula>
    </cfRule>
  </conditionalFormatting>
  <conditionalFormatting sqref="I30">
    <cfRule type="cellIs" dxfId="20" priority="22" operator="greaterThanOrEqual">
      <formula>0</formula>
    </cfRule>
    <cfRule type="cellIs" dxfId="19" priority="23" operator="lessThan">
      <formula>0</formula>
    </cfRule>
  </conditionalFormatting>
  <conditionalFormatting sqref="O30:P30">
    <cfRule type="cellIs" dxfId="18" priority="20" operator="greaterThanOrEqual">
      <formula>0</formula>
    </cfRule>
    <cfRule type="cellIs" dxfId="17" priority="21" operator="lessThan">
      <formula>0</formula>
    </cfRule>
  </conditionalFormatting>
  <conditionalFormatting sqref="R30:S30">
    <cfRule type="cellIs" dxfId="16" priority="18" operator="greaterThanOrEqual">
      <formula>0</formula>
    </cfRule>
    <cfRule type="cellIs" dxfId="15" priority="19" operator="lessThan">
      <formula>0</formula>
    </cfRule>
  </conditionalFormatting>
  <conditionalFormatting sqref="J30:L30">
    <cfRule type="cellIs" dxfId="14" priority="16" operator="greaterThanOrEqual">
      <formula>0</formula>
    </cfRule>
    <cfRule type="cellIs" dxfId="13" priority="17" operator="lessThan">
      <formula>0</formula>
    </cfRule>
  </conditionalFormatting>
  <conditionalFormatting sqref="M30">
    <cfRule type="cellIs" dxfId="12" priority="14" operator="greaterThanOrEqual">
      <formula>0</formula>
    </cfRule>
    <cfRule type="cellIs" dxfId="11" priority="15" operator="lessThan">
      <formula>0</formula>
    </cfRule>
  </conditionalFormatting>
  <conditionalFormatting sqref="M19">
    <cfRule type="cellIs" dxfId="10" priority="2" operator="greaterThanOrEqual">
      <formula>0</formula>
    </cfRule>
    <cfRule type="cellIs" dxfId="9" priority="3" operator="lessThan">
      <formula>0</formula>
    </cfRule>
  </conditionalFormatting>
  <conditionalFormatting sqref="J19:L19">
    <cfRule type="cellIs" dxfId="8" priority="4" operator="greaterThanOrEqual">
      <formula>0</formula>
    </cfRule>
    <cfRule type="cellIs" dxfId="7" priority="5" operator="lessThan">
      <formula>0</formula>
    </cfRule>
  </conditionalFormatting>
  <conditionalFormatting sqref="R19:S19">
    <cfRule type="cellIs" dxfId="6" priority="6" operator="greaterThanOrEqual">
      <formula>0</formula>
    </cfRule>
    <cfRule type="cellIs" dxfId="5" priority="7" operator="lessThan">
      <formula>0</formula>
    </cfRule>
  </conditionalFormatting>
  <conditionalFormatting sqref="O19:P19">
    <cfRule type="cellIs" dxfId="4" priority="8" operator="greaterThanOrEqual">
      <formula>0</formula>
    </cfRule>
    <cfRule type="cellIs" dxfId="3" priority="9" operator="less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C9FFC9"/>
  </sheetPr>
  <dimension ref="A1:T46"/>
  <sheetViews>
    <sheetView showGridLines="0" zoomScale="70" zoomScaleNormal="70" workbookViewId="0">
      <selection activeCell="I14" sqref="I14"/>
    </sheetView>
  </sheetViews>
  <sheetFormatPr defaultRowHeight="14.5" x14ac:dyDescent="0.35"/>
  <cols>
    <col min="1" max="1" width="54.90625" customWidth="1"/>
    <col min="2" max="2" width="32.453125" bestFit="1" customWidth="1"/>
    <col min="3" max="3" width="19.6328125" bestFit="1" customWidth="1"/>
    <col min="4" max="4" width="18.90625" bestFit="1" customWidth="1"/>
    <col min="6" max="6" width="9.6328125" customWidth="1"/>
    <col min="16" max="16" width="10.6328125" customWidth="1"/>
  </cols>
  <sheetData>
    <row r="1" spans="1:20" s="11" customFormat="1" ht="14" x14ac:dyDescent="0.3">
      <c r="A1" s="23" t="s">
        <v>32</v>
      </c>
      <c r="B1" s="23" t="s">
        <v>31</v>
      </c>
      <c r="C1" s="23" t="s">
        <v>17</v>
      </c>
      <c r="E1" s="12"/>
      <c r="G1" s="13"/>
      <c r="I1" s="14"/>
      <c r="J1" s="14"/>
      <c r="K1" s="14"/>
      <c r="L1" s="14"/>
      <c r="N1" s="14"/>
      <c r="O1" s="14"/>
      <c r="Q1" s="15"/>
      <c r="R1" s="15"/>
      <c r="S1" s="15"/>
      <c r="T1" s="15"/>
    </row>
    <row r="2" spans="1:20" s="10" customFormat="1" x14ac:dyDescent="0.35">
      <c r="A2" s="29" t="s">
        <v>3</v>
      </c>
      <c r="B2" s="52">
        <v>71.786163000000002</v>
      </c>
      <c r="C2" s="53">
        <v>36189</v>
      </c>
      <c r="G2" s="6"/>
      <c r="H2" s="6"/>
      <c r="I2" s="6"/>
    </row>
    <row r="3" spans="1:20" s="10" customFormat="1" x14ac:dyDescent="0.35">
      <c r="A3" s="29" t="s">
        <v>35</v>
      </c>
      <c r="B3" s="52">
        <v>90.14615400000001</v>
      </c>
      <c r="C3" s="53">
        <v>30110</v>
      </c>
      <c r="G3" s="6"/>
      <c r="H3" s="6"/>
      <c r="I3" s="6"/>
    </row>
    <row r="4" spans="1:20" s="10" customFormat="1" x14ac:dyDescent="0.35">
      <c r="A4" s="29" t="s">
        <v>36</v>
      </c>
      <c r="B4" s="52">
        <v>52.497469999999993</v>
      </c>
      <c r="C4" s="53">
        <v>14667</v>
      </c>
      <c r="E4" s="6"/>
      <c r="F4" s="6"/>
      <c r="G4" s="6"/>
      <c r="H4" s="6"/>
      <c r="I4" s="6"/>
      <c r="O4" s="6"/>
      <c r="P4" s="60"/>
    </row>
    <row r="5" spans="1:20" s="10" customFormat="1" x14ac:dyDescent="0.35">
      <c r="A5" s="29" t="s">
        <v>53</v>
      </c>
      <c r="B5" s="52">
        <v>7.3529840000000002</v>
      </c>
      <c r="C5" s="53">
        <v>14447</v>
      </c>
      <c r="E5" s="6"/>
      <c r="F5" s="6"/>
      <c r="G5" s="6"/>
      <c r="H5" s="6"/>
      <c r="I5" s="6"/>
      <c r="O5" s="58"/>
      <c r="P5" s="60"/>
    </row>
    <row r="6" spans="1:20" s="10" customFormat="1" x14ac:dyDescent="0.35">
      <c r="A6" s="29" t="s">
        <v>100</v>
      </c>
      <c r="B6" s="52">
        <v>0.51913100000000001</v>
      </c>
      <c r="C6" s="53">
        <v>225</v>
      </c>
      <c r="E6" s="6"/>
      <c r="F6" s="6"/>
      <c r="G6" s="6"/>
      <c r="H6" s="6"/>
      <c r="I6" s="6"/>
      <c r="O6" s="58"/>
      <c r="P6" s="60"/>
    </row>
    <row r="7" spans="1:20" s="11" customFormat="1" ht="14" x14ac:dyDescent="0.3">
      <c r="A7" s="56" t="s">
        <v>34</v>
      </c>
      <c r="B7" s="54">
        <v>222.30190199999998</v>
      </c>
      <c r="C7" s="55">
        <v>95638</v>
      </c>
      <c r="E7" s="12"/>
      <c r="G7" s="13"/>
      <c r="I7" s="14"/>
      <c r="J7" s="14"/>
      <c r="K7" s="14"/>
      <c r="L7" s="14"/>
      <c r="N7" s="14"/>
      <c r="O7" s="59"/>
      <c r="P7" s="59"/>
      <c r="Q7" s="15"/>
      <c r="R7" s="15"/>
      <c r="S7" s="15"/>
      <c r="T7" s="15"/>
    </row>
    <row r="8" spans="1:20" s="10" customFormat="1" x14ac:dyDescent="0.35">
      <c r="B8" s="16"/>
      <c r="E8" s="6"/>
      <c r="F8" s="6"/>
      <c r="G8" s="6"/>
      <c r="H8" s="6"/>
      <c r="I8" s="6"/>
    </row>
    <row r="9" spans="1:20" s="11" customFormat="1" ht="22.75" customHeight="1" x14ac:dyDescent="0.25">
      <c r="E9" s="12"/>
      <c r="G9" s="13"/>
      <c r="I9" s="14"/>
      <c r="J9" s="14"/>
      <c r="K9" s="14"/>
      <c r="L9" s="14"/>
      <c r="N9" s="14"/>
      <c r="O9" s="14"/>
      <c r="Q9" s="15"/>
      <c r="R9" s="15"/>
      <c r="S9" s="15"/>
      <c r="T9" s="15"/>
    </row>
    <row r="10" spans="1:20" s="10" customFormat="1" x14ac:dyDescent="0.35"/>
    <row r="11" spans="1:20" s="10" customFormat="1" x14ac:dyDescent="0.35"/>
    <row r="12" spans="1:20" s="10" customFormat="1" x14ac:dyDescent="0.35"/>
    <row r="13" spans="1:20" s="10" customFormat="1" x14ac:dyDescent="0.35"/>
    <row r="14" spans="1:20" s="10" customFormat="1" x14ac:dyDescent="0.35"/>
    <row r="15" spans="1:20" s="10" customFormat="1" x14ac:dyDescent="0.35"/>
    <row r="16" spans="1:20" s="10" customFormat="1" x14ac:dyDescent="0.35"/>
    <row r="17" spans="1:3" s="10" customFormat="1" x14ac:dyDescent="0.35"/>
    <row r="18" spans="1:3" s="10" customFormat="1" x14ac:dyDescent="0.35"/>
    <row r="19" spans="1:3" s="10" customFormat="1" x14ac:dyDescent="0.35"/>
    <row r="20" spans="1:3" s="10" customFormat="1" x14ac:dyDescent="0.35"/>
    <row r="21" spans="1:3" s="10" customFormat="1" x14ac:dyDescent="0.35"/>
    <row r="22" spans="1:3" ht="33" customHeight="1" x14ac:dyDescent="0.35">
      <c r="A22" s="23" t="s">
        <v>33</v>
      </c>
      <c r="B22" s="23" t="s">
        <v>47</v>
      </c>
      <c r="C22" s="23" t="s">
        <v>48</v>
      </c>
    </row>
    <row r="23" spans="1:3" x14ac:dyDescent="0.35">
      <c r="A23" s="29" t="s">
        <v>4</v>
      </c>
      <c r="B23" s="52">
        <v>11.714824999999999</v>
      </c>
      <c r="C23" s="53">
        <v>3054</v>
      </c>
    </row>
    <row r="24" spans="1:3" x14ac:dyDescent="0.35">
      <c r="A24" s="29" t="s">
        <v>8</v>
      </c>
      <c r="B24" s="52">
        <v>3.4671439999999998</v>
      </c>
      <c r="C24" s="53">
        <v>1493</v>
      </c>
    </row>
    <row r="25" spans="1:3" x14ac:dyDescent="0.35">
      <c r="A25" s="29" t="s">
        <v>7</v>
      </c>
      <c r="B25" s="52">
        <v>16.865486000000001</v>
      </c>
      <c r="C25" s="53">
        <v>4920</v>
      </c>
    </row>
    <row r="26" spans="1:3" x14ac:dyDescent="0.35">
      <c r="A26" s="29" t="s">
        <v>12</v>
      </c>
      <c r="B26" s="52">
        <v>8.2355049999999999</v>
      </c>
      <c r="C26" s="53">
        <v>3467</v>
      </c>
    </row>
    <row r="27" spans="1:3" x14ac:dyDescent="0.35">
      <c r="A27" s="29" t="s">
        <v>13</v>
      </c>
      <c r="B27" s="52">
        <v>49.863194</v>
      </c>
      <c r="C27" s="53">
        <v>17176</v>
      </c>
    </row>
    <row r="28" spans="1:3" x14ac:dyDescent="0.35">
      <c r="A28" s="29" t="s">
        <v>5</v>
      </c>
      <c r="B28" s="52">
        <v>9.8422990000000006</v>
      </c>
      <c r="C28" s="53">
        <v>4397</v>
      </c>
    </row>
    <row r="29" spans="1:3" x14ac:dyDescent="0.35">
      <c r="A29" s="29" t="s">
        <v>6</v>
      </c>
      <c r="B29" s="52">
        <v>47.715324000000003</v>
      </c>
      <c r="C29" s="53">
        <v>25994</v>
      </c>
    </row>
    <row r="30" spans="1:3" x14ac:dyDescent="0.35">
      <c r="A30" s="29" t="s">
        <v>11</v>
      </c>
      <c r="B30" s="52">
        <v>12.580876999999999</v>
      </c>
      <c r="C30" s="53">
        <v>5139</v>
      </c>
    </row>
    <row r="31" spans="1:3" x14ac:dyDescent="0.35">
      <c r="A31" s="29" t="s">
        <v>9</v>
      </c>
      <c r="B31" s="52">
        <v>0</v>
      </c>
      <c r="C31" s="53">
        <v>0</v>
      </c>
    </row>
    <row r="32" spans="1:3" x14ac:dyDescent="0.35">
      <c r="A32" s="29" t="s">
        <v>10</v>
      </c>
      <c r="B32" s="52">
        <v>0</v>
      </c>
      <c r="C32" s="53">
        <v>0</v>
      </c>
    </row>
    <row r="33" spans="1:3" x14ac:dyDescent="0.35">
      <c r="A33" s="29" t="s">
        <v>78</v>
      </c>
      <c r="B33" s="52">
        <v>1.6476630000000001</v>
      </c>
      <c r="C33" s="53">
        <v>659</v>
      </c>
    </row>
    <row r="34" spans="1:3" x14ac:dyDescent="0.35">
      <c r="A34" s="29" t="s">
        <v>58</v>
      </c>
      <c r="B34" s="52">
        <v>1.4800789999999999</v>
      </c>
      <c r="C34" s="53">
        <v>429</v>
      </c>
    </row>
    <row r="35" spans="1:3" x14ac:dyDescent="0.35">
      <c r="A35" s="29" t="s">
        <v>60</v>
      </c>
      <c r="B35" s="52">
        <v>8.6724239999999995</v>
      </c>
      <c r="C35" s="53">
        <v>1997</v>
      </c>
    </row>
    <row r="36" spans="1:3" x14ac:dyDescent="0.35">
      <c r="A36" s="29" t="s">
        <v>59</v>
      </c>
      <c r="B36" s="52">
        <v>41.357720999999998</v>
      </c>
      <c r="C36" s="53">
        <v>11682</v>
      </c>
    </row>
    <row r="37" spans="1:3" x14ac:dyDescent="0.35">
      <c r="A37" s="29" t="s">
        <v>85</v>
      </c>
      <c r="B37" s="52">
        <v>0.98724599999999996</v>
      </c>
      <c r="C37" s="53">
        <v>559</v>
      </c>
    </row>
    <row r="38" spans="1:3" x14ac:dyDescent="0.35">
      <c r="A38" s="57" t="s">
        <v>92</v>
      </c>
      <c r="B38" s="52">
        <v>0.45653899999999997</v>
      </c>
      <c r="C38" s="53">
        <v>125</v>
      </c>
    </row>
    <row r="39" spans="1:3" x14ac:dyDescent="0.35">
      <c r="A39" s="57" t="s">
        <v>93</v>
      </c>
      <c r="B39" s="52">
        <v>1.1117980000000001</v>
      </c>
      <c r="C39" s="53">
        <v>514</v>
      </c>
    </row>
    <row r="40" spans="1:3" x14ac:dyDescent="0.35">
      <c r="A40" s="57" t="s">
        <v>94</v>
      </c>
      <c r="B40" s="52">
        <v>0.16708200000000001</v>
      </c>
      <c r="C40" s="53">
        <v>619</v>
      </c>
    </row>
    <row r="41" spans="1:3" x14ac:dyDescent="0.35">
      <c r="A41" s="57" t="s">
        <v>95</v>
      </c>
      <c r="B41" s="52">
        <v>0.60600100000000001</v>
      </c>
      <c r="C41" s="53">
        <v>3982</v>
      </c>
    </row>
    <row r="42" spans="1:3" x14ac:dyDescent="0.35">
      <c r="A42" s="29" t="s">
        <v>96</v>
      </c>
      <c r="B42" s="52">
        <v>3.7779850000000001</v>
      </c>
      <c r="C42" s="53">
        <v>1370</v>
      </c>
    </row>
    <row r="43" spans="1:3" x14ac:dyDescent="0.35">
      <c r="A43" s="29" t="s">
        <v>97</v>
      </c>
      <c r="B43" s="52">
        <v>1.233579</v>
      </c>
      <c r="C43" s="53">
        <v>7837</v>
      </c>
    </row>
    <row r="44" spans="1:3" x14ac:dyDescent="0.35">
      <c r="A44" s="29" t="s">
        <v>98</v>
      </c>
      <c r="B44" s="52">
        <v>0.43999899999999997</v>
      </c>
      <c r="C44" s="53">
        <v>194</v>
      </c>
    </row>
    <row r="45" spans="1:3" x14ac:dyDescent="0.35">
      <c r="A45" s="29" t="s">
        <v>99</v>
      </c>
      <c r="B45" s="52">
        <v>7.9131999999999994E-2</v>
      </c>
      <c r="C45" s="53">
        <v>31</v>
      </c>
    </row>
    <row r="46" spans="1:3" x14ac:dyDescent="0.35">
      <c r="A46" s="56" t="s">
        <v>34</v>
      </c>
      <c r="B46" s="54">
        <v>222.30190199999993</v>
      </c>
      <c r="C46" s="62">
        <v>95638</v>
      </c>
    </row>
  </sheetData>
  <conditionalFormatting sqref="I1:R1">
    <cfRule type="duplicateValues" dxfId="2" priority="6"/>
  </conditionalFormatting>
  <conditionalFormatting sqref="I9:R9">
    <cfRule type="duplicateValues" dxfId="1" priority="5"/>
  </conditionalFormatting>
  <conditionalFormatting sqref="I7:R7">
    <cfRule type="duplicateValues" dxfId="0" priority="1"/>
  </conditionalFormatting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2022-12-31</vt:lpstr>
      <vt:lpstr>Papildoma informacija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2023-01-13T11:56:08Z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5564178-1ca1-4992-b45e-fdaf9919e704_Enabled">
    <vt:lpwstr>true</vt:lpwstr>
  </property>
  <property fmtid="{D5CDD505-2E9C-101B-9397-08002B2CF9AE}" pid="3" name="MSIP_Label_e5564178-1ca1-4992-b45e-fdaf9919e704_SetDate">
    <vt:lpwstr>2022-12-12T15:55:50Z</vt:lpwstr>
  </property>
  <property fmtid="{D5CDD505-2E9C-101B-9397-08002B2CF9AE}" pid="4" name="MSIP_Label_e5564178-1ca1-4992-b45e-fdaf9919e704_Method">
    <vt:lpwstr>Privileged</vt:lpwstr>
  </property>
  <property fmtid="{D5CDD505-2E9C-101B-9397-08002B2CF9AE}" pid="5" name="MSIP_Label_e5564178-1ca1-4992-b45e-fdaf9919e704_Name">
    <vt:lpwstr>LB VIEŠA (ECB PUBLIC)</vt:lpwstr>
  </property>
  <property fmtid="{D5CDD505-2E9C-101B-9397-08002B2CF9AE}" pid="6" name="MSIP_Label_e5564178-1ca1-4992-b45e-fdaf9919e704_SiteId">
    <vt:lpwstr>5a40b399-6903-4594-ad73-dc4ed7ed91c0</vt:lpwstr>
  </property>
  <property fmtid="{D5CDD505-2E9C-101B-9397-08002B2CF9AE}" pid="7" name="MSIP_Label_e5564178-1ca1-4992-b45e-fdaf9919e704_ActionId">
    <vt:lpwstr>6182722d-a920-48f6-abe2-b4c83737b9b8</vt:lpwstr>
  </property>
  <property fmtid="{D5CDD505-2E9C-101B-9397-08002B2CF9AE}" pid="8" name="MSIP_Label_e5564178-1ca1-4992-b45e-fdaf9919e704_ContentBits">
    <vt:lpwstr>0</vt:lpwstr>
  </property>
</Properties>
</file>