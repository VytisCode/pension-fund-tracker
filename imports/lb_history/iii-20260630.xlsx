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C48F80F9-4658-4E45-BB7A-DBE1DBC93D7E}" xr6:coauthVersionLast="47" xr6:coauthVersionMax="47" xr10:uidLastSave="{00000000-0000-0000-0000-000000000000}"/>
  <bookViews>
    <workbookView xWindow="-120" yWindow="-120" windowWidth="38640" windowHeight="21120" tabRatio="844" xr2:uid="{00000000-000D-0000-FFFF-FFFF00000000}"/>
  </bookViews>
  <sheets>
    <sheet name="2026-06-30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<sst xmlns="http://schemas.openxmlformats.org/spreadsheetml/2006/main" count="246" uniqueCount="108">
  <si>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</si>
  <si>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</si>
  <si>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</si>
  <si>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</si>
  <si>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</si>
  <si>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</si>
  <si>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</si>
  <si>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</si>
  <si>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</si>
  <si>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</si>
  <si>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</si>
  <si>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</si>
  <si>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S032</t>
  </si>
  <si>
    <t>S022</t>
  </si>
  <si>
    <t>S019</t>
  </si>
  <si>
    <t>S040</t>
  </si>
  <si>
    <t>S028</t>
  </si>
  <si>
    <t>FONDŲ GRĄŽA</t>
  </si>
  <si>
    <t>Grynųjų aktyvų vertė, mln.</t>
  </si>
  <si>
    <t>Pensijų kaupimo bendrovė</t>
  </si>
  <si>
    <t>Fondas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</si>
  <si>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</si>
  <si>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IŠ VISO:</t>
  </si>
  <si>
    <t>UAB „SEB investicijų valdymas“</t>
  </si>
  <si>
    <t>Rizikingų aktyvų dalis fonde (investicijų į akcijas dalis), proc.</t>
  </si>
  <si>
    <t>iki 8</t>
  </si>
  <si>
    <t>iki 50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</si>
  <si>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</si>
  <si>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</si>
  <si>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</si>
  <si>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</si>
  <si>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</si>
  <si>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</si>
  <si>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</si>
  <si>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</si>
  <si>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</si>
  <si>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</si>
  <si>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</si>
  <si>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</si>
  <si>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UAB „Swedbank investicijų valdymas“</t>
  </si>
  <si>
    <t>-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</si>
  <si>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</si>
  <si>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</si>
  <si>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</si>
  <si>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</si>
  <si>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</si>
  <si>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</si>
  <si>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</si>
  <si>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</si>
  <si>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</si>
  <si>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</si>
  <si>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</si>
  <si>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</si>
  <si>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</si>
  <si>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</si>
  <si>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</si>
  <si>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</si>
  <si>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</si>
  <si>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</si>
  <si>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</si>
  <si>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</si>
  <si>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</si>
  <si>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</si>
  <si>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</si>
  <si>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</si>
  <si>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S051</t>
  </si>
  <si>
    <t>Pensijos fondas 60+ (apriboto nutraukimo)</t>
  </si>
  <si>
    <t>Pensijos fondas 18+ (apriboto nutraukimo)</t>
  </si>
  <si>
    <t>S052</t>
  </si>
  <si>
    <t>S053</t>
  </si>
  <si>
    <t>S054</t>
  </si>
  <si>
    <t>SEB index. Klimato ateitis</t>
  </si>
  <si>
    <t>Pensijos fondas 50+ (apriboto nutraukimo)</t>
  </si>
  <si>
    <t>Goindex pasaulio akcijų</t>
  </si>
  <si>
    <t>Goindex subalansuotas</t>
  </si>
  <si>
    <t>Goindex, UAB</t>
  </si>
  <si>
    <t>S056</t>
  </si>
  <si>
    <t>S057</t>
  </si>
  <si>
    <t>Pensijos fondas 60+</t>
  </si>
  <si>
    <t>Pensijos fondas 50+</t>
  </si>
  <si>
    <t>Pensijos fondas 18+</t>
  </si>
  <si>
    <t>vidutinė metinė grąža [2] per praėjusius 1 metus, proc.</t>
  </si>
  <si>
    <t>Luminor ateitis 58 +</t>
  </si>
  <si>
    <t>Luminor ateitis 50 – 58</t>
  </si>
  <si>
    <t>Luminor ateitis 16 – 50</t>
  </si>
  <si>
    <t>S058</t>
  </si>
  <si>
    <t>Artea Stabilus 58+</t>
  </si>
  <si>
    <t>Artea Subalansuotas 47+</t>
  </si>
  <si>
    <t>Artea Ambicingas Active 16+</t>
  </si>
  <si>
    <t>Artea Ambicingas 16+</t>
  </si>
  <si>
    <t>Artea Ambicingas Index 16+</t>
  </si>
  <si>
    <t>UAB Artea Asset Management</t>
  </si>
  <si>
    <t>Luminor ateitis akcijų index</t>
  </si>
  <si>
    <t>S059</t>
  </si>
  <si>
    <t>12 m. 8 mėn.</t>
  </si>
  <si>
    <t>21 m. 6 mėn.</t>
  </si>
  <si>
    <t>21 m. 8 mėn.</t>
  </si>
  <si>
    <t>18 m. 9 mėn.</t>
  </si>
  <si>
    <t>6 m. 6 mėn.</t>
  </si>
  <si>
    <t>4 m. 2 mėn.</t>
  </si>
  <si>
    <t>6 m. 3 mėn.</t>
  </si>
  <si>
    <t>3 m. 11 mėn.</t>
  </si>
  <si>
    <t>18 m. 8 mėn.</t>
  </si>
  <si>
    <t>1 m. 8 mėn.</t>
  </si>
  <si>
    <t>4 m. 5 mėn.</t>
  </si>
  <si>
    <t>5 m. 1 mėn.</t>
  </si>
  <si>
    <t>0 m. 5 mėn.</t>
  </si>
  <si>
    <r>
      <t xml:space="preserve">[5] Svertiniam vidurkiui apskaičiuoti naudotas </t>
    </r>
    <r>
      <rPr>
        <b/>
        <sz val="10"/>
        <rFont val="Verdana"/>
        <family val="2"/>
        <charset val="186"/>
      </rPr>
      <t xml:space="preserve">2026-06-30 </t>
    </r>
    <r>
      <rPr>
        <sz val="10"/>
        <rFont val="Verdana"/>
        <family val="2"/>
        <charset val="186"/>
      </rPr>
      <t>dienos fondų grynųjų aktyvų dydis.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</si>
</sst>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  <numFmt numFmtId="167" formatCode="yy\ &quot;m.&quot;\ mm\ &quot;mėn&quot;"/>
    <numFmt numFmtId="168" formatCode="yy\ &quot;m.&quot;\ m\ &quot;mėn.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FF0000"/>
      <name val="Verdana"/>
      <family val="2"/>
      <charset val="186"/>
    </font>
    <font>
      <sz val="8"/>
      <name val="Calibri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vertical="center"/>
    </xf>
    <xf numFmtId="9" fontId="8" fillId="3" borderId="0" xfId="2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2" fontId="8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0" borderId="0" xfId="0" applyFont="1" applyFill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5" fontId="3" fillId="0" borderId="2" xfId="1" applyNumberFormat="1" applyFont="1" applyFill="1" applyBorder="1" applyAlignment="1">
      <alignment wrapText="1"/>
    </xf>
    <xf numFmtId="2" fontId="8" fillId="3" borderId="1" xfId="0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right" wrapText="1"/>
    </xf>
    <xf numFmtId="14" fontId="3" fillId="0" borderId="2" xfId="0" applyNumberFormat="1" applyFont="1" applyFill="1" applyBorder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6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0" fontId="13" fillId="0" borderId="0" xfId="0" applyFont="1" applyAlignment="1"/>
    <xf numFmtId="165" fontId="8" fillId="3" borderId="1" xfId="1" applyNumberFormat="1" applyFont="1" applyFill="1" applyBorder="1" applyAlignment="1">
      <alignment horizontal="right" wrapText="1"/>
    </xf>
    <xf numFmtId="167" fontId="3" fillId="0" borderId="0" xfId="2" applyNumberFormat="1" applyFont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/>
    <xf numFmtId="0" fontId="11" fillId="0" borderId="0" xfId="0" applyFont="1" applyFill="1" applyAlignment="1"/>
    <xf numFmtId="168" fontId="11" fillId="2" borderId="2" xfId="0" applyNumberFormat="1" applyFont="1" applyFill="1" applyBorder="1" applyAlignment="1">
      <alignment horizontal="left" vertical="center"/>
    </xf>
    <xf numFmtId="2" fontId="11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Alignment="1">
      <alignment horizontal="left"/>
    </xf>
    <xf numFmtId="2" fontId="11" fillId="2" borderId="0" xfId="0" applyNumberFormat="1" applyFont="1" applyFill="1" applyBorder="1" applyAlignment="1">
      <alignment horizontal="left" vertical="center"/>
    </xf>
    <xf numFmtId="2" fontId="11" fillId="2" borderId="0" xfId="0" applyNumberFormat="1" applyFont="1" applyFill="1" applyAlignment="1">
      <alignment horizontal="left"/>
    </xf>
    <xf numFmtId="14" fontId="15" fillId="2" borderId="1" xfId="0" applyNumberFormat="1" applyFont="1" applyFill="1" applyBorder="1" applyAlignment="1">
      <alignment horizontal="left" wrapText="1"/>
    </xf>
    <xf numFmtId="165" fontId="8" fillId="3" borderId="1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5" xfId="1" applyNumberFormat="1" applyFont="1" applyFill="1" applyBorder="1" applyAlignment="1">
      <alignment horizontal="center" vertical="center" wrapText="1"/>
    </xf>
    <xf numFmtId="165" fontId="8" fillId="3" borderId="6" xfId="1" applyNumberFormat="1" applyFont="1" applyFill="1" applyBorder="1" applyAlignment="1">
      <alignment horizontal="center" vertical="center" wrapText="1"/>
    </xf>
    <xf numFmtId="165" fontId="8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99FFCC"/>
      <color rgb="FF9C5BCD"/>
      <color rgb="FFFCAF17"/>
      <color rgb="FFFFFFC1"/>
      <color rgb="FFE31C48"/>
      <color rgb="FF903F98"/>
      <color rgb="FF00B07D"/>
      <color rgb="FF009900"/>
      <color rgb="FF99FF99"/>
      <color rgb="FFC9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9465811910555754E-2"/>
                  <c:y val="0.11216546562327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0.17043661004209132"/>
                  <c:y val="-4.66856889476500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3.4883117532413258E-2"/>
                  <c:y val="4.51416430170939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-4.4193890683279113E-2"/>
                  <c:y val="3.8015770562727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dLbl>
              <c:idx val="4"/>
              <c:layout>
                <c:manualLayout>
                  <c:x val="0.1347623517688607"/>
                  <c:y val="-3.970220566383926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E2-4EFC-A634-C5BC003C0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Artea Asset Management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informacija'!$B$2:$B$6</c:f>
              <c:numCache>
                <c:formatCode>0.00</c:formatCode>
                <c:ptCount val="5"/>
                <c:pt idx="0">
                  <c:v>114.10743199999999</c:v>
                </c:pt>
                <c:pt idx="1">
                  <c:v>258.321079</c:v>
                </c:pt>
                <c:pt idx="2">
                  <c:v>150.407591</c:v>
                </c:pt>
                <c:pt idx="3">
                  <c:v>105.68169406</c:v>
                </c:pt>
                <c:pt idx="4">
                  <c:v>33.747548999999999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2.3966388601351762E-2"/>
                  <c:y val="-4.247268863002918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0.24716930758457886"/>
                  <c:y val="-2.259468191547126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-6.2319964027934556E-2"/>
                  <c:y val="3.83055488305227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Artea Asset Management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informacija'!$C$2:$C$6</c:f>
              <c:numCache>
                <c:formatCode>_-* #\ ##0\ _€_-;\-* #\ ##0\ _€_-;_-* "-"??\ _€_-;_-@_-</c:formatCode>
                <c:ptCount val="5"/>
                <c:pt idx="0">
                  <c:v>33299</c:v>
                </c:pt>
                <c:pt idx="1">
                  <c:v>48536</c:v>
                </c:pt>
                <c:pt idx="2">
                  <c:v>33813</c:v>
                </c:pt>
                <c:pt idx="3">
                  <c:v>81886</c:v>
                </c:pt>
                <c:pt idx="4">
                  <c:v>9486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32813591122453"/>
          <c:y val="0.16651391228766224"/>
          <c:w val="0.76300882871189213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informacija'!$C$22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informacija'!$A$23:$A$44</c:f>
              <c:strCache>
                <c:ptCount val="22"/>
                <c:pt idx="0">
                  <c:v>Artea Stabilus 58+</c:v>
                </c:pt>
                <c:pt idx="1">
                  <c:v>Artea Subalansuotas 47+</c:v>
                </c:pt>
                <c:pt idx="2">
                  <c:v>Artea Ambicingas Active 16+</c:v>
                </c:pt>
                <c:pt idx="3">
                  <c:v>Artea Ambicingas 16+</c:v>
                </c:pt>
                <c:pt idx="4">
                  <c:v>Artea Ambicingas Index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Luminor ateitis akcijų index</c:v>
                </c:pt>
                <c:pt idx="10">
                  <c:v>SEB pensija 50+</c:v>
                </c:pt>
                <c:pt idx="11">
                  <c:v>SEB pensija 58+</c:v>
                </c:pt>
                <c:pt idx="12">
                  <c:v>SEB pensija 18+</c:v>
                </c:pt>
                <c:pt idx="13">
                  <c:v>SEB index. Klimato ateitis</c:v>
                </c:pt>
                <c:pt idx="14">
                  <c:v>Pensijos fondas 60+ (apriboto nutraukimo)</c:v>
                </c:pt>
                <c:pt idx="15">
                  <c:v>Pensijos fondas 50+ (apriboto nutraukimo)</c:v>
                </c:pt>
                <c:pt idx="16">
                  <c:v>Pensijos fondas 60+</c:v>
                </c:pt>
                <c:pt idx="17">
                  <c:v>Pensijos fondas 50+</c:v>
                </c:pt>
                <c:pt idx="18">
                  <c:v>Pensijos fondas 18+ (apriboto nutraukimo)</c:v>
                </c:pt>
                <c:pt idx="19">
                  <c:v>Pensijos fondas 18+</c:v>
                </c:pt>
                <c:pt idx="20">
                  <c:v>Goindex pasaulio akcijų</c:v>
                </c:pt>
                <c:pt idx="21">
                  <c:v>Goindex subalansuotas</c:v>
                </c:pt>
              </c:strCache>
            </c:strRef>
          </c:cat>
          <c:val>
            <c:numRef>
              <c:f>'Papildoma informacija'!$C$23:$C$44</c:f>
              <c:numCache>
                <c:formatCode>_-* #\ ##0\ _€_-;\-* #\ ##0\ _€_-;_-* "-"??\ _€_-;_-@_-</c:formatCode>
                <c:ptCount val="22"/>
                <c:pt idx="0">
                  <c:v>4042</c:v>
                </c:pt>
                <c:pt idx="1">
                  <c:v>6372</c:v>
                </c:pt>
                <c:pt idx="2">
                  <c:v>10301</c:v>
                </c:pt>
                <c:pt idx="3">
                  <c:v>22184</c:v>
                </c:pt>
                <c:pt idx="4">
                  <c:v>5637</c:v>
                </c:pt>
                <c:pt idx="5">
                  <c:v>3181</c:v>
                </c:pt>
                <c:pt idx="6">
                  <c:v>21692</c:v>
                </c:pt>
                <c:pt idx="7">
                  <c:v>6354</c:v>
                </c:pt>
                <c:pt idx="8">
                  <c:v>1705</c:v>
                </c:pt>
                <c:pt idx="9">
                  <c:v>367</c:v>
                </c:pt>
                <c:pt idx="10">
                  <c:v>4400</c:v>
                </c:pt>
                <c:pt idx="11">
                  <c:v>2800</c:v>
                </c:pt>
                <c:pt idx="12">
                  <c:v>19328</c:v>
                </c:pt>
                <c:pt idx="13">
                  <c:v>7285</c:v>
                </c:pt>
                <c:pt idx="14">
                  <c:v>247</c:v>
                </c:pt>
                <c:pt idx="15">
                  <c:v>1410</c:v>
                </c:pt>
                <c:pt idx="16">
                  <c:v>3593</c:v>
                </c:pt>
                <c:pt idx="17">
                  <c:v>20841</c:v>
                </c:pt>
                <c:pt idx="18">
                  <c:v>4064</c:v>
                </c:pt>
                <c:pt idx="19">
                  <c:v>51731</c:v>
                </c:pt>
                <c:pt idx="20">
                  <c:v>8348</c:v>
                </c:pt>
                <c:pt idx="21">
                  <c:v>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informacija'!$B$22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informacija'!$A$23:$A$44</c:f>
              <c:strCache>
                <c:ptCount val="22"/>
                <c:pt idx="0">
                  <c:v>Artea Stabilus 58+</c:v>
                </c:pt>
                <c:pt idx="1">
                  <c:v>Artea Subalansuotas 47+</c:v>
                </c:pt>
                <c:pt idx="2">
                  <c:v>Artea Ambicingas Active 16+</c:v>
                </c:pt>
                <c:pt idx="3">
                  <c:v>Artea Ambicingas 16+</c:v>
                </c:pt>
                <c:pt idx="4">
                  <c:v>Artea Ambicingas Index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Luminor ateitis akcijų index</c:v>
                </c:pt>
                <c:pt idx="10">
                  <c:v>SEB pensija 50+</c:v>
                </c:pt>
                <c:pt idx="11">
                  <c:v>SEB pensija 58+</c:v>
                </c:pt>
                <c:pt idx="12">
                  <c:v>SEB pensija 18+</c:v>
                </c:pt>
                <c:pt idx="13">
                  <c:v>SEB index. Klimato ateitis</c:v>
                </c:pt>
                <c:pt idx="14">
                  <c:v>Pensijos fondas 60+ (apriboto nutraukimo)</c:v>
                </c:pt>
                <c:pt idx="15">
                  <c:v>Pensijos fondas 50+ (apriboto nutraukimo)</c:v>
                </c:pt>
                <c:pt idx="16">
                  <c:v>Pensijos fondas 60+</c:v>
                </c:pt>
                <c:pt idx="17">
                  <c:v>Pensijos fondas 50+</c:v>
                </c:pt>
                <c:pt idx="18">
                  <c:v>Pensijos fondas 18+ (apriboto nutraukimo)</c:v>
                </c:pt>
                <c:pt idx="19">
                  <c:v>Pensijos fondas 18+</c:v>
                </c:pt>
                <c:pt idx="20">
                  <c:v>Goindex pasaulio akcijų</c:v>
                </c:pt>
                <c:pt idx="21">
                  <c:v>Goindex subalansuotas</c:v>
                </c:pt>
              </c:strCache>
            </c:strRef>
          </c:cat>
          <c:val>
            <c:numRef>
              <c:f>'Papildoma informacija'!$B$23:$B$44</c:f>
              <c:numCache>
                <c:formatCode>0.00</c:formatCode>
                <c:ptCount val="22"/>
                <c:pt idx="0">
                  <c:v>16.262039000000001</c:v>
                </c:pt>
                <c:pt idx="1">
                  <c:v>41.934241999999998</c:v>
                </c:pt>
                <c:pt idx="2">
                  <c:v>32.284582999999998</c:v>
                </c:pt>
                <c:pt idx="3">
                  <c:v>150.548158</c:v>
                </c:pt>
                <c:pt idx="4">
                  <c:v>17.292057</c:v>
                </c:pt>
                <c:pt idx="5">
                  <c:v>9.5747999999999998</c:v>
                </c:pt>
                <c:pt idx="6">
                  <c:v>67.430881999999997</c:v>
                </c:pt>
                <c:pt idx="7">
                  <c:v>28.294523000000002</c:v>
                </c:pt>
                <c:pt idx="8">
                  <c:v>7.6893130000000003</c:v>
                </c:pt>
                <c:pt idx="9">
                  <c:v>1.1179140000000001</c:v>
                </c:pt>
                <c:pt idx="10">
                  <c:v>11.811057</c:v>
                </c:pt>
                <c:pt idx="11">
                  <c:v>12.106864</c:v>
                </c:pt>
                <c:pt idx="12">
                  <c:v>103.77235899999999</c:v>
                </c:pt>
                <c:pt idx="13">
                  <c:v>22.717310999999999</c:v>
                </c:pt>
                <c:pt idx="14">
                  <c:v>1.2571195800000001</c:v>
                </c:pt>
                <c:pt idx="15">
                  <c:v>5.7859259999999999</c:v>
                </c:pt>
                <c:pt idx="16">
                  <c:v>4.3652280000000001</c:v>
                </c:pt>
                <c:pt idx="17">
                  <c:v>20.759536000000001</c:v>
                </c:pt>
                <c:pt idx="18">
                  <c:v>22.099474690000001</c:v>
                </c:pt>
                <c:pt idx="19">
                  <c:v>51.414409720000002</c:v>
                </c:pt>
                <c:pt idx="20">
                  <c:v>29.809965999999999</c:v>
                </c:pt>
                <c:pt idx="21">
                  <c:v>3.9375830000000001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44824</xdr:rowOff>
    </xdr:from>
    <xdr:to>
      <xdr:col>1</xdr:col>
      <xdr:colOff>1963271</xdr:colOff>
      <xdr:row>19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7</xdr:row>
      <xdr:rowOff>44823</xdr:rowOff>
    </xdr:from>
    <xdr:to>
      <xdr:col>6</xdr:col>
      <xdr:colOff>21963</xdr:colOff>
      <xdr:row>19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77058</xdr:rowOff>
    </xdr:from>
    <xdr:to>
      <xdr:col>16</xdr:col>
      <xdr:colOff>77922</xdr:colOff>
      <xdr:row>47</xdr:row>
      <xdr:rowOff>173869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9FFCC"/>
  </sheetPr>
  <dimension ref="A1:U43"/>
  <sheetViews>
    <sheetView showGridLines="0" tabSelected="1" zoomScaleNormal="100" workbookViewId="0"/>
  </sheetViews>
  <sheetFormatPr defaultColWidth="8.85546875" defaultRowHeight="12.75" x14ac:dyDescent="0.2"/>
  <cols>
    <col min="1" max="1" width="41" style="2" customWidth="1"/>
    <col min="2" max="2" width="7.85546875" style="2" bestFit="1" customWidth="1"/>
    <col min="3" max="3" width="44.42578125" style="2" customWidth="1"/>
    <col min="4" max="4" width="16.140625" style="1" customWidth="1"/>
    <col min="5" max="5" width="18.85546875" style="1" customWidth="1"/>
    <col min="6" max="6" width="16.85546875" style="1" customWidth="1"/>
    <col min="7" max="7" width="13.7109375" style="1" customWidth="1"/>
    <col min="8" max="8" width="2" style="1" customWidth="1"/>
    <col min="9" max="9" width="16.5703125" style="2" customWidth="1"/>
    <col min="10" max="10" width="17.7109375" style="2" customWidth="1"/>
    <col min="11" max="11" width="18.7109375" style="2" customWidth="1"/>
    <col min="12" max="12" width="19.5703125" style="2" customWidth="1"/>
    <col min="13" max="14" width="17.85546875" style="2" customWidth="1"/>
    <col min="15" max="15" width="2" style="1" customWidth="1"/>
    <col min="16" max="17" width="19.5703125" style="2" customWidth="1"/>
    <col min="18" max="18" width="2" style="1" customWidth="1"/>
    <col min="19" max="19" width="19.140625" style="2" customWidth="1"/>
    <col min="20" max="20" width="17.85546875" style="2" customWidth="1"/>
    <col min="21" max="21" width="9.85546875" style="2" bestFit="1" customWidth="1"/>
    <col min="22" max="22" width="5.5703125" style="1" bestFit="1" customWidth="1"/>
    <col min="23" max="23" width="9.85546875" style="1" bestFit="1" customWidth="1"/>
    <col min="24" max="16384" width="8.85546875" style="1"/>
  </cols>
  <sheetData>
    <row r="1" spans="1:21" x14ac:dyDescent="0.2">
      <c r="A1" s="73">
        <v>46203</v>
      </c>
      <c r="B1" s="18"/>
      <c r="C1" s="19"/>
      <c r="D1" s="20"/>
      <c r="E1" s="21"/>
      <c r="F1" s="21"/>
      <c r="G1" s="21"/>
      <c r="H1" s="21"/>
      <c r="I1" s="75" t="s">
        <v>17</v>
      </c>
      <c r="J1" s="76"/>
      <c r="K1" s="76"/>
      <c r="L1" s="76"/>
      <c r="M1" s="76"/>
      <c r="N1" s="77"/>
      <c r="O1" s="21"/>
      <c r="P1" s="74" t="s">
        <v>51</v>
      </c>
      <c r="Q1" s="74"/>
      <c r="R1" s="21"/>
      <c r="S1" s="78" t="s">
        <v>53</v>
      </c>
      <c r="T1" s="79"/>
    </row>
    <row r="2" spans="1:21" ht="76.5" x14ac:dyDescent="0.2">
      <c r="A2" s="22" t="s">
        <v>0</v>
      </c>
      <c r="B2" s="22" t="s">
        <v>1</v>
      </c>
      <c r="C2" s="22" t="s">
        <v>2</v>
      </c>
      <c r="D2" s="23" t="s">
        <v>35</v>
      </c>
      <c r="E2" s="23" t="s">
        <v>24</v>
      </c>
      <c r="F2" s="23" t="s">
        <v>56</v>
      </c>
      <c r="G2" s="24" t="s">
        <v>7</v>
      </c>
      <c r="H2" s="21"/>
      <c r="I2" s="24" t="s">
        <v>47</v>
      </c>
      <c r="J2" s="65" t="s">
        <v>81</v>
      </c>
      <c r="K2" s="24" t="s">
        <v>49</v>
      </c>
      <c r="L2" s="24" t="s">
        <v>59</v>
      </c>
      <c r="M2" s="24" t="s">
        <v>60</v>
      </c>
      <c r="N2" s="58" t="s">
        <v>61</v>
      </c>
      <c r="O2" s="21"/>
      <c r="P2" s="24" t="s">
        <v>29</v>
      </c>
      <c r="Q2" s="24" t="s">
        <v>30</v>
      </c>
      <c r="R2" s="21"/>
      <c r="S2" s="24" t="s">
        <v>31</v>
      </c>
      <c r="T2" s="24" t="s">
        <v>32</v>
      </c>
    </row>
    <row r="3" spans="1:21" s="26" customFormat="1" x14ac:dyDescent="0.2">
      <c r="A3" s="25" t="s">
        <v>6</v>
      </c>
      <c r="B3" s="25"/>
      <c r="C3" s="25"/>
      <c r="D3" s="67"/>
      <c r="E3" s="27"/>
      <c r="G3" s="50" t="s">
        <v>55</v>
      </c>
      <c r="I3" s="28">
        <v>1.4994116064360947</v>
      </c>
      <c r="J3" s="28">
        <v>3.3370077701159349</v>
      </c>
      <c r="K3" s="28">
        <v>5.0432071900955098</v>
      </c>
      <c r="L3" s="28">
        <v>0.61616955650193983</v>
      </c>
      <c r="M3" s="28">
        <v>1.0004710091788966</v>
      </c>
      <c r="N3" s="28">
        <v>1.9968002487638055</v>
      </c>
      <c r="O3" s="28"/>
      <c r="P3" s="28">
        <v>5.1607519636835733</v>
      </c>
      <c r="Q3" s="28">
        <v>0.17944438887167433</v>
      </c>
      <c r="S3" s="6"/>
      <c r="T3" s="6"/>
      <c r="U3" s="6"/>
    </row>
    <row r="4" spans="1:21" x14ac:dyDescent="0.2">
      <c r="A4" s="29" t="s">
        <v>3</v>
      </c>
      <c r="B4" s="29" t="s">
        <v>15</v>
      </c>
      <c r="C4" s="29" t="s">
        <v>82</v>
      </c>
      <c r="D4" s="68" t="s">
        <v>94</v>
      </c>
      <c r="E4" s="31">
        <v>0</v>
      </c>
      <c r="F4" s="30">
        <v>9.5747999999999998</v>
      </c>
      <c r="G4" s="32">
        <v>3181</v>
      </c>
      <c r="H4" s="33"/>
      <c r="I4" s="34">
        <v>1.478803812027607</v>
      </c>
      <c r="J4" s="34">
        <v>3.0707610146862629</v>
      </c>
      <c r="K4" s="34">
        <v>4.8760463510120422</v>
      </c>
      <c r="L4" s="34">
        <v>0.78227751316866101</v>
      </c>
      <c r="M4" s="34">
        <v>0.3330944600358432</v>
      </c>
      <c r="N4" s="34" t="s">
        <v>40</v>
      </c>
      <c r="O4" s="33"/>
      <c r="P4" s="34">
        <v>5.0227195837787564</v>
      </c>
      <c r="Q4" s="34">
        <v>1.0118799759168295</v>
      </c>
      <c r="R4" s="33"/>
      <c r="S4" s="34">
        <v>3.661300941652236</v>
      </c>
      <c r="T4" s="34">
        <v>2.7539997527905702</v>
      </c>
    </row>
    <row r="5" spans="1:21" x14ac:dyDescent="0.2">
      <c r="A5" s="29" t="s">
        <v>91</v>
      </c>
      <c r="B5" s="29" t="s">
        <v>13</v>
      </c>
      <c r="C5" s="29" t="s">
        <v>86</v>
      </c>
      <c r="D5" s="68" t="s">
        <v>95</v>
      </c>
      <c r="E5" s="31">
        <v>0</v>
      </c>
      <c r="F5" s="30">
        <v>16.262039000000001</v>
      </c>
      <c r="G5" s="32">
        <v>4042</v>
      </c>
      <c r="H5" s="33"/>
      <c r="I5" s="34">
        <v>1.2372243141473893</v>
      </c>
      <c r="J5" s="34">
        <v>3.1798245614035103</v>
      </c>
      <c r="K5" s="34">
        <v>5.2540210335031867</v>
      </c>
      <c r="L5" s="34">
        <v>0.73502716783682143</v>
      </c>
      <c r="M5" s="34">
        <v>1.3817833639060195</v>
      </c>
      <c r="N5" s="34">
        <v>2.3808140107738573</v>
      </c>
      <c r="O5" s="33"/>
      <c r="P5" s="34">
        <v>5.3362930107931694</v>
      </c>
      <c r="Q5" s="34">
        <v>-0.81411912048988677</v>
      </c>
      <c r="R5" s="33"/>
      <c r="S5" s="34">
        <v>4.2551285767445721</v>
      </c>
      <c r="T5" s="34">
        <v>3.7989926372058629</v>
      </c>
    </row>
    <row r="6" spans="1:21" x14ac:dyDescent="0.2">
      <c r="A6" s="29" t="s">
        <v>23</v>
      </c>
      <c r="B6" s="29" t="s">
        <v>8</v>
      </c>
      <c r="C6" s="29" t="s">
        <v>46</v>
      </c>
      <c r="D6" s="68" t="s">
        <v>96</v>
      </c>
      <c r="E6" s="31" t="s">
        <v>25</v>
      </c>
      <c r="F6" s="30">
        <v>12.106864</v>
      </c>
      <c r="G6" s="32">
        <v>2800</v>
      </c>
      <c r="H6" s="33"/>
      <c r="I6" s="34">
        <v>1.8678815489749478</v>
      </c>
      <c r="J6" s="34">
        <v>3.7587006960556835</v>
      </c>
      <c r="K6" s="34">
        <v>4.8922406523381534</v>
      </c>
      <c r="L6" s="34">
        <v>0.32515137256370341</v>
      </c>
      <c r="M6" s="34">
        <v>1.0160886455032658</v>
      </c>
      <c r="N6" s="34">
        <v>1.4809898147534639</v>
      </c>
      <c r="O6" s="33"/>
      <c r="P6" s="34">
        <v>5.0341276848377525</v>
      </c>
      <c r="Q6" s="34">
        <v>0.85566940299379723</v>
      </c>
      <c r="R6" s="33"/>
      <c r="S6" s="34">
        <v>4.5332153920797928</v>
      </c>
      <c r="T6" s="34">
        <v>3.743352707311824</v>
      </c>
    </row>
    <row r="7" spans="1:21" x14ac:dyDescent="0.2">
      <c r="A7" s="6"/>
      <c r="B7" s="6"/>
      <c r="C7" s="6"/>
      <c r="D7" s="69"/>
      <c r="E7" s="36"/>
      <c r="F7" s="35"/>
      <c r="G7" s="37"/>
      <c r="H7" s="33"/>
      <c r="I7" s="38"/>
      <c r="J7" s="38"/>
      <c r="K7" s="38"/>
      <c r="L7" s="38"/>
      <c r="M7" s="38"/>
      <c r="N7" s="38"/>
      <c r="O7" s="33"/>
      <c r="P7" s="38"/>
      <c r="Q7" s="38"/>
      <c r="R7" s="33"/>
      <c r="S7" s="38"/>
      <c r="T7" s="38"/>
    </row>
    <row r="8" spans="1:21" s="26" customFormat="1" x14ac:dyDescent="0.2">
      <c r="A8" s="39" t="s">
        <v>4</v>
      </c>
      <c r="B8" s="25"/>
      <c r="C8" s="25"/>
      <c r="D8" s="70"/>
      <c r="E8" s="40"/>
      <c r="F8" s="41"/>
      <c r="G8" s="50" t="s">
        <v>55</v>
      </c>
      <c r="H8" s="42"/>
      <c r="I8" s="28">
        <v>6.4256655709999917</v>
      </c>
      <c r="J8" s="28">
        <v>12.523346942934523</v>
      </c>
      <c r="K8" s="28">
        <v>9.7559901360033248</v>
      </c>
      <c r="L8" s="28">
        <v>4.6393657663253904</v>
      </c>
      <c r="M8" s="28">
        <v>5.0685253311200489</v>
      </c>
      <c r="N8" s="28">
        <v>4.8835943983644183</v>
      </c>
      <c r="O8" s="28"/>
      <c r="P8" s="28">
        <v>11.085553315784844</v>
      </c>
      <c r="Q8" s="28">
        <v>5.2927054771720403</v>
      </c>
      <c r="R8" s="42"/>
      <c r="S8" s="43"/>
      <c r="T8" s="43"/>
      <c r="U8" s="6"/>
    </row>
    <row r="9" spans="1:21" x14ac:dyDescent="0.2">
      <c r="A9" s="29" t="s">
        <v>3</v>
      </c>
      <c r="B9" s="29" t="s">
        <v>14</v>
      </c>
      <c r="C9" s="29" t="s">
        <v>83</v>
      </c>
      <c r="D9" s="68" t="s">
        <v>96</v>
      </c>
      <c r="E9" s="31" t="s">
        <v>26</v>
      </c>
      <c r="F9" s="30">
        <v>67.430881999999997</v>
      </c>
      <c r="G9" s="32">
        <v>21692</v>
      </c>
      <c r="H9" s="33"/>
      <c r="I9" s="34">
        <v>6.6123327694910028</v>
      </c>
      <c r="J9" s="34">
        <v>13.136422976501304</v>
      </c>
      <c r="K9" s="34">
        <v>10.38180974724261</v>
      </c>
      <c r="L9" s="34">
        <v>4.4789493053534191</v>
      </c>
      <c r="M9" s="34">
        <v>4.5383502677500465</v>
      </c>
      <c r="N9" s="34">
        <v>4.3737029051732934</v>
      </c>
      <c r="O9" s="33"/>
      <c r="P9" s="34">
        <v>11.128432827636981</v>
      </c>
      <c r="Q9" s="34">
        <v>5.7280606033843107</v>
      </c>
      <c r="R9" s="33"/>
      <c r="S9" s="34">
        <v>6.9807761590849298</v>
      </c>
      <c r="T9" s="34">
        <v>6.052493561075976</v>
      </c>
    </row>
    <row r="10" spans="1:21" x14ac:dyDescent="0.2">
      <c r="A10" s="29" t="s">
        <v>91</v>
      </c>
      <c r="B10" s="29" t="s">
        <v>12</v>
      </c>
      <c r="C10" s="29" t="s">
        <v>87</v>
      </c>
      <c r="D10" s="68" t="s">
        <v>97</v>
      </c>
      <c r="E10" s="31" t="s">
        <v>27</v>
      </c>
      <c r="F10" s="30">
        <v>41.934241999999998</v>
      </c>
      <c r="G10" s="32">
        <v>6372</v>
      </c>
      <c r="H10" s="33"/>
      <c r="I10" s="34">
        <v>6.6818425281199634</v>
      </c>
      <c r="J10" s="34">
        <v>13.087295954577716</v>
      </c>
      <c r="K10" s="34">
        <v>10.262972373769919</v>
      </c>
      <c r="L10" s="34">
        <v>5.0483517765790964</v>
      </c>
      <c r="M10" s="34">
        <v>5.9210546826091059</v>
      </c>
      <c r="N10" s="34">
        <v>5.7035074686942577</v>
      </c>
      <c r="O10" s="33"/>
      <c r="P10" s="34">
        <v>12.048141577033334</v>
      </c>
      <c r="Q10" s="34">
        <v>4.4571148811342942</v>
      </c>
      <c r="R10" s="33"/>
      <c r="S10" s="34">
        <v>6.794381512422329</v>
      </c>
      <c r="T10" s="34">
        <v>6.7555068995068783</v>
      </c>
    </row>
    <row r="11" spans="1:21" x14ac:dyDescent="0.2">
      <c r="A11" s="29" t="s">
        <v>39</v>
      </c>
      <c r="B11" s="29" t="s">
        <v>37</v>
      </c>
      <c r="C11" s="57" t="s">
        <v>66</v>
      </c>
      <c r="D11" s="68" t="s">
        <v>98</v>
      </c>
      <c r="E11" s="31" t="s">
        <v>41</v>
      </c>
      <c r="F11" s="30">
        <v>1.2571195800000001</v>
      </c>
      <c r="G11" s="32">
        <v>247</v>
      </c>
      <c r="H11" s="33"/>
      <c r="I11" s="34">
        <v>3.6642363058515537</v>
      </c>
      <c r="J11" s="34">
        <v>5.9014514896867931</v>
      </c>
      <c r="K11" s="34">
        <v>5.5685857522357773</v>
      </c>
      <c r="L11" s="34">
        <v>0.8603617501547367</v>
      </c>
      <c r="M11" s="34" t="s">
        <v>40</v>
      </c>
      <c r="N11" s="34" t="s">
        <v>40</v>
      </c>
      <c r="O11" s="33"/>
      <c r="P11" s="34">
        <v>6.4007339489357218</v>
      </c>
      <c r="Q11" s="34">
        <v>1.3599895406678941</v>
      </c>
      <c r="R11" s="33"/>
      <c r="S11" s="34">
        <v>6.5924861415904843</v>
      </c>
      <c r="T11" s="34" t="s">
        <v>40</v>
      </c>
    </row>
    <row r="12" spans="1:21" x14ac:dyDescent="0.2">
      <c r="A12" s="29" t="s">
        <v>39</v>
      </c>
      <c r="B12" s="29" t="s">
        <v>38</v>
      </c>
      <c r="C12" s="29" t="s">
        <v>72</v>
      </c>
      <c r="D12" s="68" t="s">
        <v>98</v>
      </c>
      <c r="E12" s="31" t="s">
        <v>42</v>
      </c>
      <c r="F12" s="30">
        <v>5.7859259999999999</v>
      </c>
      <c r="G12" s="32">
        <v>1410</v>
      </c>
      <c r="H12" s="33"/>
      <c r="I12" s="34">
        <v>5.6105347166799602</v>
      </c>
      <c r="J12" s="34">
        <v>10.302575643910972</v>
      </c>
      <c r="K12" s="34">
        <v>7.6925805709425976</v>
      </c>
      <c r="L12" s="34">
        <v>3.3259284516319765</v>
      </c>
      <c r="M12" s="34" t="s">
        <v>40</v>
      </c>
      <c r="N12" s="34" t="s">
        <v>40</v>
      </c>
      <c r="O12" s="33"/>
      <c r="P12" s="34">
        <v>10.007051922526976</v>
      </c>
      <c r="Q12" s="34">
        <v>4.660665088399818</v>
      </c>
      <c r="R12" s="33"/>
      <c r="S12" s="34">
        <v>8.6139530574481569</v>
      </c>
      <c r="T12" s="34" t="s">
        <v>40</v>
      </c>
    </row>
    <row r="13" spans="1:21" x14ac:dyDescent="0.2">
      <c r="A13" s="29" t="s">
        <v>39</v>
      </c>
      <c r="B13" s="29" t="s">
        <v>70</v>
      </c>
      <c r="C13" s="29" t="s">
        <v>78</v>
      </c>
      <c r="D13" s="68" t="s">
        <v>99</v>
      </c>
      <c r="E13" s="31" t="s">
        <v>41</v>
      </c>
      <c r="F13" s="30">
        <v>4.3652280700000006</v>
      </c>
      <c r="G13" s="32">
        <v>3593</v>
      </c>
      <c r="H13" s="33"/>
      <c r="I13" s="34">
        <v>3.0998029027055951</v>
      </c>
      <c r="J13" s="34">
        <v>5.326743547501378</v>
      </c>
      <c r="K13" s="34">
        <v>5.2016065781486098</v>
      </c>
      <c r="L13" s="34" t="s">
        <v>40</v>
      </c>
      <c r="M13" s="34" t="s">
        <v>40</v>
      </c>
      <c r="N13" s="34" t="s">
        <v>40</v>
      </c>
      <c r="O13" s="33"/>
      <c r="P13" s="34">
        <v>6.4007396862817423</v>
      </c>
      <c r="Q13" s="34" t="s">
        <v>40</v>
      </c>
      <c r="R13" s="33"/>
      <c r="S13" s="34" t="s">
        <v>40</v>
      </c>
      <c r="T13" s="34" t="s">
        <v>40</v>
      </c>
    </row>
    <row r="14" spans="1:21" x14ac:dyDescent="0.2">
      <c r="A14" s="29" t="s">
        <v>39</v>
      </c>
      <c r="B14" s="29" t="s">
        <v>69</v>
      </c>
      <c r="C14" s="29" t="s">
        <v>79</v>
      </c>
      <c r="D14" s="68" t="s">
        <v>99</v>
      </c>
      <c r="E14" s="31" t="s">
        <v>42</v>
      </c>
      <c r="F14" s="30">
        <v>20.759536000000001</v>
      </c>
      <c r="G14" s="32">
        <v>20841</v>
      </c>
      <c r="H14" s="33"/>
      <c r="I14" s="34">
        <v>5.5621301775147902</v>
      </c>
      <c r="J14" s="34">
        <v>10.366769774635443</v>
      </c>
      <c r="K14" s="34">
        <v>7.8203953423103822</v>
      </c>
      <c r="L14" s="34" t="s">
        <v>40</v>
      </c>
      <c r="M14" s="34" t="s">
        <v>40</v>
      </c>
      <c r="N14" s="34" t="s">
        <v>40</v>
      </c>
      <c r="O14" s="33"/>
      <c r="P14" s="34">
        <v>10.007093985146032</v>
      </c>
      <c r="Q14" s="34" t="s">
        <v>40</v>
      </c>
      <c r="R14" s="33"/>
      <c r="S14" s="34" t="s">
        <v>40</v>
      </c>
      <c r="T14" s="34" t="s">
        <v>40</v>
      </c>
    </row>
    <row r="15" spans="1:21" x14ac:dyDescent="0.2">
      <c r="A15" s="29" t="s">
        <v>23</v>
      </c>
      <c r="B15" s="29" t="s">
        <v>43</v>
      </c>
      <c r="C15" s="29" t="s">
        <v>44</v>
      </c>
      <c r="D15" s="68" t="s">
        <v>100</v>
      </c>
      <c r="E15" s="31" t="s">
        <v>58</v>
      </c>
      <c r="F15" s="30">
        <v>11.811057</v>
      </c>
      <c r="G15" s="32">
        <v>4400</v>
      </c>
      <c r="H15" s="33"/>
      <c r="I15" s="34">
        <v>7.4382402707275697</v>
      </c>
      <c r="J15" s="34">
        <v>14.333045231921627</v>
      </c>
      <c r="K15" s="34">
        <v>10.481867197730764</v>
      </c>
      <c r="L15" s="34">
        <v>5.1486941879357984</v>
      </c>
      <c r="M15" s="34" t="s">
        <v>40</v>
      </c>
      <c r="N15" s="34" t="s">
        <v>40</v>
      </c>
      <c r="O15" s="33"/>
      <c r="P15" s="34">
        <v>11.738873735579759</v>
      </c>
      <c r="Q15" s="34">
        <v>6.5020269727385394</v>
      </c>
      <c r="R15" s="33"/>
      <c r="S15" s="34">
        <v>8.2587517165813953</v>
      </c>
      <c r="T15" s="34" t="s">
        <v>40</v>
      </c>
    </row>
    <row r="16" spans="1:21" x14ac:dyDescent="0.2">
      <c r="A16" s="29" t="s">
        <v>75</v>
      </c>
      <c r="B16" s="29" t="s">
        <v>77</v>
      </c>
      <c r="C16" s="29" t="s">
        <v>74</v>
      </c>
      <c r="D16" s="68" t="s">
        <v>101</v>
      </c>
      <c r="E16" s="31" t="s">
        <v>42</v>
      </c>
      <c r="F16" s="30">
        <v>3.9375830000000001</v>
      </c>
      <c r="G16" s="32">
        <v>1138</v>
      </c>
      <c r="H16" s="33"/>
      <c r="I16" s="34">
        <v>7.7824660103141152</v>
      </c>
      <c r="J16" s="34">
        <v>15.315164688179239</v>
      </c>
      <c r="K16" s="34">
        <v>11.084700809059211</v>
      </c>
      <c r="L16" s="34" t="s">
        <v>40</v>
      </c>
      <c r="M16" s="34" t="s">
        <v>40</v>
      </c>
      <c r="N16" s="34" t="s">
        <v>40</v>
      </c>
      <c r="O16" s="33"/>
      <c r="P16" s="34">
        <v>12.099819719200244</v>
      </c>
      <c r="Q16" s="34" t="s">
        <v>40</v>
      </c>
      <c r="R16" s="33"/>
      <c r="S16" s="34" t="s">
        <v>40</v>
      </c>
      <c r="T16" s="34" t="s">
        <v>40</v>
      </c>
    </row>
    <row r="17" spans="1:21" x14ac:dyDescent="0.2">
      <c r="A17" s="6"/>
      <c r="B17" s="6"/>
      <c r="C17" s="6"/>
      <c r="D17" s="71"/>
      <c r="E17" s="36"/>
      <c r="F17" s="35"/>
      <c r="G17" s="51"/>
      <c r="H17" s="33"/>
      <c r="I17" s="38"/>
      <c r="J17" s="38"/>
      <c r="K17" s="38"/>
      <c r="L17" s="38"/>
      <c r="M17" s="38"/>
      <c r="N17" s="38"/>
      <c r="O17" s="33"/>
      <c r="P17" s="38"/>
      <c r="Q17" s="38"/>
      <c r="R17" s="33"/>
      <c r="S17" s="38"/>
      <c r="T17" s="38"/>
    </row>
    <row r="18" spans="1:21" s="26" customFormat="1" x14ac:dyDescent="0.2">
      <c r="A18" s="25" t="s">
        <v>5</v>
      </c>
      <c r="B18" s="25"/>
      <c r="C18" s="25"/>
      <c r="D18" s="72"/>
      <c r="E18" s="40"/>
      <c r="F18" s="41"/>
      <c r="G18" s="50" t="s">
        <v>55</v>
      </c>
      <c r="H18" s="42"/>
      <c r="I18" s="28">
        <v>12.45000103629738</v>
      </c>
      <c r="J18" s="28">
        <v>23.745018763831446</v>
      </c>
      <c r="K18" s="28">
        <v>14.677554161521376</v>
      </c>
      <c r="L18" s="28">
        <v>9.1666234406095999</v>
      </c>
      <c r="M18" s="28">
        <v>10.083161354301483</v>
      </c>
      <c r="N18" s="28">
        <v>8.4328324742234244</v>
      </c>
      <c r="O18" s="28"/>
      <c r="P18" s="28">
        <v>18.266080485311736</v>
      </c>
      <c r="Q18" s="28">
        <v>11.651873481110185</v>
      </c>
      <c r="R18" s="42"/>
      <c r="S18" s="43"/>
      <c r="T18" s="43"/>
      <c r="U18" s="6"/>
    </row>
    <row r="19" spans="1:21" x14ac:dyDescent="0.2">
      <c r="A19" s="29" t="s">
        <v>3</v>
      </c>
      <c r="B19" s="29" t="s">
        <v>16</v>
      </c>
      <c r="C19" s="29" t="s">
        <v>84</v>
      </c>
      <c r="D19" s="68" t="s">
        <v>102</v>
      </c>
      <c r="E19" s="31" t="s">
        <v>28</v>
      </c>
      <c r="F19" s="30">
        <v>28.294523000000002</v>
      </c>
      <c r="G19" s="32">
        <v>6354</v>
      </c>
      <c r="H19" s="33"/>
      <c r="I19" s="34">
        <v>12.73534158149543</v>
      </c>
      <c r="J19" s="34">
        <v>24.709907765545978</v>
      </c>
      <c r="K19" s="34">
        <v>15.547337853212628</v>
      </c>
      <c r="L19" s="34">
        <v>7.9483165514205867</v>
      </c>
      <c r="M19" s="34">
        <v>9.8279451989295108</v>
      </c>
      <c r="N19" s="34">
        <v>8.2573235266935274</v>
      </c>
      <c r="O19" s="33"/>
      <c r="P19" s="34">
        <v>17.928174621151239</v>
      </c>
      <c r="Q19" s="34">
        <v>10.989986781109229</v>
      </c>
      <c r="R19" s="33"/>
      <c r="S19" s="34">
        <v>11.945843834600224</v>
      </c>
      <c r="T19" s="34">
        <v>12.195580759384747</v>
      </c>
    </row>
    <row r="20" spans="1:21" x14ac:dyDescent="0.2">
      <c r="A20" s="29" t="s">
        <v>91</v>
      </c>
      <c r="B20" s="29" t="s">
        <v>10</v>
      </c>
      <c r="C20" s="29" t="s">
        <v>88</v>
      </c>
      <c r="D20" s="68" t="s">
        <v>95</v>
      </c>
      <c r="E20" s="31" t="s">
        <v>28</v>
      </c>
      <c r="F20" s="30">
        <v>32.284582999999998</v>
      </c>
      <c r="G20" s="32">
        <v>10301</v>
      </c>
      <c r="H20" s="33"/>
      <c r="I20" s="34">
        <v>8.5158901573588519</v>
      </c>
      <c r="J20" s="34">
        <v>19.748042219952321</v>
      </c>
      <c r="K20" s="34">
        <v>14.319935285493536</v>
      </c>
      <c r="L20" s="34">
        <v>10.364047197017534</v>
      </c>
      <c r="M20" s="34">
        <v>10.42214663026555</v>
      </c>
      <c r="N20" s="34">
        <v>7.4826968470957489</v>
      </c>
      <c r="O20" s="33"/>
      <c r="P20" s="34">
        <v>23.495449644014244</v>
      </c>
      <c r="Q20" s="34">
        <v>14.521643244105388</v>
      </c>
      <c r="R20" s="33"/>
      <c r="S20" s="34">
        <v>9.0118423549048519</v>
      </c>
      <c r="T20" s="34">
        <v>10.059602587846705</v>
      </c>
    </row>
    <row r="21" spans="1:21" x14ac:dyDescent="0.2">
      <c r="A21" s="29" t="s">
        <v>91</v>
      </c>
      <c r="B21" s="29" t="s">
        <v>11</v>
      </c>
      <c r="C21" s="29" t="s">
        <v>89</v>
      </c>
      <c r="D21" s="68" t="s">
        <v>97</v>
      </c>
      <c r="E21" s="31" t="s">
        <v>28</v>
      </c>
      <c r="F21" s="30">
        <v>150.548158</v>
      </c>
      <c r="G21" s="32">
        <v>22184</v>
      </c>
      <c r="H21" s="33"/>
      <c r="I21" s="34">
        <v>12.990963585935411</v>
      </c>
      <c r="J21" s="34">
        <v>24.264488832037777</v>
      </c>
      <c r="K21" s="34">
        <v>14.645683417034183</v>
      </c>
      <c r="L21" s="34">
        <v>9.3241990004343744</v>
      </c>
      <c r="M21" s="34">
        <v>10.394031847659214</v>
      </c>
      <c r="N21" s="34">
        <v>8.9585046633701815</v>
      </c>
      <c r="O21" s="33"/>
      <c r="P21" s="34">
        <v>18.182445189027586</v>
      </c>
      <c r="Q21" s="34">
        <v>11.235465878777795</v>
      </c>
      <c r="R21" s="33"/>
      <c r="S21" s="34">
        <v>10.598841576194626</v>
      </c>
      <c r="T21" s="34">
        <v>11.00819980998004</v>
      </c>
    </row>
    <row r="22" spans="1:21" x14ac:dyDescent="0.2">
      <c r="A22" s="29" t="s">
        <v>91</v>
      </c>
      <c r="B22" s="29" t="s">
        <v>85</v>
      </c>
      <c r="C22" s="29" t="s">
        <v>90</v>
      </c>
      <c r="D22" s="68" t="s">
        <v>103</v>
      </c>
      <c r="E22" s="31" t="s">
        <v>28</v>
      </c>
      <c r="F22" s="30">
        <v>17.292057</v>
      </c>
      <c r="G22" s="32">
        <v>5637</v>
      </c>
      <c r="H22" s="33"/>
      <c r="I22" s="34">
        <v>12.737053245805985</v>
      </c>
      <c r="J22" s="34">
        <v>25.622269633241899</v>
      </c>
      <c r="K22" s="34" t="s">
        <v>40</v>
      </c>
      <c r="L22" s="34" t="s">
        <v>40</v>
      </c>
      <c r="M22" s="34" t="s">
        <v>40</v>
      </c>
      <c r="N22" s="34" t="s">
        <v>40</v>
      </c>
      <c r="O22" s="33"/>
      <c r="P22" s="34" t="s">
        <v>40</v>
      </c>
      <c r="Q22" s="34" t="s">
        <v>40</v>
      </c>
      <c r="R22" s="33"/>
      <c r="S22" s="34" t="s">
        <v>40</v>
      </c>
      <c r="T22" s="34" t="s">
        <v>40</v>
      </c>
    </row>
    <row r="23" spans="1:21" x14ac:dyDescent="0.2">
      <c r="A23" s="29" t="s">
        <v>23</v>
      </c>
      <c r="B23" s="29" t="s">
        <v>9</v>
      </c>
      <c r="C23" s="29" t="s">
        <v>45</v>
      </c>
      <c r="D23" s="68" t="s">
        <v>96</v>
      </c>
      <c r="E23" s="31" t="s">
        <v>28</v>
      </c>
      <c r="F23" s="30">
        <v>103.77235899999999</v>
      </c>
      <c r="G23" s="32">
        <v>19328</v>
      </c>
      <c r="H23" s="33"/>
      <c r="I23" s="34">
        <v>12.977246432703438</v>
      </c>
      <c r="J23" s="34">
        <v>24.858817261587628</v>
      </c>
      <c r="K23" s="34">
        <v>15.283867642168403</v>
      </c>
      <c r="L23" s="34">
        <v>9.1232036019287754</v>
      </c>
      <c r="M23" s="34">
        <v>9.5962902882688272</v>
      </c>
      <c r="N23" s="34">
        <v>8.0136620348194132</v>
      </c>
      <c r="O23" s="33"/>
      <c r="P23" s="34">
        <v>18.430941858064507</v>
      </c>
      <c r="Q23" s="34">
        <v>12.034978057865796</v>
      </c>
      <c r="R23" s="33"/>
      <c r="S23" s="34">
        <v>12.360797976870403</v>
      </c>
      <c r="T23" s="34">
        <v>11.658276829296234</v>
      </c>
    </row>
    <row r="24" spans="1:21" x14ac:dyDescent="0.2">
      <c r="A24" s="29" t="s">
        <v>23</v>
      </c>
      <c r="B24" s="29" t="s">
        <v>65</v>
      </c>
      <c r="C24" s="29" t="s">
        <v>71</v>
      </c>
      <c r="D24" s="68" t="s">
        <v>104</v>
      </c>
      <c r="E24" s="31" t="s">
        <v>28</v>
      </c>
      <c r="F24" s="30">
        <v>22.717310999999999</v>
      </c>
      <c r="G24" s="32">
        <v>7285</v>
      </c>
      <c r="H24" s="33"/>
      <c r="I24" s="34">
        <v>11.374700564098594</v>
      </c>
      <c r="J24" s="34">
        <v>22.663829787234047</v>
      </c>
      <c r="K24" s="34">
        <v>15.773916874724714</v>
      </c>
      <c r="L24" s="34" t="s">
        <v>40</v>
      </c>
      <c r="M24" s="34" t="s">
        <v>40</v>
      </c>
      <c r="N24" s="34" t="s">
        <v>40</v>
      </c>
      <c r="O24" s="33"/>
      <c r="P24" s="34">
        <v>19.510373360829259</v>
      </c>
      <c r="Q24" s="34" t="s">
        <v>40</v>
      </c>
      <c r="R24" s="33"/>
      <c r="S24" s="34" t="s">
        <v>40</v>
      </c>
      <c r="T24" s="34" t="s">
        <v>40</v>
      </c>
    </row>
    <row r="25" spans="1:21" x14ac:dyDescent="0.2">
      <c r="A25" s="29" t="s">
        <v>39</v>
      </c>
      <c r="B25" s="29" t="s">
        <v>36</v>
      </c>
      <c r="C25" s="29" t="s">
        <v>67</v>
      </c>
      <c r="D25" s="68" t="s">
        <v>98</v>
      </c>
      <c r="E25" s="31" t="s">
        <v>28</v>
      </c>
      <c r="F25" s="30">
        <v>22.099474690000001</v>
      </c>
      <c r="G25" s="32">
        <v>4064</v>
      </c>
      <c r="H25" s="33"/>
      <c r="I25" s="34">
        <v>12.271207053815747</v>
      </c>
      <c r="J25" s="34">
        <v>21.419176640799687</v>
      </c>
      <c r="K25" s="34">
        <v>12.390767697005423</v>
      </c>
      <c r="L25" s="34">
        <v>8.469511188794133</v>
      </c>
      <c r="M25" s="34" t="s">
        <v>40</v>
      </c>
      <c r="N25" s="34" t="s">
        <v>40</v>
      </c>
      <c r="O25" s="33"/>
      <c r="P25" s="34">
        <v>16.364069453434492</v>
      </c>
      <c r="Q25" s="34">
        <v>10.207398548214996</v>
      </c>
      <c r="R25" s="33"/>
      <c r="S25" s="34">
        <v>12.738826682264785</v>
      </c>
      <c r="T25" s="34" t="s">
        <v>40</v>
      </c>
    </row>
    <row r="26" spans="1:21" x14ac:dyDescent="0.2">
      <c r="A26" s="29" t="s">
        <v>39</v>
      </c>
      <c r="B26" s="29" t="s">
        <v>68</v>
      </c>
      <c r="C26" s="29" t="s">
        <v>80</v>
      </c>
      <c r="D26" s="68" t="s">
        <v>99</v>
      </c>
      <c r="E26" s="31" t="s">
        <v>28</v>
      </c>
      <c r="F26" s="30">
        <v>51.414409720000002</v>
      </c>
      <c r="G26" s="32">
        <v>51731</v>
      </c>
      <c r="H26" s="33"/>
      <c r="I26" s="34">
        <v>11.764256229934244</v>
      </c>
      <c r="J26" s="34">
        <v>21.265654806336578</v>
      </c>
      <c r="K26" s="34">
        <v>12.737623509430239</v>
      </c>
      <c r="L26" s="34" t="s">
        <v>40</v>
      </c>
      <c r="M26" s="34" t="s">
        <v>40</v>
      </c>
      <c r="N26" s="34" t="s">
        <v>40</v>
      </c>
      <c r="O26" s="33"/>
      <c r="P26" s="34">
        <v>16.364030581108491</v>
      </c>
      <c r="Q26" s="34" t="s">
        <v>40</v>
      </c>
      <c r="R26" s="33"/>
      <c r="S26" s="34" t="s">
        <v>40</v>
      </c>
      <c r="T26" s="34" t="s">
        <v>40</v>
      </c>
    </row>
    <row r="27" spans="1:21" x14ac:dyDescent="0.2">
      <c r="A27" s="29" t="s">
        <v>3</v>
      </c>
      <c r="B27" s="29" t="s">
        <v>63</v>
      </c>
      <c r="C27" s="29" t="s">
        <v>64</v>
      </c>
      <c r="D27" s="68" t="s">
        <v>105</v>
      </c>
      <c r="E27" s="31" t="s">
        <v>28</v>
      </c>
      <c r="F27" s="30">
        <v>7.6893130000000003</v>
      </c>
      <c r="G27" s="32">
        <v>1705</v>
      </c>
      <c r="H27" s="33"/>
      <c r="I27" s="34">
        <v>15.467625899280568</v>
      </c>
      <c r="J27" s="34">
        <v>24.418604651162788</v>
      </c>
      <c r="K27" s="34">
        <v>13.353225917185485</v>
      </c>
      <c r="L27" s="34">
        <v>8.1290465222213051</v>
      </c>
      <c r="M27" s="34" t="s">
        <v>40</v>
      </c>
      <c r="N27" s="34" t="s">
        <v>40</v>
      </c>
      <c r="O27" s="33"/>
      <c r="P27" s="34">
        <v>14.062971562440673</v>
      </c>
      <c r="Q27" s="34">
        <v>9.1776989493235419</v>
      </c>
      <c r="R27" s="33"/>
      <c r="S27" s="34">
        <v>13.573017574999144</v>
      </c>
      <c r="T27" s="34" t="s">
        <v>40</v>
      </c>
    </row>
    <row r="28" spans="1:21" x14ac:dyDescent="0.2">
      <c r="A28" s="29" t="s">
        <v>3</v>
      </c>
      <c r="B28" s="29" t="s">
        <v>93</v>
      </c>
      <c r="C28" s="29" t="s">
        <v>92</v>
      </c>
      <c r="D28" s="68" t="s">
        <v>106</v>
      </c>
      <c r="E28" s="31" t="s">
        <v>28</v>
      </c>
      <c r="F28" s="30">
        <v>1.1179140000000001</v>
      </c>
      <c r="G28" s="32">
        <v>367</v>
      </c>
      <c r="H28" s="33"/>
      <c r="I28" s="34">
        <v>11.579999999999991</v>
      </c>
      <c r="J28" s="34" t="s">
        <v>40</v>
      </c>
      <c r="K28" s="34" t="s">
        <v>40</v>
      </c>
      <c r="L28" s="34" t="s">
        <v>40</v>
      </c>
      <c r="M28" s="34" t="s">
        <v>40</v>
      </c>
      <c r="N28" s="34" t="s">
        <v>40</v>
      </c>
      <c r="O28" s="33"/>
      <c r="P28" s="34" t="s">
        <v>40</v>
      </c>
      <c r="Q28" s="34" t="s">
        <v>40</v>
      </c>
      <c r="R28" s="33"/>
      <c r="S28" s="34" t="s">
        <v>40</v>
      </c>
      <c r="T28" s="34" t="s">
        <v>40</v>
      </c>
    </row>
    <row r="29" spans="1:21" x14ac:dyDescent="0.2">
      <c r="A29" s="29" t="s">
        <v>75</v>
      </c>
      <c r="B29" s="29" t="s">
        <v>76</v>
      </c>
      <c r="C29" s="29" t="s">
        <v>73</v>
      </c>
      <c r="D29" s="68" t="s">
        <v>101</v>
      </c>
      <c r="E29" s="31" t="s">
        <v>28</v>
      </c>
      <c r="F29" s="30">
        <v>29.809965999999999</v>
      </c>
      <c r="G29" s="32">
        <v>8348</v>
      </c>
      <c r="H29" s="33"/>
      <c r="I29" s="34">
        <v>13.097205258998512</v>
      </c>
      <c r="J29" s="34">
        <v>26.228850934167269</v>
      </c>
      <c r="K29" s="34">
        <v>16.845033048215186</v>
      </c>
      <c r="L29" s="34" t="s">
        <v>40</v>
      </c>
      <c r="M29" s="34" t="s">
        <v>40</v>
      </c>
      <c r="N29" s="34" t="s">
        <v>40</v>
      </c>
      <c r="O29" s="33"/>
      <c r="P29" s="34">
        <v>17.606012330422761</v>
      </c>
      <c r="Q29" s="34" t="s">
        <v>40</v>
      </c>
      <c r="R29" s="33"/>
      <c r="S29" s="34" t="s">
        <v>40</v>
      </c>
      <c r="T29" s="34" t="s">
        <v>40</v>
      </c>
    </row>
    <row r="30" spans="1:21" x14ac:dyDescent="0.2">
      <c r="D30" s="7"/>
      <c r="E30" s="8"/>
      <c r="F30" s="7"/>
      <c r="G30" s="7"/>
      <c r="H30" s="3"/>
      <c r="I30" s="4"/>
      <c r="J30" s="4"/>
      <c r="K30" s="4"/>
      <c r="L30" s="4"/>
      <c r="M30" s="4"/>
      <c r="N30" s="4"/>
      <c r="O30" s="3"/>
      <c r="P30" s="4"/>
      <c r="Q30" s="4"/>
      <c r="R30" s="3"/>
      <c r="S30" s="4"/>
      <c r="T30" s="4"/>
    </row>
    <row r="32" spans="1:21" s="17" customFormat="1" x14ac:dyDescent="0.25">
      <c r="A32" s="5"/>
      <c r="B32" s="5"/>
      <c r="C32" s="5"/>
      <c r="D32" s="44"/>
      <c r="E32" s="45"/>
      <c r="F32" s="46"/>
      <c r="G32" s="47" t="s">
        <v>62</v>
      </c>
      <c r="H32" s="46"/>
      <c r="I32" s="48">
        <v>10.392254850564003</v>
      </c>
      <c r="J32" s="48">
        <v>19.904947496284205</v>
      </c>
      <c r="K32" s="48">
        <v>12.907870786409479</v>
      </c>
      <c r="L32" s="48">
        <v>7.395332315814124</v>
      </c>
      <c r="M32" s="48">
        <v>8.1510088906535252</v>
      </c>
      <c r="N32" s="48">
        <v>7.1718876987283213</v>
      </c>
      <c r="O32" s="48"/>
      <c r="P32" s="48">
        <v>15.740165644805694</v>
      </c>
      <c r="Q32" s="48">
        <v>9.2037960208179346</v>
      </c>
      <c r="R32" s="46"/>
      <c r="S32" s="49"/>
      <c r="T32" s="49"/>
      <c r="U32" s="5"/>
    </row>
    <row r="34" spans="1:21" x14ac:dyDescent="0.2">
      <c r="A34" s="16" t="s">
        <v>21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21" x14ac:dyDescent="0.2">
      <c r="A35" s="16" t="s">
        <v>48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21" x14ac:dyDescent="0.2">
      <c r="A36" s="16" t="s">
        <v>50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21" x14ac:dyDescent="0.2">
      <c r="A37" s="16" t="s">
        <v>52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21" x14ac:dyDescent="0.2">
      <c r="A38" s="16" t="s">
        <v>54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P38" s="1"/>
      <c r="Q38" s="1"/>
      <c r="S38" s="1"/>
      <c r="T38" s="1"/>
      <c r="U38" s="1"/>
    </row>
    <row r="39" spans="1:21" x14ac:dyDescent="0.2">
      <c r="A39" s="66" t="s">
        <v>107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P39" s="1"/>
      <c r="Q39" s="1"/>
      <c r="S39" s="1"/>
      <c r="T39" s="1"/>
      <c r="U39" s="1"/>
    </row>
    <row r="40" spans="1:21" x14ac:dyDescent="0.2">
      <c r="A40" s="16" t="s">
        <v>57</v>
      </c>
      <c r="P40" s="1"/>
      <c r="Q40" s="1"/>
      <c r="S40" s="1"/>
      <c r="T40" s="1"/>
      <c r="U40" s="1"/>
    </row>
    <row r="41" spans="1:21" x14ac:dyDescent="0.2">
      <c r="A41" s="66"/>
      <c r="P41" s="1"/>
      <c r="Q41" s="1"/>
      <c r="S41" s="1"/>
      <c r="T41" s="1"/>
      <c r="U41" s="1"/>
    </row>
    <row r="42" spans="1:21" x14ac:dyDescent="0.2">
      <c r="A42" s="62"/>
    </row>
    <row r="43" spans="1:21" x14ac:dyDescent="0.2">
      <c r="L43" s="64"/>
    </row>
  </sheetData>
  <mergeCells count="3">
    <mergeCell ref="P1:Q1"/>
    <mergeCell ref="I1:N1"/>
    <mergeCell ref="S1:T1"/>
  </mergeCells>
  <phoneticPr fontId="14" type="noConversion"/>
  <conditionalFormatting sqref="I4:N6 I9:N16">
    <cfRule type="cellIs" dxfId="20" priority="51" operator="greaterThanOrEqual">
      <formula>0</formula>
    </cfRule>
    <cfRule type="cellIs" dxfId="19" priority="52" operator="lessThan">
      <formula>0</formula>
    </cfRule>
  </conditionalFormatting>
  <conditionalFormatting sqref="I19:N29">
    <cfRule type="cellIs" dxfId="18" priority="5" operator="greaterThanOrEqual">
      <formula>0</formula>
    </cfRule>
    <cfRule type="cellIs" dxfId="17" priority="6" operator="lessThan">
      <formula>0</formula>
    </cfRule>
  </conditionalFormatting>
  <conditionalFormatting sqref="I44:T1048576 I33:T41 I42:K43 M42:T43">
    <cfRule type="duplicateValues" dxfId="16" priority="283"/>
  </conditionalFormatting>
  <conditionalFormatting sqref="L43">
    <cfRule type="duplicateValues" dxfId="15" priority="304"/>
  </conditionalFormatting>
  <conditionalFormatting sqref="P4:Q6">
    <cfRule type="cellIs" dxfId="14" priority="240" operator="greaterThanOrEqual">
      <formula>0</formula>
    </cfRule>
    <cfRule type="cellIs" dxfId="13" priority="241" operator="lessThan">
      <formula>0</formula>
    </cfRule>
  </conditionalFormatting>
  <conditionalFormatting sqref="P9:Q16">
    <cfRule type="cellIs" dxfId="12" priority="9" operator="greaterThanOrEqual">
      <formula>0</formula>
    </cfRule>
    <cfRule type="cellIs" dxfId="11" priority="10" operator="lessThan">
      <formula>0</formula>
    </cfRule>
  </conditionalFormatting>
  <conditionalFormatting sqref="P19:Q29">
    <cfRule type="cellIs" dxfId="10" priority="3" operator="greaterThanOrEqual">
      <formula>0</formula>
    </cfRule>
    <cfRule type="cellIs" dxfId="9" priority="4" operator="lessThan">
      <formula>0</formula>
    </cfRule>
  </conditionalFormatting>
  <conditionalFormatting sqref="S4:T6">
    <cfRule type="cellIs" dxfId="8" priority="234" operator="greaterThanOrEqual">
      <formula>0</formula>
    </cfRule>
    <cfRule type="cellIs" dxfId="7" priority="235" operator="lessThan">
      <formula>0</formula>
    </cfRule>
  </conditionalFormatting>
  <conditionalFormatting sqref="S9:T16">
    <cfRule type="cellIs" dxfId="6" priority="7" operator="greaterThanOrEqual">
      <formula>0</formula>
    </cfRule>
    <cfRule type="cellIs" dxfId="5" priority="8" operator="lessThan">
      <formula>0</formula>
    </cfRule>
  </conditionalFormatting>
  <conditionalFormatting sqref="S19:T29">
    <cfRule type="cellIs" dxfId="4" priority="1" operator="greaterThanOrEqual">
      <formula>0</formula>
    </cfRule>
    <cfRule type="cellIs" dxfId="3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9FFC9"/>
  </sheetPr>
  <dimension ref="A1:T45"/>
  <sheetViews>
    <sheetView showGridLines="0" zoomScaleNormal="100" workbookViewId="0"/>
  </sheetViews>
  <sheetFormatPr defaultRowHeight="15" x14ac:dyDescent="0.25"/>
  <cols>
    <col min="1" max="1" width="54.85546875" customWidth="1"/>
    <col min="2" max="2" width="32.42578125" bestFit="1" customWidth="1"/>
    <col min="3" max="3" width="19.5703125" bestFit="1" customWidth="1"/>
    <col min="4" max="4" width="18.85546875" bestFit="1" customWidth="1"/>
    <col min="6" max="6" width="9.5703125" customWidth="1"/>
    <col min="16" max="16" width="10.5703125" customWidth="1"/>
  </cols>
  <sheetData>
    <row r="1" spans="1:20" s="10" customFormat="1" ht="14.25" x14ac:dyDescent="0.2">
      <c r="A1" s="22" t="s">
        <v>19</v>
      </c>
      <c r="B1" s="22" t="s">
        <v>18</v>
      </c>
      <c r="C1" s="22" t="s">
        <v>7</v>
      </c>
      <c r="E1" s="11"/>
      <c r="G1" s="12"/>
      <c r="I1" s="13"/>
      <c r="J1" s="13"/>
      <c r="K1" s="13"/>
      <c r="L1" s="13"/>
      <c r="N1" s="13"/>
      <c r="O1" s="13"/>
      <c r="Q1" s="14"/>
      <c r="R1" s="14"/>
      <c r="S1" s="14"/>
      <c r="T1" s="14"/>
    </row>
    <row r="2" spans="1:20" s="9" customFormat="1" x14ac:dyDescent="0.25">
      <c r="A2" s="29" t="s">
        <v>3</v>
      </c>
      <c r="B2" s="52">
        <v>114.10743199999999</v>
      </c>
      <c r="C2" s="53">
        <v>33299</v>
      </c>
      <c r="G2" s="6"/>
      <c r="H2" s="6"/>
      <c r="I2" s="6"/>
    </row>
    <row r="3" spans="1:20" s="9" customFormat="1" x14ac:dyDescent="0.25">
      <c r="A3" s="29" t="s">
        <v>91</v>
      </c>
      <c r="B3" s="52">
        <v>258.321079</v>
      </c>
      <c r="C3" s="53">
        <v>48536</v>
      </c>
      <c r="G3" s="6"/>
      <c r="H3" s="6"/>
      <c r="I3" s="6"/>
    </row>
    <row r="4" spans="1:20" s="9" customFormat="1" x14ac:dyDescent="0.25">
      <c r="A4" s="29" t="s">
        <v>23</v>
      </c>
      <c r="B4" s="52">
        <v>150.407591</v>
      </c>
      <c r="C4" s="53">
        <v>33813</v>
      </c>
      <c r="E4" s="6"/>
      <c r="F4" s="6"/>
      <c r="G4" s="6"/>
      <c r="H4" s="6"/>
      <c r="I4" s="6"/>
      <c r="O4" s="6"/>
      <c r="P4" s="61"/>
    </row>
    <row r="5" spans="1:20" s="9" customFormat="1" x14ac:dyDescent="0.25">
      <c r="A5" s="29" t="s">
        <v>39</v>
      </c>
      <c r="B5" s="52">
        <v>105.68169406</v>
      </c>
      <c r="C5" s="53">
        <v>81886</v>
      </c>
      <c r="E5" s="6"/>
      <c r="F5" s="6"/>
      <c r="G5" s="6"/>
      <c r="H5" s="6"/>
      <c r="I5" s="6"/>
      <c r="O5" s="59"/>
      <c r="P5" s="61"/>
    </row>
    <row r="6" spans="1:20" s="9" customFormat="1" x14ac:dyDescent="0.25">
      <c r="A6" s="29" t="s">
        <v>75</v>
      </c>
      <c r="B6" s="52">
        <v>33.747548999999999</v>
      </c>
      <c r="C6" s="53">
        <v>9486</v>
      </c>
      <c r="E6" s="6"/>
      <c r="F6" s="6"/>
      <c r="G6" s="6"/>
      <c r="H6" s="6"/>
      <c r="I6" s="6"/>
      <c r="O6" s="59"/>
      <c r="P6" s="61"/>
    </row>
    <row r="7" spans="1:20" s="10" customFormat="1" ht="14.25" x14ac:dyDescent="0.2">
      <c r="A7" s="56" t="s">
        <v>22</v>
      </c>
      <c r="B7" s="54">
        <v>662.38559199999997</v>
      </c>
      <c r="C7" s="55">
        <v>207020</v>
      </c>
      <c r="E7" s="11"/>
      <c r="G7" s="12"/>
      <c r="I7" s="13"/>
      <c r="J7" s="13"/>
      <c r="K7" s="13"/>
      <c r="L7" s="13"/>
      <c r="N7" s="13"/>
      <c r="O7" s="60"/>
      <c r="P7" s="60"/>
      <c r="Q7" s="14"/>
      <c r="R7" s="14"/>
      <c r="S7" s="14"/>
      <c r="T7" s="14"/>
    </row>
    <row r="8" spans="1:20" s="9" customFormat="1" x14ac:dyDescent="0.25">
      <c r="B8" s="15"/>
      <c r="E8" s="6"/>
      <c r="F8" s="6"/>
      <c r="G8" s="6"/>
      <c r="H8" s="6"/>
      <c r="I8" s="6"/>
    </row>
    <row r="9" spans="1:20" s="10" customFormat="1" ht="22.7" customHeight="1" x14ac:dyDescent="0.2">
      <c r="E9" s="11"/>
      <c r="G9" s="12"/>
      <c r="I9" s="13"/>
      <c r="J9" s="13"/>
      <c r="K9" s="13"/>
      <c r="L9" s="13"/>
      <c r="N9" s="13"/>
      <c r="O9" s="13"/>
      <c r="Q9" s="14"/>
      <c r="R9" s="14"/>
      <c r="S9" s="14"/>
      <c r="T9" s="14"/>
    </row>
    <row r="10" spans="1:20" s="9" customFormat="1" x14ac:dyDescent="0.25"/>
    <row r="11" spans="1:20" s="9" customFormat="1" x14ac:dyDescent="0.25"/>
    <row r="12" spans="1:20" s="9" customFormat="1" x14ac:dyDescent="0.25"/>
    <row r="13" spans="1:20" s="9" customFormat="1" x14ac:dyDescent="0.25"/>
    <row r="14" spans="1:20" s="9" customFormat="1" x14ac:dyDescent="0.25"/>
    <row r="15" spans="1:20" s="9" customFormat="1" x14ac:dyDescent="0.25"/>
    <row r="16" spans="1:20" s="9" customFormat="1" x14ac:dyDescent="0.25"/>
    <row r="17" spans="1:3" s="9" customFormat="1" x14ac:dyDescent="0.25"/>
    <row r="18" spans="1:3" s="9" customFormat="1" x14ac:dyDescent="0.25"/>
    <row r="19" spans="1:3" s="9" customFormat="1" x14ac:dyDescent="0.25"/>
    <row r="20" spans="1:3" s="9" customFormat="1" x14ac:dyDescent="0.25"/>
    <row r="21" spans="1:3" s="9" customFormat="1" x14ac:dyDescent="0.25"/>
    <row r="22" spans="1:3" ht="33" customHeight="1" x14ac:dyDescent="0.25">
      <c r="A22" s="22" t="s">
        <v>20</v>
      </c>
      <c r="B22" s="22" t="s">
        <v>33</v>
      </c>
      <c r="C22" s="22" t="s">
        <v>34</v>
      </c>
    </row>
    <row r="23" spans="1:3" x14ac:dyDescent="0.25">
      <c r="A23" s="29" t="s">
        <v>86</v>
      </c>
      <c r="B23" s="52">
        <v>16.262039000000001</v>
      </c>
      <c r="C23" s="53">
        <v>4042</v>
      </c>
    </row>
    <row r="24" spans="1:3" x14ac:dyDescent="0.25">
      <c r="A24" s="29" t="s">
        <v>87</v>
      </c>
      <c r="B24" s="52">
        <v>41.934241999999998</v>
      </c>
      <c r="C24" s="53">
        <v>6372</v>
      </c>
    </row>
    <row r="25" spans="1:3" x14ac:dyDescent="0.25">
      <c r="A25" s="29" t="s">
        <v>88</v>
      </c>
      <c r="B25" s="52">
        <v>32.284582999999998</v>
      </c>
      <c r="C25" s="53">
        <v>10301</v>
      </c>
    </row>
    <row r="26" spans="1:3" x14ac:dyDescent="0.25">
      <c r="A26" s="29" t="s">
        <v>89</v>
      </c>
      <c r="B26" s="52">
        <v>150.548158</v>
      </c>
      <c r="C26" s="53">
        <v>22184</v>
      </c>
    </row>
    <row r="27" spans="1:3" x14ac:dyDescent="0.25">
      <c r="A27" s="29" t="s">
        <v>90</v>
      </c>
      <c r="B27" s="52">
        <v>17.292057</v>
      </c>
      <c r="C27" s="53">
        <v>5637</v>
      </c>
    </row>
    <row r="28" spans="1:3" x14ac:dyDescent="0.25">
      <c r="A28" s="29" t="s">
        <v>82</v>
      </c>
      <c r="B28" s="52">
        <v>9.5747999999999998</v>
      </c>
      <c r="C28" s="53">
        <v>3181</v>
      </c>
    </row>
    <row r="29" spans="1:3" x14ac:dyDescent="0.25">
      <c r="A29" s="29" t="s">
        <v>83</v>
      </c>
      <c r="B29" s="52">
        <v>67.430881999999997</v>
      </c>
      <c r="C29" s="53">
        <v>21692</v>
      </c>
    </row>
    <row r="30" spans="1:3" x14ac:dyDescent="0.25">
      <c r="A30" s="29" t="s">
        <v>84</v>
      </c>
      <c r="B30" s="52">
        <v>28.294523000000002</v>
      </c>
      <c r="C30" s="53">
        <v>6354</v>
      </c>
    </row>
    <row r="31" spans="1:3" x14ac:dyDescent="0.25">
      <c r="A31" s="29" t="s">
        <v>64</v>
      </c>
      <c r="B31" s="52">
        <v>7.6893130000000003</v>
      </c>
      <c r="C31" s="53">
        <v>1705</v>
      </c>
    </row>
    <row r="32" spans="1:3" x14ac:dyDescent="0.25">
      <c r="A32" s="29" t="s">
        <v>92</v>
      </c>
      <c r="B32" s="52">
        <v>1.1179140000000001</v>
      </c>
      <c r="C32" s="53">
        <v>367</v>
      </c>
    </row>
    <row r="33" spans="1:3" x14ac:dyDescent="0.25">
      <c r="A33" s="29" t="s">
        <v>44</v>
      </c>
      <c r="B33" s="52">
        <v>11.811057</v>
      </c>
      <c r="C33" s="53">
        <v>4400</v>
      </c>
    </row>
    <row r="34" spans="1:3" x14ac:dyDescent="0.25">
      <c r="A34" s="29" t="s">
        <v>46</v>
      </c>
      <c r="B34" s="52">
        <v>12.106864</v>
      </c>
      <c r="C34" s="53">
        <v>2800</v>
      </c>
    </row>
    <row r="35" spans="1:3" x14ac:dyDescent="0.25">
      <c r="A35" s="29" t="s">
        <v>45</v>
      </c>
      <c r="B35" s="52">
        <v>103.77235899999999</v>
      </c>
      <c r="C35" s="53">
        <v>19328</v>
      </c>
    </row>
    <row r="36" spans="1:3" x14ac:dyDescent="0.25">
      <c r="A36" s="29" t="s">
        <v>71</v>
      </c>
      <c r="B36" s="52">
        <v>22.717310999999999</v>
      </c>
      <c r="C36" s="53">
        <v>7285</v>
      </c>
    </row>
    <row r="37" spans="1:3" x14ac:dyDescent="0.25">
      <c r="A37" s="52" t="s">
        <v>66</v>
      </c>
      <c r="B37" s="52">
        <v>1.2571195800000001</v>
      </c>
      <c r="C37" s="53">
        <v>247</v>
      </c>
    </row>
    <row r="38" spans="1:3" x14ac:dyDescent="0.25">
      <c r="A38" s="52" t="s">
        <v>72</v>
      </c>
      <c r="B38" s="52">
        <v>5.7859259999999999</v>
      </c>
      <c r="C38" s="53">
        <v>1410</v>
      </c>
    </row>
    <row r="39" spans="1:3" x14ac:dyDescent="0.25">
      <c r="A39" s="52" t="s">
        <v>78</v>
      </c>
      <c r="B39" s="52">
        <v>4.3652280000000001</v>
      </c>
      <c r="C39" s="53">
        <v>3593</v>
      </c>
    </row>
    <row r="40" spans="1:3" x14ac:dyDescent="0.25">
      <c r="A40" s="52" t="s">
        <v>79</v>
      </c>
      <c r="B40" s="52">
        <v>20.759536000000001</v>
      </c>
      <c r="C40" s="53">
        <v>20841</v>
      </c>
    </row>
    <row r="41" spans="1:3" x14ac:dyDescent="0.25">
      <c r="A41" s="52" t="s">
        <v>67</v>
      </c>
      <c r="B41" s="52">
        <v>22.099474690000001</v>
      </c>
      <c r="C41" s="53">
        <v>4064</v>
      </c>
    </row>
    <row r="42" spans="1:3" x14ac:dyDescent="0.25">
      <c r="A42" s="52" t="s">
        <v>80</v>
      </c>
      <c r="B42" s="52">
        <v>51.414409720000002</v>
      </c>
      <c r="C42" s="53">
        <v>51731</v>
      </c>
    </row>
    <row r="43" spans="1:3" x14ac:dyDescent="0.25">
      <c r="A43" s="52" t="s">
        <v>73</v>
      </c>
      <c r="B43" s="52">
        <v>29.809965999999999</v>
      </c>
      <c r="C43" s="53">
        <v>8348</v>
      </c>
    </row>
    <row r="44" spans="1:3" x14ac:dyDescent="0.25">
      <c r="A44" s="52" t="s">
        <v>74</v>
      </c>
      <c r="B44" s="52">
        <v>3.9375830000000001</v>
      </c>
      <c r="C44" s="53">
        <v>1138</v>
      </c>
    </row>
    <row r="45" spans="1:3" x14ac:dyDescent="0.25">
      <c r="A45" s="56" t="s">
        <v>22</v>
      </c>
      <c r="B45" s="54">
        <v>662.38559200000009</v>
      </c>
      <c r="C45" s="63">
        <v>207020</v>
      </c>
    </row>
  </sheetData>
  <conditionalFormatting sqref="I1:R1">
    <cfRule type="duplicateValues" dxfId="2" priority="6"/>
  </conditionalFormatting>
  <conditionalFormatting sqref="I7:R7">
    <cfRule type="duplicateValues" dxfId="1" priority="1"/>
  </conditionalFormatting>
  <conditionalFormatting sqref="I9:R9">
    <cfRule type="duplicateValues" dxfId="0" priority="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2026-06-30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2026-07-16T06:47:02Z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2026-07-09T07:22:13Z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b594c8f9-d430-4dad-9001-f16502792d84</vt:lpwstr>
  </property>
  <property fmtid="{D5CDD505-2E9C-101B-9397-08002B2CF9AE}" pid="8" name="MSIP_Label_e5564178-1ca1-4992-b45e-fdaf9919e704_ContentBits">
    <vt:lpwstr>0</vt:lpwstr>
  </property>
  <property fmtid="{D5CDD505-2E9C-101B-9397-08002B2CF9AE}" pid="9" name="MSIP_Label_e5564178-1ca1-4992-b45e-fdaf9919e704_Tag">
    <vt:lpwstr>10, 0, 1, 1</vt:lpwstr>
  </property>
</Properties>
</file>