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65EA8E-7FC7-4255-84E2-086D4B3A7D9F}" xr6:coauthVersionLast="47" xr6:coauthVersionMax="47" xr10:uidLastSave="{00000000-0000-0000-0000-000000000000}"/>
  <bookViews>
    <workbookView xWindow="-110" yWindow="-110" windowWidth="19420" windowHeight="11500" tabRatio="844" xr2:uid="{00000000-000D-0000-FFFF-FFFF00000000}"/>
  </bookViews>
  <sheets>
    <sheet name="2025-03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<sst xmlns="http://schemas.openxmlformats.org/spreadsheetml/2006/main" count="247" uniqueCount="113">
  <si>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</si>
  <si>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</si>
  <si>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</si>
  <si>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</si>
  <si>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</si>
  <si>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</si>
  <si>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</si>
  <si>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</si>
  <si>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</si>
  <si>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</si>
  <si>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</si>
  <si>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</si>
  <si>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</si>
  <si>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</si>
  <si>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</si>
  <si>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</si>
  <si>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</si>
  <si>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</si>
  <si>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</si>
  <si>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</si>
  <si>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</si>
  <si>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</si>
  <si>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</si>
  <si>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</si>
  <si>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</si>
  <si>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</si>
  <si>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</si>
  <si>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</si>
  <si>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</si>
  <si>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</si>
  <si>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</si>
  <si>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</si>
  <si>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</si>
  <si>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</si>
  <si>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</si>
  <si>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</si>
  <si>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</si>
  <si>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</si>
  <si>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</si>
  <si>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</si>
  <si>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</si>
  <si>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</si>
  <si>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</si>
  <si>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</si>
  <si>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</si>
  <si>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</si>
  <si>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</si>
  <si>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</si>
  <si>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</si>
  <si>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</si>
  <si>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</si>
  <si>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</si>
  <si>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</si>
  <si>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</si>
  <si>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</si>
  <si>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</si>
  <si>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</si>
  <si>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</si>
  <si>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</si>
  <si>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</si>
  <si>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</si>
  <si>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</si>
  <si>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</si>
  <si>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</si>
  <si>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</si>
  <si>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</si>
  <si>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</si>
  <si>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</si>
  <si>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</si>
  <si>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</si>
  <si>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</si>
  <si>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</si>
  <si>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</si>
  <si>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</si>
  <si>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</si>
  <si>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</si>
  <si>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</si>
  <si>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</si>
  <si>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</si>
  <si>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</si>
  <si>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</si>
  <si>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</si>
  <si>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</si>
  <si>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</si>
  <si>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</si>
  <si>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</si>
  <si>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</si>
  <si>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</si>
  <si>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</si>
  <si>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</si>
  <si>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</si>
  <si>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</si>
  <si>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</si>
  <si>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</si>
  <si>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</si>
  <si>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</si>
  <si>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</si>
  <si>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UAB „SB Asset Management“</t>
  </si>
  <si>
    <t>S058</t>
  </si>
  <si>
    <t>SB Index Progreso III</t>
  </si>
  <si>
    <t>11 m.  5 mėn.</t>
  </si>
  <si>
    <t>20 m. 3 mėn.</t>
  </si>
  <si>
    <t>20 m. 5 mėn.</t>
  </si>
  <si>
    <t>11 m. 10 mėn.</t>
  </si>
  <si>
    <t>17 m. 6 mėn.</t>
  </si>
  <si>
    <t>5 m. 4 mėn.</t>
  </si>
  <si>
    <t>2 m. 11 mėn.</t>
  </si>
  <si>
    <t>5 m. 1 mėn.</t>
  </si>
  <si>
    <t>2 m. 8 mėn.</t>
  </si>
  <si>
    <t>0 m. 5 mėn.</t>
  </si>
  <si>
    <t>3 m. 2 mėn.</t>
  </si>
  <si>
    <t>3 m. 10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</si>
  <si>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2025-03-31 </t>
    </r>
    <r>
      <rPr>
        <sz val="10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</si>
</sst>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2" borderId="2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Alignment="1">
      <alignment horizontal="left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90.798482000000007</c:v>
                </c:pt>
                <c:pt idx="1">
                  <c:v>167.517966</c:v>
                </c:pt>
                <c:pt idx="2">
                  <c:v>94.963250000000002</c:v>
                </c:pt>
                <c:pt idx="3">
                  <c:v>45.466794</c:v>
                </c:pt>
                <c:pt idx="4">
                  <c:v>10.433261999999999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34015</c:v>
                </c:pt>
                <c:pt idx="1">
                  <c:v>41580</c:v>
                </c:pt>
                <c:pt idx="2">
                  <c:v>30895</c:v>
                </c:pt>
                <c:pt idx="3">
                  <c:v>62756</c:v>
                </c:pt>
                <c:pt idx="4">
                  <c:v>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informacija'!$A$23:$A$44</c:f>
              <c:strCache>
                <c:ptCount val="22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SB Index Progreso III</c:v>
                </c:pt>
                <c:pt idx="6">
                  <c:v>Luminor ateitis 58 +</c:v>
                </c:pt>
                <c:pt idx="7">
                  <c:v>Luminor ateitis 50 – 58</c:v>
                </c:pt>
                <c:pt idx="8">
                  <c:v>Luminor ateitis 16 – 50</c:v>
                </c:pt>
                <c:pt idx="9">
                  <c:v>Luminor tvari ateitis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informacija'!$C$23:$C$44</c:f>
              <c:numCache>
                <c:formatCode>_-* #\ ##0\ _€_-;\-* #\ ##0\ _€_-;_-* "-"??\ _€_-;_-@_-</c:formatCode>
                <c:ptCount val="22"/>
                <c:pt idx="0">
                  <c:v>3303</c:v>
                </c:pt>
                <c:pt idx="1">
                  <c:v>2246</c:v>
                </c:pt>
                <c:pt idx="2">
                  <c:v>5735</c:v>
                </c:pt>
                <c:pt idx="3">
                  <c:v>6314</c:v>
                </c:pt>
                <c:pt idx="4">
                  <c:v>21689</c:v>
                </c:pt>
                <c:pt idx="5">
                  <c:v>2293</c:v>
                </c:pt>
                <c:pt idx="6">
                  <c:v>3517</c:v>
                </c:pt>
                <c:pt idx="7">
                  <c:v>23164</c:v>
                </c:pt>
                <c:pt idx="8">
                  <c:v>5840</c:v>
                </c:pt>
                <c:pt idx="9">
                  <c:v>1494</c:v>
                </c:pt>
                <c:pt idx="10">
                  <c:v>3591</c:v>
                </c:pt>
                <c:pt idx="11">
                  <c:v>2623</c:v>
                </c:pt>
                <c:pt idx="12">
                  <c:v>18451</c:v>
                </c:pt>
                <c:pt idx="13">
                  <c:v>6230</c:v>
                </c:pt>
                <c:pt idx="14">
                  <c:v>208</c:v>
                </c:pt>
                <c:pt idx="15">
                  <c:v>1222</c:v>
                </c:pt>
                <c:pt idx="16">
                  <c:v>2395</c:v>
                </c:pt>
                <c:pt idx="17">
                  <c:v>15480</c:v>
                </c:pt>
                <c:pt idx="18">
                  <c:v>3349</c:v>
                </c:pt>
                <c:pt idx="19">
                  <c:v>40102</c:v>
                </c:pt>
                <c:pt idx="20">
                  <c:v>4588</c:v>
                </c:pt>
                <c:pt idx="21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informacija'!$A$23:$A$44</c:f>
              <c:strCache>
                <c:ptCount val="22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SB Index Progreso III</c:v>
                </c:pt>
                <c:pt idx="6">
                  <c:v>Luminor ateitis 58 +</c:v>
                </c:pt>
                <c:pt idx="7">
                  <c:v>Luminor ateitis 50 – 58</c:v>
                </c:pt>
                <c:pt idx="8">
                  <c:v>Luminor ateitis 16 – 50</c:v>
                </c:pt>
                <c:pt idx="9">
                  <c:v>Luminor tvari ateitis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informacija'!$B$23:$B$44</c:f>
              <c:numCache>
                <c:formatCode>0.00</c:formatCode>
                <c:ptCount val="22"/>
                <c:pt idx="0">
                  <c:v>13.540569</c:v>
                </c:pt>
                <c:pt idx="1">
                  <c:v>4.6650850000000004</c:v>
                </c:pt>
                <c:pt idx="2">
                  <c:v>28.835148</c:v>
                </c:pt>
                <c:pt idx="3">
                  <c:v>18.308691</c:v>
                </c:pt>
                <c:pt idx="4">
                  <c:v>100.466121</c:v>
                </c:pt>
                <c:pt idx="5">
                  <c:v>1.7023520000000001</c:v>
                </c:pt>
                <c:pt idx="6">
                  <c:v>10.167676999999999</c:v>
                </c:pt>
                <c:pt idx="7">
                  <c:v>56.927405999999998</c:v>
                </c:pt>
                <c:pt idx="8">
                  <c:v>19.086593000000001</c:v>
                </c:pt>
                <c:pt idx="9">
                  <c:v>4.6168060000000004</c:v>
                </c:pt>
                <c:pt idx="10">
                  <c:v>5.4143739999999996</c:v>
                </c:pt>
                <c:pt idx="11">
                  <c:v>10.52267</c:v>
                </c:pt>
                <c:pt idx="12">
                  <c:v>68.474562000000006</c:v>
                </c:pt>
                <c:pt idx="13">
                  <c:v>10.551644</c:v>
                </c:pt>
                <c:pt idx="14">
                  <c:v>0.85417500000000002</c:v>
                </c:pt>
                <c:pt idx="15">
                  <c:v>3.3525909999999999</c:v>
                </c:pt>
                <c:pt idx="16">
                  <c:v>1.8793550000000001</c:v>
                </c:pt>
                <c:pt idx="17">
                  <c:v>8.8831980000000001</c:v>
                </c:pt>
                <c:pt idx="18">
                  <c:v>10.826262</c:v>
                </c:pt>
                <c:pt idx="19">
                  <c:v>19.671213000000002</c:v>
                </c:pt>
                <c:pt idx="20">
                  <c:v>9.3016480000000001</c:v>
                </c:pt>
                <c:pt idx="21">
                  <c:v>1.1316139999999999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77058</xdr:rowOff>
    </xdr:from>
    <xdr:to>
      <xdr:col>16</xdr:col>
      <xdr:colOff>77922</xdr:colOff>
      <xdr:row>47</xdr:row>
      <xdr:rowOff>173869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2"/>
  <sheetViews>
    <sheetView showGridLines="0" tabSelected="1" zoomScale="60" zoomScaleNormal="60" workbookViewId="0">
      <selection activeCell="G29" activeCellId="1" sqref="G17 G29"/>
    </sheetView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7">
        <v>45747</v>
      </c>
      <c r="B1" s="18"/>
      <c r="C1" s="19"/>
      <c r="D1" s="20"/>
      <c r="E1" s="21"/>
      <c r="F1" s="21"/>
      <c r="G1" s="21"/>
      <c r="H1" s="21"/>
      <c r="I1" s="75" t="s">
        <v>23</v>
      </c>
      <c r="J1" s="76"/>
      <c r="K1" s="76"/>
      <c r="L1" s="76"/>
      <c r="M1" s="76"/>
      <c r="N1" s="77"/>
      <c r="O1" s="21"/>
      <c r="P1" s="74" t="s">
        <v>57</v>
      </c>
      <c r="Q1" s="74"/>
      <c r="R1" s="21"/>
      <c r="S1" s="78" t="s">
        <v>59</v>
      </c>
      <c r="T1" s="79"/>
    </row>
    <row r="2" spans="1:21" ht="63.75" x14ac:dyDescent="0.2">
      <c r="A2" s="22" t="s">
        <v>0</v>
      </c>
      <c r="B2" s="22" t="s">
        <v>1</v>
      </c>
      <c r="C2" s="22" t="s">
        <v>2</v>
      </c>
      <c r="D2" s="23" t="s">
        <v>41</v>
      </c>
      <c r="E2" s="23" t="s">
        <v>30</v>
      </c>
      <c r="F2" s="23" t="s">
        <v>62</v>
      </c>
      <c r="G2" s="24" t="s">
        <v>12</v>
      </c>
      <c r="H2" s="21"/>
      <c r="I2" s="24" t="s">
        <v>53</v>
      </c>
      <c r="J2" s="65" t="s">
        <v>93</v>
      </c>
      <c r="K2" s="24" t="s">
        <v>55</v>
      </c>
      <c r="L2" s="24" t="s">
        <v>65</v>
      </c>
      <c r="M2" s="24" t="s">
        <v>66</v>
      </c>
      <c r="N2" s="58" t="s">
        <v>67</v>
      </c>
      <c r="O2" s="21"/>
      <c r="P2" s="24" t="s">
        <v>35</v>
      </c>
      <c r="Q2" s="24" t="s">
        <v>36</v>
      </c>
      <c r="R2" s="21"/>
      <c r="S2" s="24" t="s">
        <v>37</v>
      </c>
      <c r="T2" s="24" t="s">
        <v>38</v>
      </c>
    </row>
    <row r="3" spans="1:21" s="26" customFormat="1" x14ac:dyDescent="0.2">
      <c r="A3" s="25" t="s">
        <v>11</v>
      </c>
      <c r="B3" s="25"/>
      <c r="C3" s="25"/>
      <c r="E3" s="27"/>
      <c r="G3" s="50" t="s">
        <v>61</v>
      </c>
      <c r="I3" s="28">
        <v>-4.2519788906026208E-2</v>
      </c>
      <c r="J3" s="28">
        <v>4.1414075275041196</v>
      </c>
      <c r="K3" s="28">
        <v>1.2615314654996332</v>
      </c>
      <c r="L3" s="28">
        <v>0.70215433245760317</v>
      </c>
      <c r="M3" s="28">
        <v>0.6578216833596493</v>
      </c>
      <c r="N3" s="28">
        <v>1.9376958697075088</v>
      </c>
      <c r="P3" s="28">
        <v>1.3946818603206863</v>
      </c>
      <c r="Q3" s="28">
        <v>0.31140136912783306</v>
      </c>
      <c r="S3" s="6"/>
      <c r="T3" s="6"/>
      <c r="U3" s="6"/>
    </row>
    <row r="4" spans="1:21" x14ac:dyDescent="0.2">
      <c r="A4" s="29" t="s">
        <v>3</v>
      </c>
      <c r="B4" s="29" t="s">
        <v>21</v>
      </c>
      <c r="C4" s="29" t="s">
        <v>94</v>
      </c>
      <c r="D4" s="68" t="s">
        <v>100</v>
      </c>
      <c r="E4" s="31">
        <v>0</v>
      </c>
      <c r="F4" s="30">
        <v>10.167676999999999</v>
      </c>
      <c r="G4" s="32">
        <v>3517</v>
      </c>
      <c r="H4" s="33"/>
      <c r="I4" s="34">
        <v>6.8119891008167066E-2</v>
      </c>
      <c r="J4" s="34">
        <v>4.1105598866052473</v>
      </c>
      <c r="K4" s="34">
        <v>1.0306423131065667</v>
      </c>
      <c r="L4" s="34">
        <v>-0.21642296830252095</v>
      </c>
      <c r="M4" s="34">
        <v>-0.13178313248566331</v>
      </c>
      <c r="N4" s="34" t="s">
        <v>46</v>
      </c>
      <c r="O4" s="33"/>
      <c r="P4" s="34">
        <v>1.3006296842164478</v>
      </c>
      <c r="Q4" s="34">
        <v>0.26191956173715614</v>
      </c>
      <c r="R4" s="33"/>
      <c r="S4" s="34">
        <v>3.4587757938097625</v>
      </c>
      <c r="T4" s="34">
        <v>2.5547278054007787</v>
      </c>
    </row>
    <row r="5" spans="1:21" x14ac:dyDescent="0.2">
      <c r="A5" s="29" t="s">
        <v>97</v>
      </c>
      <c r="B5" s="29" t="s">
        <v>19</v>
      </c>
      <c r="C5" s="29" t="s">
        <v>4</v>
      </c>
      <c r="D5" s="68" t="s">
        <v>101</v>
      </c>
      <c r="E5" s="31">
        <v>0</v>
      </c>
      <c r="F5" s="30">
        <v>13.540569</v>
      </c>
      <c r="G5" s="32">
        <v>3303</v>
      </c>
      <c r="H5" s="33"/>
      <c r="I5" s="34">
        <v>0.2423112767940383</v>
      </c>
      <c r="J5" s="34">
        <v>4.6914541561222212</v>
      </c>
      <c r="K5" s="34">
        <v>1.9518045249108384</v>
      </c>
      <c r="L5" s="34">
        <v>1.2104649991020677</v>
      </c>
      <c r="M5" s="34">
        <v>1.4281022308165969</v>
      </c>
      <c r="N5" s="34">
        <v>2.5005958260054806</v>
      </c>
      <c r="O5" s="33"/>
      <c r="P5" s="34">
        <v>1.6659548481131603</v>
      </c>
      <c r="Q5" s="34">
        <v>-0.73291538085594743</v>
      </c>
      <c r="R5" s="33"/>
      <c r="S5" s="34">
        <v>4.7724130087584555</v>
      </c>
      <c r="T5" s="34">
        <v>3.7059035510228178</v>
      </c>
    </row>
    <row r="6" spans="1:21" x14ac:dyDescent="0.2">
      <c r="A6" s="29" t="s">
        <v>29</v>
      </c>
      <c r="B6" s="29" t="s">
        <v>13</v>
      </c>
      <c r="C6" s="29" t="s">
        <v>52</v>
      </c>
      <c r="D6" s="68" t="s">
        <v>102</v>
      </c>
      <c r="E6" s="31" t="s">
        <v>31</v>
      </c>
      <c r="F6" s="30">
        <v>10.52267</v>
      </c>
      <c r="G6" s="32">
        <v>2623</v>
      </c>
      <c r="H6" s="33"/>
      <c r="I6" s="34">
        <v>-0.51594746716697726</v>
      </c>
      <c r="J6" s="34">
        <v>3.4634146341463445</v>
      </c>
      <c r="K6" s="34">
        <v>0.59638814489164638</v>
      </c>
      <c r="L6" s="34">
        <v>0.93564845880818037</v>
      </c>
      <c r="M6" s="34">
        <v>0.42959156904085471</v>
      </c>
      <c r="N6" s="34">
        <v>1.2133563533728076</v>
      </c>
      <c r="O6" s="33"/>
      <c r="P6" s="34">
        <v>1.1364870807385907</v>
      </c>
      <c r="Q6" s="34">
        <v>1.7030403776623348</v>
      </c>
      <c r="R6" s="33"/>
      <c r="S6" s="34">
        <v>4.8774341982310716</v>
      </c>
      <c r="T6" s="34">
        <v>3.7169632760061506</v>
      </c>
    </row>
    <row r="7" spans="1:21" x14ac:dyDescent="0.2">
      <c r="A7" s="6"/>
      <c r="B7" s="6"/>
      <c r="C7" s="6"/>
      <c r="D7" s="69"/>
      <c r="E7" s="36"/>
      <c r="F7" s="35"/>
      <c r="G7" s="37"/>
      <c r="H7" s="33"/>
      <c r="I7" s="38"/>
      <c r="J7" s="38"/>
      <c r="K7" s="38"/>
      <c r="L7" s="38"/>
      <c r="M7" s="38"/>
      <c r="N7" s="38"/>
      <c r="O7" s="33"/>
      <c r="P7" s="38"/>
      <c r="Q7" s="38"/>
      <c r="R7" s="33"/>
      <c r="S7" s="38"/>
      <c r="T7" s="38"/>
    </row>
    <row r="8" spans="1:21" s="26" customFormat="1" x14ac:dyDescent="0.2">
      <c r="A8" s="39" t="s">
        <v>9</v>
      </c>
      <c r="B8" s="25"/>
      <c r="C8" s="25"/>
      <c r="D8" s="70"/>
      <c r="E8" s="40"/>
      <c r="F8" s="41"/>
      <c r="G8" s="50" t="s">
        <v>61</v>
      </c>
      <c r="H8" s="42"/>
      <c r="I8" s="28">
        <v>-2.9569906670281605</v>
      </c>
      <c r="J8" s="28">
        <v>4.2773854072158386</v>
      </c>
      <c r="K8" s="28">
        <v>3.6169139336554892</v>
      </c>
      <c r="L8" s="28">
        <v>5.402176146966803</v>
      </c>
      <c r="M8" s="28">
        <v>2.9430856256981808</v>
      </c>
      <c r="N8" s="28">
        <v>4.0562580869684561</v>
      </c>
      <c r="O8" s="42"/>
      <c r="P8" s="28">
        <v>4.3812005599010009</v>
      </c>
      <c r="Q8" s="28">
        <v>6.339621141999281</v>
      </c>
      <c r="R8" s="42"/>
      <c r="S8" s="43"/>
      <c r="T8" s="43"/>
      <c r="U8" s="6"/>
    </row>
    <row r="9" spans="1:21" x14ac:dyDescent="0.2">
      <c r="A9" s="29" t="s">
        <v>3</v>
      </c>
      <c r="B9" s="29" t="s">
        <v>20</v>
      </c>
      <c r="C9" s="29" t="s">
        <v>95</v>
      </c>
      <c r="D9" s="68" t="s">
        <v>102</v>
      </c>
      <c r="E9" s="31" t="s">
        <v>32</v>
      </c>
      <c r="F9" s="30">
        <v>56.927405999999998</v>
      </c>
      <c r="G9" s="32">
        <v>23164</v>
      </c>
      <c r="H9" s="33"/>
      <c r="I9" s="34">
        <v>-3.1782065834279338</v>
      </c>
      <c r="J9" s="34">
        <v>4.5892450516727967</v>
      </c>
      <c r="K9" s="34">
        <v>3.3307927005752358</v>
      </c>
      <c r="L9" s="34">
        <v>4.8856204523087365</v>
      </c>
      <c r="M9" s="34">
        <v>2.4704598983555703</v>
      </c>
      <c r="N9" s="34">
        <v>3.6727185392049666</v>
      </c>
      <c r="O9" s="33"/>
      <c r="P9" s="34">
        <v>4.4014639360840491</v>
      </c>
      <c r="Q9" s="34">
        <v>6.2650410605341378</v>
      </c>
      <c r="R9" s="33"/>
      <c r="S9" s="34">
        <v>6.9595489656998577</v>
      </c>
      <c r="T9" s="34">
        <v>6.023789617174061</v>
      </c>
    </row>
    <row r="10" spans="1:21" x14ac:dyDescent="0.2">
      <c r="A10" s="29" t="s">
        <v>97</v>
      </c>
      <c r="B10" s="29" t="s">
        <v>17</v>
      </c>
      <c r="C10" s="29" t="s">
        <v>6</v>
      </c>
      <c r="D10" s="68" t="s">
        <v>103</v>
      </c>
      <c r="E10" s="31" t="s">
        <v>33</v>
      </c>
      <c r="F10" s="30">
        <v>4.6650850000000004</v>
      </c>
      <c r="G10" s="32">
        <v>2246</v>
      </c>
      <c r="H10" s="33"/>
      <c r="I10" s="34">
        <v>-1.7874632713026362</v>
      </c>
      <c r="J10" s="34">
        <v>2.035105571101492</v>
      </c>
      <c r="K10" s="34">
        <v>0.15839959779957447</v>
      </c>
      <c r="L10" s="34">
        <v>3.9480243846708785</v>
      </c>
      <c r="M10" s="34">
        <v>1.9179592606302531</v>
      </c>
      <c r="N10" s="34" t="s">
        <v>46</v>
      </c>
      <c r="O10" s="33"/>
      <c r="P10" s="34">
        <v>-0.12622542217461952</v>
      </c>
      <c r="Q10" s="34">
        <v>5.3606346289812423</v>
      </c>
      <c r="R10" s="33"/>
      <c r="S10" s="34">
        <v>10.674256055566884</v>
      </c>
      <c r="T10" s="34">
        <v>8.8492939733102656</v>
      </c>
    </row>
    <row r="11" spans="1:21" x14ac:dyDescent="0.2">
      <c r="A11" s="29" t="s">
        <v>97</v>
      </c>
      <c r="B11" s="29" t="s">
        <v>18</v>
      </c>
      <c r="C11" s="29" t="s">
        <v>5</v>
      </c>
      <c r="D11" s="71" t="s">
        <v>104</v>
      </c>
      <c r="E11" s="31" t="s">
        <v>33</v>
      </c>
      <c r="F11" s="30">
        <v>28.835148</v>
      </c>
      <c r="G11" s="32">
        <v>5735</v>
      </c>
      <c r="H11" s="33"/>
      <c r="I11" s="34">
        <v>-1.8608645863154916</v>
      </c>
      <c r="J11" s="34">
        <v>5.3958493466564228</v>
      </c>
      <c r="K11" s="34">
        <v>3.9997670022108522</v>
      </c>
      <c r="L11" s="34">
        <v>6.6327157162739514</v>
      </c>
      <c r="M11" s="34">
        <v>4.0420103926271045</v>
      </c>
      <c r="N11" s="34">
        <v>4.8134559190235793</v>
      </c>
      <c r="O11" s="33"/>
      <c r="P11" s="34">
        <v>4.1045342874633794</v>
      </c>
      <c r="Q11" s="34">
        <v>6.2395389478116625</v>
      </c>
      <c r="R11" s="33"/>
      <c r="S11" s="34">
        <v>7.9179414054005459</v>
      </c>
      <c r="T11" s="34">
        <v>7.0693937119511423</v>
      </c>
    </row>
    <row r="12" spans="1:21" x14ac:dyDescent="0.2">
      <c r="A12" s="29" t="s">
        <v>45</v>
      </c>
      <c r="B12" s="29" t="s">
        <v>43</v>
      </c>
      <c r="C12" s="57" t="s">
        <v>72</v>
      </c>
      <c r="D12" s="71" t="s">
        <v>105</v>
      </c>
      <c r="E12" s="31" t="s">
        <v>47</v>
      </c>
      <c r="F12" s="30">
        <v>0.85417500000000002</v>
      </c>
      <c r="G12" s="32">
        <v>208</v>
      </c>
      <c r="H12" s="33"/>
      <c r="I12" s="34">
        <v>-3.298676748582241</v>
      </c>
      <c r="J12" s="34">
        <v>1.7099115220200689</v>
      </c>
      <c r="K12" s="34">
        <v>0.15360003224906826</v>
      </c>
      <c r="L12" s="34">
        <v>1.7151799017861569</v>
      </c>
      <c r="M12" s="34" t="s">
        <v>46</v>
      </c>
      <c r="N12" s="34" t="s">
        <v>46</v>
      </c>
      <c r="O12" s="33"/>
      <c r="P12" s="34">
        <v>0.30302926766490046</v>
      </c>
      <c r="Q12" s="34">
        <v>2.0342409233831349</v>
      </c>
      <c r="R12" s="33"/>
      <c r="S12" s="34">
        <v>13.868109941659387</v>
      </c>
      <c r="T12" s="34" t="s">
        <v>46</v>
      </c>
    </row>
    <row r="13" spans="1:21" x14ac:dyDescent="0.2">
      <c r="A13" s="29" t="s">
        <v>45</v>
      </c>
      <c r="B13" s="29" t="s">
        <v>44</v>
      </c>
      <c r="C13" s="29" t="s">
        <v>78</v>
      </c>
      <c r="D13" s="71" t="s">
        <v>105</v>
      </c>
      <c r="E13" s="31" t="s">
        <v>48</v>
      </c>
      <c r="F13" s="30">
        <v>3.3525909999999999</v>
      </c>
      <c r="G13" s="32">
        <v>1222</v>
      </c>
      <c r="H13" s="33"/>
      <c r="I13" s="34">
        <v>-4.7588111093064818</v>
      </c>
      <c r="J13" s="34">
        <v>1.4708427063505836</v>
      </c>
      <c r="K13" s="34">
        <v>1.3756761204237966</v>
      </c>
      <c r="L13" s="34">
        <v>5.121989908679403</v>
      </c>
      <c r="M13" s="34" t="s">
        <v>46</v>
      </c>
      <c r="N13" s="34" t="s">
        <v>46</v>
      </c>
      <c r="O13" s="33"/>
      <c r="P13" s="34">
        <v>2.8717089313055499</v>
      </c>
      <c r="Q13" s="34">
        <v>6.387466018586796</v>
      </c>
      <c r="R13" s="33"/>
      <c r="S13" s="34">
        <v>62.572819302072681</v>
      </c>
      <c r="T13" s="34" t="s">
        <v>46</v>
      </c>
    </row>
    <row r="14" spans="1:21" x14ac:dyDescent="0.2">
      <c r="A14" s="29" t="s">
        <v>45</v>
      </c>
      <c r="B14" s="29" t="s">
        <v>76</v>
      </c>
      <c r="C14" s="29" t="s">
        <v>90</v>
      </c>
      <c r="D14" s="71" t="s">
        <v>106</v>
      </c>
      <c r="E14" s="31" t="s">
        <v>47</v>
      </c>
      <c r="F14" s="30">
        <v>1.8793550000000001</v>
      </c>
      <c r="G14" s="32">
        <v>2395</v>
      </c>
      <c r="H14" s="33"/>
      <c r="I14" s="34">
        <v>-2.9877772747849862</v>
      </c>
      <c r="J14" s="34">
        <v>1.9505233111322573</v>
      </c>
      <c r="K14" s="34">
        <v>2.3286846790918192</v>
      </c>
      <c r="L14" s="34" t="s">
        <v>46</v>
      </c>
      <c r="M14" s="34" t="s">
        <v>46</v>
      </c>
      <c r="N14" s="34" t="s">
        <v>46</v>
      </c>
      <c r="O14" s="33"/>
      <c r="P14" s="34">
        <v>0.61583304477987877</v>
      </c>
      <c r="Q14" s="62" t="s">
        <v>46</v>
      </c>
      <c r="R14" s="33"/>
      <c r="S14" s="34" t="s">
        <v>46</v>
      </c>
      <c r="T14" s="34" t="s">
        <v>46</v>
      </c>
    </row>
    <row r="15" spans="1:21" x14ac:dyDescent="0.2">
      <c r="A15" s="29" t="s">
        <v>45</v>
      </c>
      <c r="B15" s="29" t="s">
        <v>75</v>
      </c>
      <c r="C15" s="29" t="s">
        <v>91</v>
      </c>
      <c r="D15" s="71" t="s">
        <v>106</v>
      </c>
      <c r="E15" s="31" t="s">
        <v>48</v>
      </c>
      <c r="F15" s="30">
        <v>8.8831980000000001</v>
      </c>
      <c r="G15" s="32">
        <v>15480</v>
      </c>
      <c r="H15" s="33"/>
      <c r="I15" s="34">
        <v>-4.6686227131515379</v>
      </c>
      <c r="J15" s="34">
        <v>1.4416896235078136</v>
      </c>
      <c r="K15" s="34">
        <v>3.3748243601249506</v>
      </c>
      <c r="L15" s="34" t="s">
        <v>46</v>
      </c>
      <c r="M15" s="34" t="s">
        <v>46</v>
      </c>
      <c r="N15" s="34" t="s">
        <v>46</v>
      </c>
      <c r="O15" s="33"/>
      <c r="P15" s="34">
        <v>3.0125978244289309</v>
      </c>
      <c r="Q15" s="62" t="s">
        <v>46</v>
      </c>
      <c r="R15" s="33"/>
      <c r="S15" s="34" t="s">
        <v>46</v>
      </c>
      <c r="T15" s="34" t="s">
        <v>46</v>
      </c>
    </row>
    <row r="16" spans="1:21" x14ac:dyDescent="0.2">
      <c r="A16" s="29" t="s">
        <v>29</v>
      </c>
      <c r="B16" s="29" t="s">
        <v>49</v>
      </c>
      <c r="C16" s="29" t="s">
        <v>50</v>
      </c>
      <c r="D16" s="71" t="s">
        <v>107</v>
      </c>
      <c r="E16" s="31" t="s">
        <v>64</v>
      </c>
      <c r="F16" s="30">
        <v>5.4143739999999996</v>
      </c>
      <c r="G16" s="32">
        <v>3591</v>
      </c>
      <c r="H16" s="33"/>
      <c r="I16" s="34">
        <v>-3.3900719321985573</v>
      </c>
      <c r="J16" s="34">
        <v>4.4988829828210397</v>
      </c>
      <c r="K16" s="34">
        <v>3.1550599370835597</v>
      </c>
      <c r="L16" s="34">
        <v>6.2879325803287367</v>
      </c>
      <c r="M16" s="34" t="s">
        <v>46</v>
      </c>
      <c r="N16" s="34" t="s">
        <v>46</v>
      </c>
      <c r="O16" s="33"/>
      <c r="P16" s="34">
        <v>5.0311698911939429</v>
      </c>
      <c r="Q16" s="34">
        <v>7.8248769744071467</v>
      </c>
      <c r="R16" s="33"/>
      <c r="S16" s="34">
        <v>34.567345597244582</v>
      </c>
      <c r="T16" s="34" t="s">
        <v>46</v>
      </c>
    </row>
    <row r="17" spans="1:21" x14ac:dyDescent="0.2">
      <c r="A17" s="29" t="s">
        <v>87</v>
      </c>
      <c r="B17" s="29" t="s">
        <v>89</v>
      </c>
      <c r="C17" s="29" t="s">
        <v>86</v>
      </c>
      <c r="D17" s="71" t="s">
        <v>108</v>
      </c>
      <c r="E17" s="31" t="s">
        <v>48</v>
      </c>
      <c r="F17" s="30">
        <v>1.1316139999999999</v>
      </c>
      <c r="G17" s="32">
        <v>598</v>
      </c>
      <c r="H17" s="33"/>
      <c r="I17" s="34">
        <v>-3.4249401667079349</v>
      </c>
      <c r="J17" s="34">
        <v>4.650330888928611</v>
      </c>
      <c r="K17" s="34" t="s">
        <v>46</v>
      </c>
      <c r="L17" s="34" t="s">
        <v>46</v>
      </c>
      <c r="M17" s="34" t="s">
        <v>46</v>
      </c>
      <c r="N17" s="34" t="s">
        <v>46</v>
      </c>
      <c r="O17" s="33"/>
      <c r="P17" s="34" t="s">
        <v>46</v>
      </c>
      <c r="Q17" s="62" t="s">
        <v>46</v>
      </c>
      <c r="R17" s="33"/>
      <c r="S17" s="34" t="s">
        <v>46</v>
      </c>
      <c r="T17" s="34" t="s">
        <v>46</v>
      </c>
    </row>
    <row r="18" spans="1:21" x14ac:dyDescent="0.2">
      <c r="A18" s="6"/>
      <c r="B18" s="6"/>
      <c r="C18" s="6"/>
      <c r="D18" s="72"/>
      <c r="E18" s="36"/>
      <c r="F18" s="35"/>
      <c r="G18" s="51"/>
      <c r="H18" s="33"/>
      <c r="I18" s="38"/>
      <c r="J18" s="38"/>
      <c r="K18" s="38"/>
      <c r="L18" s="38"/>
      <c r="M18" s="38"/>
      <c r="N18" s="38"/>
      <c r="O18" s="33"/>
      <c r="P18" s="38"/>
      <c r="Q18" s="38"/>
      <c r="R18" s="33"/>
      <c r="S18" s="38"/>
      <c r="T18" s="38"/>
    </row>
    <row r="19" spans="1:21" s="26" customFormat="1" x14ac:dyDescent="0.2">
      <c r="A19" s="25" t="s">
        <v>10</v>
      </c>
      <c r="B19" s="25"/>
      <c r="C19" s="25"/>
      <c r="D19" s="73"/>
      <c r="E19" s="40"/>
      <c r="F19" s="41"/>
      <c r="G19" s="50" t="s">
        <v>61</v>
      </c>
      <c r="H19" s="42"/>
      <c r="I19" s="28">
        <v>-5.6458702636863993</v>
      </c>
      <c r="J19" s="28">
        <v>4.4424290366086758</v>
      </c>
      <c r="K19" s="28">
        <v>6.0498496643182307</v>
      </c>
      <c r="L19" s="28">
        <v>12.239176005587737</v>
      </c>
      <c r="M19" s="28">
        <v>6.6051146697385779</v>
      </c>
      <c r="N19" s="28">
        <v>6.9972350535371541</v>
      </c>
      <c r="O19" s="42"/>
      <c r="P19" s="28">
        <v>9.6724498797281786</v>
      </c>
      <c r="Q19" s="28">
        <v>15.810310740246727</v>
      </c>
      <c r="R19" s="42"/>
      <c r="S19" s="43"/>
      <c r="T19" s="43"/>
      <c r="U19" s="6"/>
    </row>
    <row r="20" spans="1:21" x14ac:dyDescent="0.2">
      <c r="A20" s="29" t="s">
        <v>3</v>
      </c>
      <c r="B20" s="29" t="s">
        <v>22</v>
      </c>
      <c r="C20" s="29" t="s">
        <v>96</v>
      </c>
      <c r="D20" s="71" t="s">
        <v>104</v>
      </c>
      <c r="E20" s="31" t="s">
        <v>34</v>
      </c>
      <c r="F20" s="30">
        <v>19.086593000000001</v>
      </c>
      <c r="G20" s="32">
        <v>5840</v>
      </c>
      <c r="H20" s="33"/>
      <c r="I20" s="34">
        <v>-6.8333570109390447</v>
      </c>
      <c r="J20" s="34">
        <v>4.2441583214115397</v>
      </c>
      <c r="K20" s="34">
        <v>5.0559539096636463</v>
      </c>
      <c r="L20" s="34">
        <v>11.911034139273568</v>
      </c>
      <c r="M20" s="34">
        <v>5.8192096514877889</v>
      </c>
      <c r="N20" s="34">
        <v>6.860184526665436</v>
      </c>
      <c r="O20" s="33"/>
      <c r="P20" s="34">
        <v>7.6897474175237512</v>
      </c>
      <c r="Q20" s="34">
        <v>14.69152509533691</v>
      </c>
      <c r="R20" s="33"/>
      <c r="S20" s="34">
        <v>13.608016991486785</v>
      </c>
      <c r="T20" s="34">
        <v>12.665940196374528</v>
      </c>
    </row>
    <row r="21" spans="1:21" x14ac:dyDescent="0.2">
      <c r="A21" s="29" t="s">
        <v>97</v>
      </c>
      <c r="B21" s="29" t="s">
        <v>15</v>
      </c>
      <c r="C21" s="29" t="s">
        <v>7</v>
      </c>
      <c r="D21" s="71" t="s">
        <v>101</v>
      </c>
      <c r="E21" s="31" t="s">
        <v>34</v>
      </c>
      <c r="F21" s="30">
        <v>18.308691</v>
      </c>
      <c r="G21" s="32">
        <v>6314</v>
      </c>
      <c r="H21" s="33"/>
      <c r="I21" s="34">
        <v>-1.7744412216345262</v>
      </c>
      <c r="J21" s="34">
        <v>9.1788355774701245</v>
      </c>
      <c r="K21" s="34">
        <v>9.2336075069256331</v>
      </c>
      <c r="L21" s="34">
        <v>14.145479162214759</v>
      </c>
      <c r="M21" s="34">
        <v>8.0227266961187205</v>
      </c>
      <c r="N21" s="34">
        <v>6.5078526266448833</v>
      </c>
      <c r="O21" s="33"/>
      <c r="P21" s="34">
        <v>12.036679190096212</v>
      </c>
      <c r="Q21" s="34">
        <v>19.32850197211895</v>
      </c>
      <c r="R21" s="33"/>
      <c r="S21" s="34">
        <v>11.77506864469211</v>
      </c>
      <c r="T21" s="34">
        <v>10.632146867276719</v>
      </c>
    </row>
    <row r="22" spans="1:21" x14ac:dyDescent="0.2">
      <c r="A22" s="29" t="s">
        <v>97</v>
      </c>
      <c r="B22" s="29" t="s">
        <v>16</v>
      </c>
      <c r="C22" s="29" t="s">
        <v>8</v>
      </c>
      <c r="D22" s="71" t="s">
        <v>104</v>
      </c>
      <c r="E22" s="31" t="s">
        <v>34</v>
      </c>
      <c r="F22" s="30">
        <v>100.466121</v>
      </c>
      <c r="G22" s="32">
        <v>21689</v>
      </c>
      <c r="H22" s="33"/>
      <c r="I22" s="34">
        <v>-4.8380878951426398</v>
      </c>
      <c r="J22" s="34">
        <v>4.4867724867724945</v>
      </c>
      <c r="K22" s="34">
        <v>5.6208605062133321</v>
      </c>
      <c r="L22" s="34">
        <v>12.179865789181598</v>
      </c>
      <c r="M22" s="34">
        <v>6.8928155117268686</v>
      </c>
      <c r="N22" s="34">
        <v>7.416924149426718</v>
      </c>
      <c r="O22" s="33"/>
      <c r="P22" s="34">
        <v>6.6668082121012606</v>
      </c>
      <c r="Q22" s="34">
        <v>14.381422220342245</v>
      </c>
      <c r="R22" s="33"/>
      <c r="S22" s="34">
        <v>12.110679292767397</v>
      </c>
      <c r="T22" s="34">
        <v>11.61813968567785</v>
      </c>
    </row>
    <row r="23" spans="1:21" x14ac:dyDescent="0.2">
      <c r="A23" s="29" t="s">
        <v>97</v>
      </c>
      <c r="B23" s="29" t="s">
        <v>98</v>
      </c>
      <c r="C23" s="29" t="s">
        <v>99</v>
      </c>
      <c r="D23" s="71" t="s">
        <v>109</v>
      </c>
      <c r="E23" s="31" t="s">
        <v>34</v>
      </c>
      <c r="F23" s="30">
        <v>1.7023520000000001</v>
      </c>
      <c r="G23" s="32">
        <v>2293</v>
      </c>
      <c r="H23" s="33"/>
      <c r="I23" s="34">
        <v>-6.6025703914451173</v>
      </c>
      <c r="J23" s="34" t="s">
        <v>46</v>
      </c>
      <c r="K23" s="34" t="s">
        <v>46</v>
      </c>
      <c r="L23" s="34" t="s">
        <v>46</v>
      </c>
      <c r="M23" s="34" t="s">
        <v>46</v>
      </c>
      <c r="N23" s="34" t="s">
        <v>46</v>
      </c>
      <c r="O23" s="33"/>
      <c r="P23" s="34" t="s">
        <v>46</v>
      </c>
      <c r="Q23" s="34" t="s">
        <v>46</v>
      </c>
      <c r="R23" s="33"/>
      <c r="S23" s="34" t="s">
        <v>46</v>
      </c>
      <c r="T23" s="34" t="s">
        <v>46</v>
      </c>
    </row>
    <row r="24" spans="1:21" x14ac:dyDescent="0.2">
      <c r="A24" s="29" t="s">
        <v>29</v>
      </c>
      <c r="B24" s="29" t="s">
        <v>14</v>
      </c>
      <c r="C24" s="29" t="s">
        <v>51</v>
      </c>
      <c r="D24" s="71" t="s">
        <v>102</v>
      </c>
      <c r="E24" s="31" t="s">
        <v>34</v>
      </c>
      <c r="F24" s="30">
        <v>68.474562000000006</v>
      </c>
      <c r="G24" s="32">
        <v>18451</v>
      </c>
      <c r="H24" s="33"/>
      <c r="I24" s="34">
        <v>-6.1948717948717924</v>
      </c>
      <c r="J24" s="34">
        <v>4.7651775486827086</v>
      </c>
      <c r="K24" s="34">
        <v>4.980774932544807</v>
      </c>
      <c r="L24" s="34">
        <v>12.059165991892517</v>
      </c>
      <c r="M24" s="34">
        <v>6.0230217323370194</v>
      </c>
      <c r="N24" s="34">
        <v>6.5505179759107968</v>
      </c>
      <c r="O24" s="33"/>
      <c r="P24" s="34">
        <v>8.3178715263680036</v>
      </c>
      <c r="Q24" s="34">
        <v>15.508129234319657</v>
      </c>
      <c r="R24" s="33"/>
      <c r="S24" s="34">
        <v>13.058162753353464</v>
      </c>
      <c r="T24" s="34">
        <v>11.758704126678921</v>
      </c>
    </row>
    <row r="25" spans="1:21" x14ac:dyDescent="0.2">
      <c r="A25" s="29" t="s">
        <v>29</v>
      </c>
      <c r="B25" s="29" t="s">
        <v>71</v>
      </c>
      <c r="C25" s="29" t="s">
        <v>77</v>
      </c>
      <c r="D25" s="71" t="s">
        <v>110</v>
      </c>
      <c r="E25" s="31" t="s">
        <v>34</v>
      </c>
      <c r="F25" s="30">
        <v>10.551644</v>
      </c>
      <c r="G25" s="32">
        <v>6230</v>
      </c>
      <c r="H25" s="33"/>
      <c r="I25" s="62">
        <v>-7.2376943005181493</v>
      </c>
      <c r="J25" s="62">
        <v>4.9459607986810594</v>
      </c>
      <c r="K25" s="62">
        <v>6.6482235004075241</v>
      </c>
      <c r="L25" s="62" t="s">
        <v>46</v>
      </c>
      <c r="M25" s="62" t="s">
        <v>46</v>
      </c>
      <c r="N25" s="62" t="s">
        <v>46</v>
      </c>
      <c r="O25" s="33"/>
      <c r="P25" s="34" t="s">
        <v>46</v>
      </c>
      <c r="Q25" s="34" t="s">
        <v>46</v>
      </c>
      <c r="R25" s="33"/>
      <c r="S25" s="34" t="s">
        <v>46</v>
      </c>
      <c r="T25" s="62" t="s">
        <v>46</v>
      </c>
    </row>
    <row r="26" spans="1:21" x14ac:dyDescent="0.2">
      <c r="A26" s="29" t="s">
        <v>45</v>
      </c>
      <c r="B26" s="29" t="s">
        <v>42</v>
      </c>
      <c r="C26" s="29" t="s">
        <v>73</v>
      </c>
      <c r="D26" s="71" t="s">
        <v>105</v>
      </c>
      <c r="E26" s="31" t="s">
        <v>34</v>
      </c>
      <c r="F26" s="30">
        <v>10.826262</v>
      </c>
      <c r="G26" s="32">
        <v>3349</v>
      </c>
      <c r="H26" s="33"/>
      <c r="I26" s="34">
        <v>-7.6109278735453367</v>
      </c>
      <c r="J26" s="34">
        <v>0.71913161465400055</v>
      </c>
      <c r="K26" s="34">
        <v>3.8090625165063896</v>
      </c>
      <c r="L26" s="34">
        <v>11.282795033372196</v>
      </c>
      <c r="M26" s="34" t="s">
        <v>46</v>
      </c>
      <c r="N26" s="34" t="s">
        <v>46</v>
      </c>
      <c r="O26" s="33"/>
      <c r="P26" s="34">
        <v>6.8497068852702681</v>
      </c>
      <c r="Q26" s="34">
        <v>13.420290808905166</v>
      </c>
      <c r="R26" s="33"/>
      <c r="S26" s="62">
        <v>46.046793916622867</v>
      </c>
      <c r="T26" s="62" t="s">
        <v>46</v>
      </c>
    </row>
    <row r="27" spans="1:21" x14ac:dyDescent="0.2">
      <c r="A27" s="29" t="s">
        <v>45</v>
      </c>
      <c r="B27" s="29" t="s">
        <v>74</v>
      </c>
      <c r="C27" s="29" t="s">
        <v>92</v>
      </c>
      <c r="D27" s="71" t="s">
        <v>106</v>
      </c>
      <c r="E27" s="31" t="s">
        <v>34</v>
      </c>
      <c r="F27" s="30">
        <v>19.671213000000002</v>
      </c>
      <c r="G27" s="32">
        <v>40102</v>
      </c>
      <c r="H27" s="33"/>
      <c r="I27" s="34">
        <v>-7.6880791581592671</v>
      </c>
      <c r="J27" s="34">
        <v>1.0053273758377834</v>
      </c>
      <c r="K27" s="34">
        <v>5.5376803628764293</v>
      </c>
      <c r="L27" s="34" t="s">
        <v>46</v>
      </c>
      <c r="M27" s="34" t="s">
        <v>46</v>
      </c>
      <c r="N27" s="34" t="s">
        <v>46</v>
      </c>
      <c r="O27" s="33"/>
      <c r="P27" s="34">
        <v>13.420290808905166</v>
      </c>
      <c r="Q27" s="62" t="s">
        <v>46</v>
      </c>
      <c r="R27" s="33"/>
      <c r="S27" s="62" t="s">
        <v>46</v>
      </c>
      <c r="T27" s="62" t="s">
        <v>46</v>
      </c>
    </row>
    <row r="28" spans="1:21" x14ac:dyDescent="0.2">
      <c r="A28" s="29" t="s">
        <v>3</v>
      </c>
      <c r="B28" s="29" t="s">
        <v>69</v>
      </c>
      <c r="C28" s="29" t="s">
        <v>70</v>
      </c>
      <c r="D28" s="71" t="s">
        <v>111</v>
      </c>
      <c r="E28" s="31" t="s">
        <v>34</v>
      </c>
      <c r="F28" s="30">
        <v>4.6168060000000004</v>
      </c>
      <c r="G28" s="32">
        <v>1494</v>
      </c>
      <c r="H28" s="33"/>
      <c r="I28" s="34">
        <v>-7.8098602365228142</v>
      </c>
      <c r="J28" s="34">
        <v>0.75535039865715081</v>
      </c>
      <c r="K28" s="34">
        <v>3.0164921809753276</v>
      </c>
      <c r="L28" s="34" t="s">
        <v>46</v>
      </c>
      <c r="M28" s="34" t="s">
        <v>46</v>
      </c>
      <c r="N28" s="34" t="s">
        <v>46</v>
      </c>
      <c r="O28" s="33"/>
      <c r="P28" s="34">
        <v>46.046793916622867</v>
      </c>
      <c r="Q28" s="62" t="s">
        <v>46</v>
      </c>
      <c r="R28" s="33"/>
      <c r="S28" s="62" t="s">
        <v>46</v>
      </c>
      <c r="T28" s="62" t="s">
        <v>46</v>
      </c>
    </row>
    <row r="29" spans="1:21" x14ac:dyDescent="0.2">
      <c r="A29" s="29" t="s">
        <v>87</v>
      </c>
      <c r="B29" s="29" t="s">
        <v>88</v>
      </c>
      <c r="C29" s="29" t="s">
        <v>85</v>
      </c>
      <c r="D29" s="71" t="s">
        <v>108</v>
      </c>
      <c r="E29" s="31" t="s">
        <v>34</v>
      </c>
      <c r="F29" s="30">
        <v>9.3016480000000001</v>
      </c>
      <c r="G29" s="32">
        <v>4735</v>
      </c>
      <c r="H29" s="33"/>
      <c r="I29" s="34">
        <v>-5.851765618936744</v>
      </c>
      <c r="J29" s="34">
        <v>5.5328403653762681</v>
      </c>
      <c r="K29" s="34" t="s">
        <v>46</v>
      </c>
      <c r="L29" s="34" t="s">
        <v>46</v>
      </c>
      <c r="M29" s="34" t="s">
        <v>46</v>
      </c>
      <c r="N29" s="34" t="s">
        <v>46</v>
      </c>
      <c r="O29" s="33"/>
      <c r="P29" s="34" t="s">
        <v>46</v>
      </c>
      <c r="Q29" s="62" t="s">
        <v>46</v>
      </c>
      <c r="R29" s="33"/>
      <c r="S29" s="62" t="s">
        <v>46</v>
      </c>
      <c r="T29" s="62" t="s">
        <v>46</v>
      </c>
    </row>
    <row r="30" spans="1:21" x14ac:dyDescent="0.2">
      <c r="D30" s="7"/>
      <c r="E30" s="8"/>
      <c r="F30" s="7"/>
      <c r="G30" s="7"/>
      <c r="H30" s="3"/>
      <c r="I30" s="4"/>
      <c r="J30" s="4"/>
      <c r="K30" s="4"/>
      <c r="L30" s="4"/>
      <c r="M30" s="4"/>
      <c r="N30" s="4"/>
      <c r="O30" s="3"/>
      <c r="P30" s="4"/>
      <c r="Q30" s="4"/>
      <c r="R30" s="3"/>
      <c r="S30" s="4"/>
      <c r="T30" s="4"/>
    </row>
    <row r="32" spans="1:21" s="17" customFormat="1" x14ac:dyDescent="0.25">
      <c r="A32" s="5"/>
      <c r="B32" s="5"/>
      <c r="C32" s="5"/>
      <c r="D32" s="44"/>
      <c r="E32" s="45"/>
      <c r="F32" s="46"/>
      <c r="G32" s="47" t="s">
        <v>68</v>
      </c>
      <c r="H32" s="46"/>
      <c r="I32" s="48">
        <v>-4.4414877934090891</v>
      </c>
      <c r="J32" s="48">
        <v>4.371800059532009</v>
      </c>
      <c r="K32" s="48">
        <v>4.9388042707055808</v>
      </c>
      <c r="L32" s="48">
        <v>9.1690917783533834</v>
      </c>
      <c r="M32" s="48">
        <v>4.9895896640222404</v>
      </c>
      <c r="N32" s="48">
        <v>5.9906240050565422</v>
      </c>
      <c r="O32" s="48"/>
      <c r="P32" s="48">
        <v>7.1966165920908232</v>
      </c>
      <c r="Q32" s="48">
        <v>11.165706231757811</v>
      </c>
      <c r="R32" s="46"/>
      <c r="S32" s="49"/>
      <c r="T32" s="49"/>
      <c r="U32" s="5"/>
    </row>
    <row r="34" spans="1:21" x14ac:dyDescent="0.2">
      <c r="A34" s="16" t="s">
        <v>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54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21" x14ac:dyDescent="0.2">
      <c r="A38" s="16" t="s">
        <v>60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66" t="s">
        <v>112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P39" s="1"/>
      <c r="Q39" s="1"/>
      <c r="S39" s="1"/>
      <c r="T39" s="1"/>
      <c r="U39" s="1"/>
    </row>
    <row r="40" spans="1:21" x14ac:dyDescent="0.2">
      <c r="A40" s="16" t="s">
        <v>63</v>
      </c>
      <c r="P40" s="1"/>
      <c r="Q40" s="1"/>
      <c r="S40" s="1"/>
      <c r="T40" s="1"/>
      <c r="U40" s="1"/>
    </row>
    <row r="41" spans="1:21" x14ac:dyDescent="0.2">
      <c r="A41" s="66"/>
      <c r="P41" s="1"/>
      <c r="Q41" s="1"/>
      <c r="S41" s="1"/>
      <c r="T41" s="1"/>
      <c r="U41" s="1"/>
    </row>
    <row r="42" spans="1:21" x14ac:dyDescent="0.2">
      <c r="A42" s="63"/>
    </row>
  </sheetData>
  <mergeCells count="3">
    <mergeCell ref="P1:Q1"/>
    <mergeCell ref="I1:N1"/>
    <mergeCell ref="S1:T1"/>
  </mergeCells>
  <phoneticPr fontId="15" type="noConversion"/>
  <conditionalFormatting sqref="I4:N6">
    <cfRule type="cellIs" dxfId="21" priority="37" operator="greaterThanOrEqual">
      <formula>0</formula>
    </cfRule>
    <cfRule type="cellIs" dxfId="20" priority="38" operator="lessThan">
      <formula>0</formula>
    </cfRule>
  </conditionalFormatting>
  <conditionalFormatting sqref="I9:N17">
    <cfRule type="cellIs" dxfId="19" priority="230" operator="greaterThanOrEqual">
      <formula>0</formula>
    </cfRule>
    <cfRule type="cellIs" dxfId="18" priority="231" operator="lessThan">
      <formula>0</formula>
    </cfRule>
  </conditionalFormatting>
  <conditionalFormatting sqref="I20:N29">
    <cfRule type="cellIs" dxfId="17" priority="35" operator="greaterThanOrEqual">
      <formula>0</formula>
    </cfRule>
    <cfRule type="cellIs" dxfId="16" priority="36" operator="lessThan">
      <formula>0</formula>
    </cfRule>
  </conditionalFormatting>
  <conditionalFormatting sqref="I43:T1048576 I33:T41 I42:K42 M42:T42">
    <cfRule type="duplicateValues" dxfId="15" priority="269"/>
  </conditionalFormatting>
  <conditionalFormatting sqref="P4:Q6">
    <cfRule type="cellIs" dxfId="14" priority="226" operator="greaterThanOrEqual">
      <formula>0</formula>
    </cfRule>
    <cfRule type="cellIs" dxfId="13" priority="227" operator="lessThan">
      <formula>0</formula>
    </cfRule>
  </conditionalFormatting>
  <conditionalFormatting sqref="P9:Q17">
    <cfRule type="cellIs" dxfId="12" priority="3" operator="greaterThanOrEqual">
      <formula>0</formula>
    </cfRule>
    <cfRule type="cellIs" dxfId="11" priority="4" operator="lessThan">
      <formula>0</formula>
    </cfRule>
  </conditionalFormatting>
  <conditionalFormatting sqref="P20:Q29">
    <cfRule type="cellIs" dxfId="10" priority="1" operator="greaterThanOrEqual">
      <formula>0</formula>
    </cfRule>
    <cfRule type="cellIs" dxfId="9" priority="2" operator="lessThan">
      <formula>0</formula>
    </cfRule>
  </conditionalFormatting>
  <conditionalFormatting sqref="S4:T6">
    <cfRule type="cellIs" dxfId="8" priority="220" operator="greaterThanOrEqual">
      <formula>0</formula>
    </cfRule>
    <cfRule type="cellIs" dxfId="7" priority="221" operator="lessThan">
      <formula>0</formula>
    </cfRule>
  </conditionalFormatting>
  <conditionalFormatting sqref="S9:T17">
    <cfRule type="cellIs" dxfId="6" priority="232" operator="greaterThanOrEqual">
      <formula>0</formula>
    </cfRule>
    <cfRule type="cellIs" dxfId="5" priority="233" operator="lessThan">
      <formula>0</formula>
    </cfRule>
  </conditionalFormatting>
  <conditionalFormatting sqref="S20:T29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5"/>
  <sheetViews>
    <sheetView showGridLines="0" zoomScale="60" zoomScaleNormal="6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25</v>
      </c>
      <c r="B1" s="22" t="s">
        <v>24</v>
      </c>
      <c r="C1" s="22" t="s">
        <v>12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9" t="s">
        <v>3</v>
      </c>
      <c r="B2" s="52">
        <v>90.798482000000007</v>
      </c>
      <c r="C2" s="53">
        <v>34015</v>
      </c>
      <c r="G2" s="6"/>
      <c r="H2" s="6"/>
      <c r="I2" s="6"/>
    </row>
    <row r="3" spans="1:20" s="9" customFormat="1" x14ac:dyDescent="0.25">
      <c r="A3" s="29" t="s">
        <v>97</v>
      </c>
      <c r="B3" s="52">
        <v>167.517966</v>
      </c>
      <c r="C3" s="53">
        <v>41580</v>
      </c>
      <c r="G3" s="6"/>
      <c r="H3" s="6"/>
      <c r="I3" s="6"/>
    </row>
    <row r="4" spans="1:20" s="9" customFormat="1" x14ac:dyDescent="0.25">
      <c r="A4" s="29" t="s">
        <v>29</v>
      </c>
      <c r="B4" s="52">
        <v>94.963250000000002</v>
      </c>
      <c r="C4" s="53">
        <v>30895</v>
      </c>
      <c r="E4" s="6"/>
      <c r="F4" s="6"/>
      <c r="G4" s="6"/>
      <c r="H4" s="6"/>
      <c r="I4" s="6"/>
      <c r="O4" s="6"/>
      <c r="P4" s="61"/>
    </row>
    <row r="5" spans="1:20" s="9" customFormat="1" x14ac:dyDescent="0.25">
      <c r="A5" s="29" t="s">
        <v>45</v>
      </c>
      <c r="B5" s="52">
        <v>45.466794</v>
      </c>
      <c r="C5" s="53">
        <v>62756</v>
      </c>
      <c r="E5" s="6"/>
      <c r="F5" s="6"/>
      <c r="G5" s="6"/>
      <c r="H5" s="6"/>
      <c r="I5" s="6"/>
      <c r="O5" s="59"/>
      <c r="P5" s="61"/>
    </row>
    <row r="6" spans="1:20" s="9" customFormat="1" x14ac:dyDescent="0.25">
      <c r="A6" s="29" t="s">
        <v>87</v>
      </c>
      <c r="B6" s="52">
        <v>10.433261999999999</v>
      </c>
      <c r="C6" s="53">
        <v>5148</v>
      </c>
      <c r="E6" s="6"/>
      <c r="F6" s="6"/>
      <c r="G6" s="6"/>
      <c r="H6" s="6"/>
      <c r="I6" s="6"/>
      <c r="O6" s="59"/>
      <c r="P6" s="61"/>
    </row>
    <row r="7" spans="1:20" s="10" customFormat="1" ht="14.25" x14ac:dyDescent="0.2">
      <c r="A7" s="56" t="s">
        <v>28</v>
      </c>
      <c r="B7" s="54">
        <v>409.17975400000006</v>
      </c>
      <c r="C7" s="55">
        <v>174394</v>
      </c>
      <c r="E7" s="11"/>
      <c r="G7" s="12"/>
      <c r="I7" s="13"/>
      <c r="J7" s="13"/>
      <c r="K7" s="13"/>
      <c r="L7" s="13"/>
      <c r="N7" s="13"/>
      <c r="O7" s="60"/>
      <c r="P7" s="60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26</v>
      </c>
      <c r="B22" s="22" t="s">
        <v>39</v>
      </c>
      <c r="C22" s="22" t="s">
        <v>40</v>
      </c>
    </row>
    <row r="23" spans="1:3" x14ac:dyDescent="0.25">
      <c r="A23" s="29" t="s">
        <v>4</v>
      </c>
      <c r="B23" s="52">
        <v>13.540569</v>
      </c>
      <c r="C23" s="53">
        <v>3303</v>
      </c>
    </row>
    <row r="24" spans="1:3" x14ac:dyDescent="0.25">
      <c r="A24" s="29" t="s">
        <v>6</v>
      </c>
      <c r="B24" s="52">
        <v>4.6650850000000004</v>
      </c>
      <c r="C24" s="53">
        <v>2246</v>
      </c>
    </row>
    <row r="25" spans="1:3" x14ac:dyDescent="0.25">
      <c r="A25" s="29" t="s">
        <v>5</v>
      </c>
      <c r="B25" s="52">
        <v>28.835148</v>
      </c>
      <c r="C25" s="53">
        <v>5735</v>
      </c>
    </row>
    <row r="26" spans="1:3" x14ac:dyDescent="0.25">
      <c r="A26" s="29" t="s">
        <v>7</v>
      </c>
      <c r="B26" s="52">
        <v>18.308691</v>
      </c>
      <c r="C26" s="53">
        <v>6314</v>
      </c>
    </row>
    <row r="27" spans="1:3" x14ac:dyDescent="0.25">
      <c r="A27" s="29" t="s">
        <v>8</v>
      </c>
      <c r="B27" s="52">
        <v>100.466121</v>
      </c>
      <c r="C27" s="53">
        <v>21689</v>
      </c>
    </row>
    <row r="28" spans="1:3" x14ac:dyDescent="0.25">
      <c r="A28" s="29" t="s">
        <v>99</v>
      </c>
      <c r="B28" s="52">
        <v>1.7023520000000001</v>
      </c>
      <c r="C28" s="53">
        <v>2293</v>
      </c>
    </row>
    <row r="29" spans="1:3" x14ac:dyDescent="0.25">
      <c r="A29" s="29" t="s">
        <v>94</v>
      </c>
      <c r="B29" s="52">
        <v>10.167676999999999</v>
      </c>
      <c r="C29" s="53">
        <v>3517</v>
      </c>
    </row>
    <row r="30" spans="1:3" x14ac:dyDescent="0.25">
      <c r="A30" s="29" t="s">
        <v>95</v>
      </c>
      <c r="B30" s="52">
        <v>56.927405999999998</v>
      </c>
      <c r="C30" s="53">
        <v>23164</v>
      </c>
    </row>
    <row r="31" spans="1:3" x14ac:dyDescent="0.25">
      <c r="A31" s="29" t="s">
        <v>96</v>
      </c>
      <c r="B31" s="52">
        <v>19.086593000000001</v>
      </c>
      <c r="C31" s="53">
        <v>5840</v>
      </c>
    </row>
    <row r="32" spans="1:3" x14ac:dyDescent="0.25">
      <c r="A32" s="29" t="s">
        <v>70</v>
      </c>
      <c r="B32" s="52">
        <v>4.6168060000000004</v>
      </c>
      <c r="C32" s="53">
        <v>1494</v>
      </c>
    </row>
    <row r="33" spans="1:3" x14ac:dyDescent="0.25">
      <c r="A33" s="29" t="s">
        <v>50</v>
      </c>
      <c r="B33" s="52">
        <v>5.4143739999999996</v>
      </c>
      <c r="C33" s="53">
        <v>3591</v>
      </c>
    </row>
    <row r="34" spans="1:3" x14ac:dyDescent="0.25">
      <c r="A34" s="29" t="s">
        <v>52</v>
      </c>
      <c r="B34" s="52">
        <v>10.52267</v>
      </c>
      <c r="C34" s="53">
        <v>2623</v>
      </c>
    </row>
    <row r="35" spans="1:3" x14ac:dyDescent="0.25">
      <c r="A35" s="29" t="s">
        <v>51</v>
      </c>
      <c r="B35" s="52">
        <v>68.474562000000006</v>
      </c>
      <c r="C35" s="53">
        <v>18451</v>
      </c>
    </row>
    <row r="36" spans="1:3" x14ac:dyDescent="0.25">
      <c r="A36" s="29" t="s">
        <v>77</v>
      </c>
      <c r="B36" s="52">
        <v>10.551644</v>
      </c>
      <c r="C36" s="53">
        <v>6230</v>
      </c>
    </row>
    <row r="37" spans="1:3" x14ac:dyDescent="0.25">
      <c r="A37" s="57" t="s">
        <v>79</v>
      </c>
      <c r="B37" s="52">
        <v>0.85417500000000002</v>
      </c>
      <c r="C37" s="53">
        <v>208</v>
      </c>
    </row>
    <row r="38" spans="1:3" x14ac:dyDescent="0.25">
      <c r="A38" s="57" t="s">
        <v>80</v>
      </c>
      <c r="B38" s="52">
        <v>3.3525909999999999</v>
      </c>
      <c r="C38" s="53">
        <v>1222</v>
      </c>
    </row>
    <row r="39" spans="1:3" x14ac:dyDescent="0.25">
      <c r="A39" s="57" t="s">
        <v>81</v>
      </c>
      <c r="B39" s="52">
        <v>1.8793550000000001</v>
      </c>
      <c r="C39" s="53">
        <v>2395</v>
      </c>
    </row>
    <row r="40" spans="1:3" x14ac:dyDescent="0.25">
      <c r="A40" s="57" t="s">
        <v>82</v>
      </c>
      <c r="B40" s="52">
        <v>8.8831980000000001</v>
      </c>
      <c r="C40" s="53">
        <v>15480</v>
      </c>
    </row>
    <row r="41" spans="1:3" x14ac:dyDescent="0.25">
      <c r="A41" s="29" t="s">
        <v>83</v>
      </c>
      <c r="B41" s="52">
        <v>10.826262</v>
      </c>
      <c r="C41" s="53">
        <v>3349</v>
      </c>
    </row>
    <row r="42" spans="1:3" x14ac:dyDescent="0.25">
      <c r="A42" s="29" t="s">
        <v>84</v>
      </c>
      <c r="B42" s="52">
        <v>19.671213000000002</v>
      </c>
      <c r="C42" s="53">
        <v>40102</v>
      </c>
    </row>
    <row r="43" spans="1:3" x14ac:dyDescent="0.25">
      <c r="A43" s="29" t="s">
        <v>85</v>
      </c>
      <c r="B43" s="52">
        <v>9.3016480000000001</v>
      </c>
      <c r="C43" s="53">
        <v>4588</v>
      </c>
    </row>
    <row r="44" spans="1:3" x14ac:dyDescent="0.25">
      <c r="A44" s="29" t="s">
        <v>86</v>
      </c>
      <c r="B44" s="52">
        <v>1.1316139999999999</v>
      </c>
      <c r="C44" s="53">
        <v>560</v>
      </c>
    </row>
    <row r="45" spans="1:3" x14ac:dyDescent="0.25">
      <c r="A45" s="56" t="s">
        <v>28</v>
      </c>
      <c r="B45" s="54">
        <v>409.179754</v>
      </c>
      <c r="C45" s="64">
        <v>174394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2025-03-31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2026-05-12T11:20:23Z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94569dfc-a02d-4b5d-9d5d-4823ca2c45a6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