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tabRatio="803"/>
  </bookViews>
  <sheets>
    <sheet name="2020-03-31" sheetId="2" r:id="rId1"/>
    <sheet name="Papildoma informacija" sheetId="12" r:id="rId2"/>
  </sheets>
  <calcPr calcId="145621"/>
</workbook>
</file>

<file path=xl/sharedStrings.xml><?xml version="1.0" encoding="utf-8"?>
<sst xmlns="http://schemas.openxmlformats.org/spreadsheetml/2006/main" count="181" uniqueCount="94">
  <si>
    <t xml:space="preserve">Pensijų kaupimo bendrovės pavadinimas
</t>
  </si>
  <si>
    <t xml:space="preserve">Fondo kodas
</t>
  </si>
  <si>
    <t xml:space="preserve">Pensijų fondo pavadinimas
</t>
  </si>
  <si>
    <t xml:space="preserve">Luminor investicijų valdymas UAB </t>
  </si>
  <si>
    <t>INVL STABILO III 58+ / INVL Stabilus</t>
  </si>
  <si>
    <t>Luminor pensija 1 plius</t>
  </si>
  <si>
    <t>SEB pensija 1 plius</t>
  </si>
  <si>
    <t>Luminor pensija 2 plius</t>
  </si>
  <si>
    <t>INVL Medio III 47+</t>
  </si>
  <si>
    <t>INVL Apdairus</t>
  </si>
  <si>
    <t>Luminor pensija darbuotojui 1 plius</t>
  </si>
  <si>
    <t>Luminor pensija darbuotojui 2 plius</t>
  </si>
  <si>
    <t>Luminor pensija 3 plius</t>
  </si>
  <si>
    <t>INVL Drąsus</t>
  </si>
  <si>
    <t>INVL Extremo III 16+</t>
  </si>
  <si>
    <t>SEB pensija 2 plius</t>
  </si>
  <si>
    <t>Mišraus investavimo pensijų fondai</t>
  </si>
  <si>
    <t>Akcijų pensijų fondai</t>
  </si>
  <si>
    <t>Obligacijų pensijų fondai</t>
  </si>
  <si>
    <t>Dalyvių skaičius</t>
  </si>
  <si>
    <t>S017</t>
  </si>
  <si>
    <t>S018</t>
  </si>
  <si>
    <t>S021</t>
  </si>
  <si>
    <t>S033</t>
  </si>
  <si>
    <t>S039</t>
  </si>
  <si>
    <t>S032</t>
  </si>
  <si>
    <t>S022</t>
  </si>
  <si>
    <t>S019</t>
  </si>
  <si>
    <t>S040</t>
  </si>
  <si>
    <t>S028</t>
  </si>
  <si>
    <t>S041</t>
  </si>
  <si>
    <t>S042</t>
  </si>
  <si>
    <t>FONDŲ GRĄŽA</t>
  </si>
  <si>
    <t>Grynųjų aktyvų vertė, mln.</t>
  </si>
  <si>
    <t>Pensijų kaupimo bendrovė</t>
  </si>
  <si>
    <t>Fondas</t>
  </si>
  <si>
    <t>* Apskaitos vieneto vertės pokytis. Juo atsižvelgiama į atskaitymus nuo turto, tačiau neatsižvelgiama į atskaitymus nuo įmokų, dėl to grynoji grąža yra mažesnė.</t>
  </si>
  <si>
    <t>** Apskaičiuota remiantis apskaitos vieneto vertės pokyčiu per nurodytą laikotarpį. Vidutinė metinė grąža gauta taikant geometrinį vidurkį.</t>
  </si>
  <si>
    <r>
      <rPr>
        <b/>
        <i/>
        <u/>
        <sz val="10"/>
        <color theme="1"/>
        <rFont val="Verdana"/>
        <family val="2"/>
        <charset val="186"/>
      </rPr>
      <t xml:space="preserve">Pastaba: </t>
    </r>
    <r>
      <rPr>
        <sz val="10"/>
        <color theme="1"/>
        <rFont val="Verdana"/>
        <family val="2"/>
        <charset val="186"/>
      </rPr>
      <t>praeities rezultatai negarantuoja, kad tokie patys ar panašūs rezultatai bus ir ateityje.</t>
    </r>
  </si>
  <si>
    <t xml:space="preserve">**** Rodikliui apskaičiuoti naudoti mėnesiniai apskaitos vieneto verčių pokyčiai, rezultatas perskaičiuotas į metinį. Standartinis nuokrypis parodo, kaip intensyviai per laikotarpį svyruoja fondo investicinio vieneto vertė. Kuo šis rodiklis didesnis, tuo didesnė rizika. </t>
  </si>
  <si>
    <t>****** Grynieji aktyvai – pensijų fondą sudarančio turto vertės ir  įsipareigojimų skirtumas.</t>
  </si>
  <si>
    <t>Grynųjų aktyvų******  vertė, mln. Eur</t>
  </si>
  <si>
    <t xml:space="preserve">*** Lyginamasis indeksas apibrėžiamas kaip pensijų kaupimo bendrovės pasirinktas orientacinis investicijų portfelis, atitinkantis fondo investavimo strategiją, su kurio vertės pokyčio reikšme lyginama fondo investicijų portfelio investicijų grąža. </t>
  </si>
  <si>
    <t>Svertinis vidurkis*****:</t>
  </si>
  <si>
    <t>Visų pensijų fondų svertinis vidurkis*****:</t>
  </si>
  <si>
    <t>IŠ VISO:</t>
  </si>
  <si>
    <t>UAB „INVL Asset Management“</t>
  </si>
  <si>
    <t>UAB „SEB investicijų valdymas“</t>
  </si>
  <si>
    <t>Rizikingų aktyvų dalis fonde (investicijų į akcijas dalis), proc.</t>
  </si>
  <si>
    <t>iki 8</t>
  </si>
  <si>
    <t>iki 50</t>
  </si>
  <si>
    <t>iki 25</t>
  </si>
  <si>
    <t>iki 70</t>
  </si>
  <si>
    <t>iki 100</t>
  </si>
  <si>
    <t>60–100</t>
  </si>
  <si>
    <t>LYGINAMOJO INDEKSO GRĄŽA***</t>
  </si>
  <si>
    <t>RIZIKOS RODIKLIAI****</t>
  </si>
  <si>
    <t>grąža* nuo metų pradžios, proc.</t>
  </si>
  <si>
    <t>vidutinė metinė grąža** per praėjusius 3 metus, proc.</t>
  </si>
  <si>
    <t>vidutinė metinė grąža** per praėjusius 5 metus, proc.</t>
  </si>
  <si>
    <t>vidutinė metinė grąža** per praėjusius 10 metų, proc.</t>
  </si>
  <si>
    <t>vidutinė metinė lyginamojo indekso grąža per praėjusius 3 metus, proc.</t>
  </si>
  <si>
    <t>vidutinė metinė lyginamojo indekso grąža per praėjusius 5 metus, proc.</t>
  </si>
  <si>
    <t>standartinis nuokrypis per praėjusius 5 metus, proc.</t>
  </si>
  <si>
    <t>standartinis nuokrypis per praėjusius 10 metų, proc.</t>
  </si>
  <si>
    <t>Grynųjų aktyvų vertė, mln. (skalė kairėje)</t>
  </si>
  <si>
    <t>Dalyvių skaičius (skalė dešinėje)</t>
  </si>
  <si>
    <t>Veiklos 
laikotarpis</t>
  </si>
  <si>
    <t>S048</t>
  </si>
  <si>
    <t>S046</t>
  </si>
  <si>
    <t>S047</t>
  </si>
  <si>
    <t>Pensijų fondas 100 (apriboto nutraukimo)</t>
  </si>
  <si>
    <t>Pensijų fondas 60 (apriboto nutraukimo)</t>
  </si>
  <si>
    <t>Pensijų fondas 30 (apriboto nutraukimo)</t>
  </si>
  <si>
    <t>UAB „Swedbank investicijų valdymas“</t>
  </si>
  <si>
    <t>-</t>
  </si>
  <si>
    <t>Swedbank Pensijų fondas 30</t>
  </si>
  <si>
    <t>Swedbank Pensijų fondas 100</t>
  </si>
  <si>
    <t>Swedbank Pensijų fondas 60</t>
  </si>
  <si>
    <t>iki 30</t>
  </si>
  <si>
    <t>iki 60</t>
  </si>
  <si>
    <t>6 m. 6 mėn.</t>
  </si>
  <si>
    <t>15 m. 4 mėn.</t>
  </si>
  <si>
    <t>15 m. 5 mėn.</t>
  </si>
  <si>
    <t>5 m. 4 mėn.</t>
  </si>
  <si>
    <t>6 m. 11 mėn.</t>
  </si>
  <si>
    <t>12 m. 6 mėn.</t>
  </si>
  <si>
    <t xml:space="preserve"> 4 mėn.</t>
  </si>
  <si>
    <t>***** Svertiniam vidurkiui apskaičiuoti naudotas 2020-03-31 dienos fondų grynųjų aktyvų dydis.</t>
  </si>
  <si>
    <t>Sąlyginis 
BIK</t>
  </si>
  <si>
    <t>Tikėtinas 
sąlyginis BIK</t>
  </si>
  <si>
    <t>BIK</t>
  </si>
  <si>
    <t>Išlaidų rodikliai *******</t>
  </si>
  <si>
    <t>*******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dalyvio investicijų grąžą (t. y. kuo šie rodikliai didesni, tuo daugiau mokesčių atskaitoma). Pažymėtina, kad skaičiuojant BIK į sandorių sudarymo ir įmokų mokesčių išlaidas neatsižvelgiama.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</si>
</sst>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4" formatCode="_-* #,##0\ _€_-;\-* #,##0\ _€_-;_-* &quot;-&quot;??\ _€_-;_-@_-"/>
  </numFmts>
  <fonts count="15" x14ac:knownFonts="1">
    <font>
      <sz val="11"/>
      <color theme="1"/>
      <name val="Calibri"/>
      <family val="2"/>
      <scheme val="minor"/>
    </font>
    <font>
      <sz val="11"/>
      <color theme="1"/>
      <name val="Calibri"/>
      <family val="2"/>
      <scheme val="minor"/>
    </font>
    <font>
      <b/>
      <sz val="10"/>
      <color theme="1"/>
      <name val="Verdana"/>
      <family val="2"/>
      <charset val="186"/>
    </font>
    <font>
      <sz val="10"/>
      <color theme="1"/>
      <name val="Verdana"/>
      <family val="2"/>
      <charset val="186"/>
    </font>
    <font>
      <b/>
      <sz val="11"/>
      <color theme="1"/>
      <name val="Verdana"/>
      <family val="2"/>
      <charset val="186"/>
    </font>
    <font>
      <b/>
      <i/>
      <u/>
      <sz val="10"/>
      <color rgb="FFFF0000"/>
      <name val="Verdana"/>
      <family val="2"/>
      <charset val="186"/>
    </font>
    <font>
      <sz val="11"/>
      <color theme="1"/>
      <name val="Verdana"/>
      <family val="2"/>
      <charset val="186"/>
    </font>
    <font>
      <b/>
      <i/>
      <u/>
      <sz val="10"/>
      <color theme="1"/>
      <name val="Verdana"/>
      <family val="2"/>
      <charset val="186"/>
    </font>
    <font>
      <b/>
      <sz val="10"/>
      <color rgb="FFFF0000"/>
      <name val="Verdana"/>
      <family val="2"/>
      <charset val="186"/>
    </font>
    <font>
      <b/>
      <sz val="10"/>
      <color theme="0"/>
      <name val="Verdana"/>
      <family val="2"/>
      <charset val="186"/>
    </font>
    <font>
      <sz val="10"/>
      <color theme="0"/>
      <name val="Verdana"/>
      <family val="2"/>
      <charset val="186"/>
    </font>
    <font>
      <b/>
      <sz val="10"/>
      <name val="Verdana"/>
      <family val="2"/>
      <charset val="186"/>
    </font>
    <font>
      <sz val="10"/>
      <name val="Verdana"/>
      <family val="2"/>
      <charset val="186"/>
    </font>
    <font>
      <b/>
      <sz val="10"/>
      <color theme="0"/>
      <name val="Verdana"/>
      <family val="2"/>
    </font>
    <font>
      <sz val="10"/>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2" fontId="3" fillId="0" borderId="0" xfId="0" applyNumberFormat="1" applyFont="1" applyBorder="1" applyAlignment="1">
      <alignment horizontal="center" vertical="center" wrapText="1"/>
    </xf>
    <xf numFmtId="0" fontId="3" fillId="0" borderId="0" xfId="0" applyFont="1" applyFill="1" applyAlignment="1">
      <alignment vertical="center" wrapText="1"/>
    </xf>
    <xf numFmtId="0" fontId="3" fillId="0" borderId="0" xfId="0" applyFont="1" applyFill="1" applyAlignment="1">
      <alignment wrapText="1"/>
    </xf>
    <xf numFmtId="2" fontId="3" fillId="0" borderId="0" xfId="0" applyNumberFormat="1" applyFont="1" applyBorder="1" applyAlignment="1">
      <alignment horizontal="center" vertical="center"/>
    </xf>
    <xf numFmtId="9" fontId="3" fillId="0" borderId="0" xfId="2" applyFont="1" applyBorder="1" applyAlignment="1">
      <alignment horizontal="center" vertical="center"/>
    </xf>
    <xf numFmtId="0" fontId="3" fillId="0" borderId="0" xfId="0" applyFont="1" applyBorder="1" applyAlignment="1">
      <alignment horizontal="center" vertical="center"/>
    </xf>
    <xf numFmtId="0" fontId="0" fillId="0" borderId="0" xfId="0" applyFill="1"/>
    <xf numFmtId="0" fontId="6" fillId="0" borderId="0" xfId="0" applyFont="1" applyFill="1" applyAlignment="1"/>
    <xf numFmtId="9" fontId="6" fillId="0" borderId="0" xfId="2" applyFont="1" applyFill="1" applyAlignment="1">
      <alignment horizontal="center"/>
    </xf>
    <xf numFmtId="0" fontId="4" fillId="0" borderId="0" xfId="0" applyFont="1" applyFill="1" applyAlignment="1">
      <alignment horizontal="right"/>
    </xf>
    <xf numFmtId="2" fontId="4" fillId="0" borderId="0" xfId="0" applyNumberFormat="1" applyFont="1" applyFill="1" applyAlignment="1">
      <alignment wrapText="1"/>
    </xf>
    <xf numFmtId="0" fontId="6" fillId="0" borderId="0" xfId="0" applyFont="1" applyFill="1" applyAlignment="1">
      <alignment wrapText="1"/>
    </xf>
    <xf numFmtId="2" fontId="0" fillId="0" borderId="0" xfId="0" applyNumberFormat="1" applyFill="1"/>
    <xf numFmtId="0" fontId="3" fillId="0" borderId="0" xfId="0" applyFont="1" applyAlignment="1"/>
    <xf numFmtId="0" fontId="3" fillId="0" borderId="0" xfId="0" applyFont="1" applyFill="1" applyAlignment="1">
      <alignment vertical="center"/>
    </xf>
    <xf numFmtId="0" fontId="3"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left" vertical="center"/>
    </xf>
    <xf numFmtId="0" fontId="3" fillId="0" borderId="1" xfId="0" applyFont="1" applyBorder="1"/>
    <xf numFmtId="0" fontId="9" fillId="3" borderId="1" xfId="0" applyFont="1" applyFill="1" applyBorder="1" applyAlignment="1">
      <alignment horizontal="left" wrapText="1"/>
    </xf>
    <xf numFmtId="0" fontId="9" fillId="3" borderId="1" xfId="0" applyFont="1" applyFill="1" applyBorder="1" applyAlignment="1">
      <alignment horizontal="center" vertical="center" wrapText="1"/>
    </xf>
    <xf numFmtId="164" fontId="9" fillId="3" borderId="1" xfId="1" applyNumberFormat="1" applyFont="1" applyFill="1" applyBorder="1" applyAlignment="1">
      <alignment horizontal="center" vertical="center" wrapText="1"/>
    </xf>
    <xf numFmtId="0" fontId="2" fillId="0" borderId="0" xfId="0" applyFont="1" applyFill="1" applyAlignment="1">
      <alignment wrapText="1"/>
    </xf>
    <xf numFmtId="0" fontId="3" fillId="0" borderId="0" xfId="0" applyFont="1" applyFill="1" applyAlignment="1"/>
    <xf numFmtId="9" fontId="3" fillId="0" borderId="0" xfId="2" applyFont="1" applyFill="1" applyAlignment="1">
      <alignment horizontal="center"/>
    </xf>
    <xf numFmtId="2" fontId="2" fillId="0" borderId="0" xfId="0" applyNumberFormat="1" applyFont="1" applyFill="1" applyAlignment="1">
      <alignment wrapText="1"/>
    </xf>
    <xf numFmtId="0" fontId="3" fillId="0" borderId="2" xfId="0" applyFont="1" applyFill="1" applyBorder="1" applyAlignment="1">
      <alignment wrapText="1"/>
    </xf>
    <xf numFmtId="2" fontId="3" fillId="0" borderId="2" xfId="0" applyNumberFormat="1" applyFont="1" applyFill="1" applyBorder="1" applyAlignment="1">
      <alignment horizontal="center" vertical="center"/>
    </xf>
    <xf numFmtId="0" fontId="3" fillId="0" borderId="2" xfId="2" applyNumberFormat="1" applyFont="1" applyFill="1" applyBorder="1" applyAlignment="1">
      <alignment horizontal="center" vertical="center"/>
    </xf>
    <xf numFmtId="164" fontId="3" fillId="0" borderId="2" xfId="1" applyNumberFormat="1" applyFont="1" applyFill="1" applyBorder="1" applyAlignment="1">
      <alignment horizontal="center" vertical="center"/>
    </xf>
    <xf numFmtId="0" fontId="3" fillId="0" borderId="0" xfId="0" applyFont="1" applyFill="1" applyAlignment="1">
      <alignment horizontal="center" vertical="center"/>
    </xf>
    <xf numFmtId="2" fontId="3" fillId="0" borderId="2" xfId="0" applyNumberFormat="1" applyFont="1" applyFill="1" applyBorder="1" applyAlignment="1">
      <alignment horizontal="center" vertical="center" wrapText="1"/>
    </xf>
    <xf numFmtId="0" fontId="2" fillId="0" borderId="0" xfId="0" applyFont="1" applyFill="1" applyAlignment="1"/>
    <xf numFmtId="0" fontId="3" fillId="0" borderId="0" xfId="2" applyNumberFormat="1" applyFont="1" applyFill="1" applyAlignment="1">
      <alignment horizontal="center"/>
    </xf>
    <xf numFmtId="2" fontId="3" fillId="0" borderId="0" xfId="0" applyNumberFormat="1" applyFont="1" applyFill="1" applyAlignment="1">
      <alignment horizontal="center"/>
    </xf>
    <xf numFmtId="0" fontId="3" fillId="0" borderId="0" xfId="0" applyFont="1" applyFill="1" applyAlignment="1">
      <alignment horizontal="center"/>
    </xf>
    <xf numFmtId="2" fontId="3" fillId="0" borderId="0" xfId="0" applyNumberFormat="1" applyFont="1" applyFill="1" applyAlignment="1">
      <alignment horizontal="center" wrapText="1"/>
    </xf>
    <xf numFmtId="0" fontId="9" fillId="3" borderId="0" xfId="0" applyFont="1" applyFill="1" applyAlignment="1">
      <alignment vertical="center"/>
    </xf>
    <xf numFmtId="9" fontId="9" fillId="3" borderId="0" xfId="2" applyFont="1" applyFill="1" applyBorder="1" applyAlignment="1">
      <alignment vertical="center"/>
    </xf>
    <xf numFmtId="0" fontId="10" fillId="3" borderId="0" xfId="0" applyFont="1" applyFill="1" applyAlignment="1">
      <alignment vertical="center"/>
    </xf>
    <xf numFmtId="0" fontId="9" fillId="3" borderId="0" xfId="0" applyFont="1" applyFill="1" applyAlignment="1">
      <alignment horizontal="right" vertical="center"/>
    </xf>
    <xf numFmtId="2" fontId="9" fillId="3" borderId="0" xfId="0" applyNumberFormat="1" applyFont="1" applyFill="1" applyAlignment="1">
      <alignment vertical="center" wrapText="1"/>
    </xf>
    <xf numFmtId="0" fontId="10" fillId="3" borderId="0" xfId="0" applyFont="1" applyFill="1" applyAlignment="1">
      <alignment vertical="center" wrapText="1"/>
    </xf>
    <xf numFmtId="0" fontId="11" fillId="0" borderId="0" xfId="0" applyFont="1" applyFill="1" applyAlignment="1">
      <alignment horizontal="right"/>
    </xf>
    <xf numFmtId="2" fontId="3" fillId="0" borderId="2" xfId="0" applyNumberFormat="1" applyFont="1" applyFill="1" applyBorder="1" applyAlignment="1">
      <alignment wrapText="1"/>
    </xf>
    <xf numFmtId="164" fontId="3" fillId="0" borderId="2" xfId="1" applyNumberFormat="1" applyFont="1" applyFill="1" applyBorder="1" applyAlignment="1">
      <alignment wrapText="1"/>
    </xf>
    <xf numFmtId="2" fontId="9" fillId="3" borderId="1" xfId="0" applyNumberFormat="1" applyFont="1" applyFill="1" applyBorder="1" applyAlignment="1">
      <alignment horizontal="right" wrapText="1"/>
    </xf>
    <xf numFmtId="164" fontId="9" fillId="3" borderId="1" xfId="1" applyNumberFormat="1" applyFont="1" applyFill="1" applyBorder="1" applyAlignment="1">
      <alignment horizontal="left" wrapText="1"/>
    </xf>
    <xf numFmtId="0" fontId="13" fillId="3" borderId="1" xfId="0" applyFont="1" applyFill="1" applyBorder="1" applyAlignment="1">
      <alignment horizontal="right" wrapText="1"/>
    </xf>
    <xf numFmtId="14" fontId="3" fillId="0" borderId="2" xfId="0" applyNumberFormat="1" applyFont="1" applyFill="1" applyBorder="1" applyAlignment="1">
      <alignment wrapText="1"/>
    </xf>
    <xf numFmtId="0" fontId="8" fillId="0" borderId="0" xfId="0" applyFont="1" applyAlignment="1">
      <alignment wrapText="1"/>
    </xf>
    <xf numFmtId="14" fontId="14" fillId="2" borderId="1" xfId="0" applyNumberFormat="1" applyFont="1" applyFill="1" applyBorder="1" applyAlignment="1">
      <alignment horizontal="left" wrapText="1"/>
    </xf>
    <xf numFmtId="2" fontId="12" fillId="0" borderId="2" xfId="0" applyNumberFormat="1" applyFont="1" applyFill="1" applyBorder="1" applyAlignment="1">
      <alignment horizontal="left" vertical="center"/>
    </xf>
    <xf numFmtId="0" fontId="12" fillId="0" borderId="0" xfId="0" applyNumberFormat="1" applyFont="1" applyFill="1" applyAlignment="1">
      <alignment horizontal="left"/>
    </xf>
    <xf numFmtId="2" fontId="12" fillId="0" borderId="0" xfId="0" applyNumberFormat="1" applyFont="1" applyFill="1" applyAlignment="1">
      <alignment horizontal="left"/>
    </xf>
    <xf numFmtId="0" fontId="12" fillId="0" borderId="0" xfId="0" applyFont="1" applyAlignment="1"/>
    <xf numFmtId="164" fontId="9" fillId="3" borderId="1" xfId="1" applyNumberFormat="1"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0" xfId="0" applyFont="1" applyFill="1" applyBorder="1" applyAlignment="1">
      <alignment horizontal="center" vertical="center" wrapText="1"/>
    </xf>
  </cellXfs>
  <cellStyles count="3">
    <cellStyle name="Comma" xfId="1" builtinId="3"/>
    <cellStyle name="Normal" xfId="0" builtinId="0"/>
    <cellStyle name="Percent" xfId="2" builtinId="5"/>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s>
  <tableStyles count="0" defaultTableStyle="TableStyleMedium2" defaultPivotStyle="PivotStyleMedium9"/>
  <colors>
    <mruColors>
      <color rgb="FFE31C48"/>
      <color rgb="FF99FFCC"/>
      <color rgb="FF903F98"/>
      <color rgb="FFFCAF17"/>
      <color rgb="FF00B07D"/>
      <color rgb="FF009900"/>
      <color rgb="FF9C5BCD"/>
      <color rgb="FF99FF99"/>
      <color rgb="FFC9FFC9"/>
      <color rgb="FFFFFF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lt-LT"/>
              <a:t>Grynųjų aktyvų vertė</a:t>
            </a:r>
          </a:p>
        </c:rich>
      </c:tx>
      <c:overlay val="0"/>
    </c:title>
    <c:autoTitleDeleted val="0"/>
    <c:plotArea>
      <c:layout>
        <c:manualLayout>
          <c:layoutTarget val="inner"/>
          <c:xMode val="edge"/>
          <c:yMode val="edge"/>
          <c:x val="0.31098320867590407"/>
          <c:y val="0.26282418414001013"/>
          <c:w val="0.32982964070404208"/>
          <c:h val="0.66015875099340715"/>
        </c:manualLayout>
      </c:layout>
      <c:pieChart>
        <c:varyColors val="1"/>
        <c:ser>
          <c:idx val="0"/>
          <c:order val="0"/>
          <c:tx>
            <c:strRef>
              <c:f>'Papildoma informacija'!$B$1</c:f>
              <c:strCache>
                <c:ptCount val="1"/>
                <c:pt idx="0">
                  <c:v>Grynųjų aktyvų vertė, mln.</c:v>
                </c:pt>
              </c:strCache>
            </c:strRef>
          </c:tx>
          <c:dPt>
            <c:idx val="0"/>
            <c:bubble3D val="0"/>
            <c:spPr>
              <a:solidFill>
                <a:srgbClr val="903F98"/>
              </a:solidFill>
            </c:spPr>
          </c:dPt>
          <c:dPt>
            <c:idx val="1"/>
            <c:bubble3D val="0"/>
            <c:spPr>
              <a:solidFill>
                <a:srgbClr val="FCAF17"/>
              </a:solidFill>
            </c:spPr>
          </c:dPt>
          <c:dPt>
            <c:idx val="2"/>
            <c:bubble3D val="0"/>
            <c:spPr>
              <a:solidFill>
                <a:srgbClr val="00B07D"/>
              </a:solidFill>
            </c:spPr>
          </c:dPt>
          <c:dPt>
            <c:idx val="3"/>
            <c:bubble3D val="0"/>
            <c:spPr>
              <a:solidFill>
                <a:srgbClr val="E31C48"/>
              </a:solidFill>
            </c:spPr>
          </c:dPt>
          <c:dLbls>
            <c:dLbl>
              <c:idx val="0"/>
              <c:layout>
                <c:manualLayout>
                  <c:x val="2.5086824409098384E-2"/>
                  <c:y val="0.27507933540167412"/>
                </c:manualLayout>
              </c:layout>
              <c:showLegendKey val="0"/>
              <c:showVal val="0"/>
              <c:showCatName val="1"/>
              <c:showSerName val="0"/>
              <c:showPercent val="1"/>
              <c:showBubbleSize val="0"/>
            </c:dLbl>
            <c:dLbl>
              <c:idx val="1"/>
              <c:layout>
                <c:manualLayout>
                  <c:x val="-7.1910432213700859E-2"/>
                  <c:y val="-5.7546496517430157E-2"/>
                </c:manualLayout>
              </c:layout>
              <c:showLegendKey val="0"/>
              <c:showVal val="0"/>
              <c:showCatName val="1"/>
              <c:showSerName val="0"/>
              <c:showPercent val="1"/>
              <c:showBubbleSize val="0"/>
            </c:dLbl>
            <c:dLbl>
              <c:idx val="2"/>
              <c:layout>
                <c:manualLayout>
                  <c:x val="-0.10494619422572178"/>
                  <c:y val="0.13202901720618257"/>
                </c:manualLayout>
              </c:layout>
              <c:showLegendKey val="0"/>
              <c:showVal val="0"/>
              <c:showCatName val="1"/>
              <c:showSerName val="0"/>
              <c:showPercent val="1"/>
              <c:showBubbleSize val="0"/>
            </c:dLbl>
            <c:dLbl>
              <c:idx val="3"/>
              <c:layout>
                <c:manualLayout>
                  <c:x val="0.29153707143956653"/>
                  <c:y val="0.17286233350539024"/>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'Papildoma informacija'!$A$2:$A$5</c:f>
              <c:strCache>
                <c:ptCount val="4"/>
                <c:pt idx="0">
                  <c:v>Luminor investicijų valdymas UAB </c:v>
                </c:pt>
                <c:pt idx="1">
                  <c:v>UAB „INVL Asset Management“</c:v>
                </c:pt>
                <c:pt idx="2">
                  <c:v>UAB „SEB investicijų valdymas“</c:v>
                </c:pt>
                <c:pt idx="3">
                  <c:v>UAB „Swedbank investicijų valdymas“</c:v>
                </c:pt>
              </c:strCache>
            </c:strRef>
          </c:cat>
          <c:val>
            <c:numRef>
              <c:f>'Papildoma informacija'!$B$2:$B$5</c:f>
              <c:numCache>
                <c:formatCode>0.00</c:formatCode>
                <c:ptCount val="4"/>
                <c:pt idx="0">
                  <c:v>55.644949000000004</c:v>
                </c:pt>
                <c:pt idx="1">
                  <c:v>36.982044999999999</c:v>
                </c:pt>
                <c:pt idx="2">
                  <c:v>31.433985999999997</c:v>
                </c:pt>
                <c:pt idx="3">
                  <c:v>0.48823299999999997</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pieChart>
        <c:varyColors val="1"/>
        <c:ser>
          <c:idx val="0"/>
          <c:order val="0"/>
          <c:tx>
            <c:strRef>
              <c:f>'Papildoma informacija'!$C$1</c:f>
              <c:strCache>
                <c:ptCount val="1"/>
                <c:pt idx="0">
                  <c:v>Dalyvių skaičius</c:v>
                </c:pt>
              </c:strCache>
            </c:strRef>
          </c:tx>
          <c:dPt>
            <c:idx val="0"/>
            <c:bubble3D val="0"/>
            <c:spPr>
              <a:solidFill>
                <a:srgbClr val="903F98"/>
              </a:solidFill>
            </c:spPr>
          </c:dPt>
          <c:dPt>
            <c:idx val="1"/>
            <c:bubble3D val="0"/>
            <c:spPr>
              <a:solidFill>
                <a:srgbClr val="FCAF17"/>
              </a:solidFill>
            </c:spPr>
          </c:dPt>
          <c:dPt>
            <c:idx val="2"/>
            <c:bubble3D val="0"/>
            <c:spPr>
              <a:solidFill>
                <a:srgbClr val="00B07D"/>
              </a:solidFill>
            </c:spPr>
          </c:dPt>
          <c:dPt>
            <c:idx val="3"/>
            <c:bubble3D val="0"/>
            <c:spPr>
              <a:solidFill>
                <a:srgbClr val="E31C48"/>
              </a:solidFill>
            </c:spPr>
          </c:dPt>
          <c:dLbls>
            <c:dLbl>
              <c:idx val="0"/>
              <c:layout>
                <c:manualLayout>
                  <c:x val="4.4786222745033778E-2"/>
                  <c:y val="5.0172027685143873E-2"/>
                </c:manualLayout>
              </c:layout>
              <c:showLegendKey val="0"/>
              <c:showVal val="0"/>
              <c:showCatName val="1"/>
              <c:showSerName val="0"/>
              <c:showPercent val="1"/>
              <c:showBubbleSize val="0"/>
            </c:dLbl>
            <c:dLbl>
              <c:idx val="1"/>
              <c:layout>
                <c:manualLayout>
                  <c:x val="-3.1750218722659665E-2"/>
                  <c:y val="0.12557669874599009"/>
                </c:manualLayout>
              </c:layout>
              <c:showLegendKey val="0"/>
              <c:showVal val="0"/>
              <c:showCatName val="1"/>
              <c:showSerName val="0"/>
              <c:showPercent val="1"/>
              <c:showBubbleSize val="0"/>
            </c:dLbl>
            <c:dLbl>
              <c:idx val="2"/>
              <c:layout>
                <c:manualLayout>
                  <c:x val="-0.13080008748906385"/>
                  <c:y val="0.1705683143773695"/>
                </c:manualLayout>
              </c:layout>
              <c:showLegendKey val="0"/>
              <c:showVal val="0"/>
              <c:showCatName val="1"/>
              <c:showSerName val="0"/>
              <c:showPercent val="1"/>
              <c:showBubbleSize val="0"/>
            </c:dLbl>
            <c:dLbl>
              <c:idx val="3"/>
              <c:layout>
                <c:manualLayout>
                  <c:x val="0.32730722299278403"/>
                  <c:y val="8.728263926629716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'Papildoma informacija'!$A$2:$A$5</c:f>
              <c:strCache>
                <c:ptCount val="4"/>
                <c:pt idx="0">
                  <c:v>Luminor investicijų valdymas UAB </c:v>
                </c:pt>
                <c:pt idx="1">
                  <c:v>UAB „INVL Asset Management“</c:v>
                </c:pt>
                <c:pt idx="2">
                  <c:v>UAB „SEB investicijų valdymas“</c:v>
                </c:pt>
                <c:pt idx="3">
                  <c:v>UAB „Swedbank investicijų valdymas“</c:v>
                </c:pt>
              </c:strCache>
            </c:strRef>
          </c:cat>
          <c:val>
            <c:numRef>
              <c:f>'Papildoma informacija'!$C$2:$C$5</c:f>
              <c:numCache>
                <c:formatCode>_-* #,##0\ _€_-;\-* #,##0\ _€_-;_-* "-"??\ _€_-;_-@_-</c:formatCode>
                <c:ptCount val="4"/>
                <c:pt idx="0">
                  <c:v>39649</c:v>
                </c:pt>
                <c:pt idx="1">
                  <c:v>19537</c:v>
                </c:pt>
                <c:pt idx="2">
                  <c:v>12665</c:v>
                </c:pt>
                <c:pt idx="3">
                  <c:v>960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lt-LT"/>
              <a:t>Grynųjų aktyvų vertė ir dalyvių skaičius</a:t>
            </a:r>
          </a:p>
        </c:rich>
      </c:tx>
      <c:layout>
        <c:manualLayout>
          <c:xMode val="edge"/>
          <c:yMode val="edge"/>
          <c:x val="0.41877623411894899"/>
          <c:y val="8.1174827824552681E-2"/>
        </c:manualLayout>
      </c:layout>
      <c:overlay val="0"/>
    </c:title>
    <c:autoTitleDeleted val="0"/>
    <c:plotArea>
      <c:layout>
        <c:manualLayout>
          <c:layoutTarget val="inner"/>
          <c:xMode val="edge"/>
          <c:yMode val="edge"/>
          <c:x val="0.18863976999492119"/>
          <c:y val="0.16651391228766224"/>
          <c:w val="0.7434348510574762"/>
          <c:h val="0.54340188962361491"/>
        </c:manualLayout>
      </c:layout>
      <c:barChart>
        <c:barDir val="col"/>
        <c:grouping val="clustered"/>
        <c:varyColors val="0"/>
        <c:ser>
          <c:idx val="1"/>
          <c:order val="1"/>
          <c:tx>
            <c:strRef>
              <c:f>'Papildoma informacija'!$C$21</c:f>
              <c:strCache>
                <c:ptCount val="1"/>
                <c:pt idx="0">
                  <c:v>Dalyvių skaičius (skalė dešinėje)</c:v>
                </c:pt>
              </c:strCache>
            </c:strRef>
          </c:tx>
          <c:spPr>
            <a:solidFill>
              <a:srgbClr val="00B07D"/>
            </a:solidFill>
          </c:spPr>
          <c:invertIfNegative val="0"/>
          <c:cat>
            <c:strRef>
              <c:f>'Papildoma informacija'!$A$22:$A$36</c:f>
              <c:strCache>
                <c:ptCount val="15"/>
                <c:pt idx="0">
                  <c:v>Luminor pensija 1 plius</c:v>
                </c:pt>
                <c:pt idx="1">
                  <c:v>INVL STABILO III 58+ / INVL Stabilus</c:v>
                </c:pt>
                <c:pt idx="2">
                  <c:v>SEB pensija 1 plius</c:v>
                </c:pt>
                <c:pt idx="3">
                  <c:v>Luminor pensija 2 plius</c:v>
                </c:pt>
                <c:pt idx="4">
                  <c:v>Luminor pensija darbuotojui 1 plius</c:v>
                </c:pt>
                <c:pt idx="5">
                  <c:v>Luminor pensija darbuotojui 2 plius</c:v>
                </c:pt>
                <c:pt idx="6">
                  <c:v>INVL Apdairus</c:v>
                </c:pt>
                <c:pt idx="7">
                  <c:v>INVL Medio III 47+</c:v>
                </c:pt>
                <c:pt idx="8">
                  <c:v>Luminor pensija 3 plius</c:v>
                </c:pt>
                <c:pt idx="9">
                  <c:v>INVL Drąsus</c:v>
                </c:pt>
                <c:pt idx="10">
                  <c:v>INVL Extremo III 16+</c:v>
                </c:pt>
                <c:pt idx="11">
                  <c:v>SEB pensija 2 plius</c:v>
                </c:pt>
                <c:pt idx="12">
                  <c:v>Swedbank Pensijų fondas 30</c:v>
                </c:pt>
                <c:pt idx="13">
                  <c:v>Swedbank Pensijų fondas 60</c:v>
                </c:pt>
                <c:pt idx="14">
                  <c:v>Swedbank Pensijų fondas 100</c:v>
                </c:pt>
              </c:strCache>
            </c:strRef>
          </c:cat>
          <c:val>
            <c:numRef>
              <c:f>'Papildoma informacija'!$C$22:$C$36</c:f>
              <c:numCache>
                <c:formatCode>_-* #,##0\ _€_-;\-* #,##0\ _€_-;_-* "-"??\ _€_-;_-@_-</c:formatCode>
                <c:ptCount val="15"/>
                <c:pt idx="0">
                  <c:v>5679</c:v>
                </c:pt>
                <c:pt idx="1">
                  <c:v>3200</c:v>
                </c:pt>
                <c:pt idx="2">
                  <c:v>2150</c:v>
                </c:pt>
                <c:pt idx="3">
                  <c:v>27432</c:v>
                </c:pt>
                <c:pt idx="4">
                  <c:v>468</c:v>
                </c:pt>
                <c:pt idx="5">
                  <c:v>1022</c:v>
                </c:pt>
                <c:pt idx="6">
                  <c:v>1230</c:v>
                </c:pt>
                <c:pt idx="7">
                  <c:v>3368</c:v>
                </c:pt>
                <c:pt idx="8">
                  <c:v>5048</c:v>
                </c:pt>
                <c:pt idx="9">
                  <c:v>2288</c:v>
                </c:pt>
                <c:pt idx="10">
                  <c:v>9451</c:v>
                </c:pt>
                <c:pt idx="11">
                  <c:v>10515</c:v>
                </c:pt>
                <c:pt idx="12">
                  <c:v>90</c:v>
                </c:pt>
                <c:pt idx="13">
                  <c:v>237</c:v>
                </c:pt>
                <c:pt idx="14">
                  <c:v>633</c:v>
                </c:pt>
              </c:numCache>
            </c:numRef>
          </c:val>
        </c:ser>
        <c:dLbls>
          <c:showLegendKey val="0"/>
          <c:showVal val="0"/>
          <c:showCatName val="0"/>
          <c:showSerName val="0"/>
          <c:showPercent val="0"/>
          <c:showBubbleSize val="0"/>
        </c:dLbls>
        <c:gapWidth val="150"/>
        <c:axId val="133067776"/>
        <c:axId val="131830848"/>
      </c:barChart>
      <c:lineChart>
        <c:grouping val="standard"/>
        <c:varyColors val="0"/>
        <c:ser>
          <c:idx val="0"/>
          <c:order val="0"/>
          <c:tx>
            <c:strRef>
              <c:f>'Papildoma informacija'!$B$21</c:f>
              <c:strCache>
                <c:ptCount val="1"/>
                <c:pt idx="0">
                  <c:v>Grynųjų aktyvų vertė, mln. (skalė kairėje)</c:v>
                </c:pt>
              </c:strCache>
            </c:strRef>
          </c:tx>
          <c:spPr>
            <a:ln>
              <a:solidFill>
                <a:srgbClr val="FCAF17"/>
              </a:solidFill>
            </a:ln>
          </c:spPr>
          <c:marker>
            <c:symbol val="none"/>
          </c:marker>
          <c:cat>
            <c:strRef>
              <c:f>'Papildoma informacija'!$A$22:$A$36</c:f>
              <c:strCache>
                <c:ptCount val="15"/>
                <c:pt idx="0">
                  <c:v>Luminor pensija 1 plius</c:v>
                </c:pt>
                <c:pt idx="1">
                  <c:v>INVL STABILO III 58+ / INVL Stabilus</c:v>
                </c:pt>
                <c:pt idx="2">
                  <c:v>SEB pensija 1 plius</c:v>
                </c:pt>
                <c:pt idx="3">
                  <c:v>Luminor pensija 2 plius</c:v>
                </c:pt>
                <c:pt idx="4">
                  <c:v>Luminor pensija darbuotojui 1 plius</c:v>
                </c:pt>
                <c:pt idx="5">
                  <c:v>Luminor pensija darbuotojui 2 plius</c:v>
                </c:pt>
                <c:pt idx="6">
                  <c:v>INVL Apdairus</c:v>
                </c:pt>
                <c:pt idx="7">
                  <c:v>INVL Medio III 47+</c:v>
                </c:pt>
                <c:pt idx="8">
                  <c:v>Luminor pensija 3 plius</c:v>
                </c:pt>
                <c:pt idx="9">
                  <c:v>INVL Drąsus</c:v>
                </c:pt>
                <c:pt idx="10">
                  <c:v>INVL Extremo III 16+</c:v>
                </c:pt>
                <c:pt idx="11">
                  <c:v>SEB pensija 2 plius</c:v>
                </c:pt>
                <c:pt idx="12">
                  <c:v>Swedbank Pensijų fondas 30</c:v>
                </c:pt>
                <c:pt idx="13">
                  <c:v>Swedbank Pensijų fondas 60</c:v>
                </c:pt>
                <c:pt idx="14">
                  <c:v>Swedbank Pensijų fondas 100</c:v>
                </c:pt>
              </c:strCache>
            </c:strRef>
          </c:cat>
          <c:val>
            <c:numRef>
              <c:f>'Papildoma informacija'!$B$22:$B$36</c:f>
              <c:numCache>
                <c:formatCode>0.00</c:formatCode>
                <c:ptCount val="15"/>
                <c:pt idx="0">
                  <c:v>11.393945</c:v>
                </c:pt>
                <c:pt idx="1">
                  <c:v>13.050228000000001</c:v>
                </c:pt>
                <c:pt idx="2">
                  <c:v>8.4014690000000005</c:v>
                </c:pt>
                <c:pt idx="3">
                  <c:v>34.576048</c:v>
                </c:pt>
                <c:pt idx="4">
                  <c:v>0.98782099999999995</c:v>
                </c:pt>
                <c:pt idx="5">
                  <c:v>2.1460530000000002</c:v>
                </c:pt>
                <c:pt idx="6">
                  <c:v>2.2005439999999998</c:v>
                </c:pt>
                <c:pt idx="7">
                  <c:v>6.7987780000000004</c:v>
                </c:pt>
                <c:pt idx="8">
                  <c:v>6.5410820000000003</c:v>
                </c:pt>
                <c:pt idx="9">
                  <c:v>2.994929</c:v>
                </c:pt>
                <c:pt idx="10">
                  <c:v>11.937566</c:v>
                </c:pt>
                <c:pt idx="11">
                  <c:v>23.032516999999999</c:v>
                </c:pt>
                <c:pt idx="12">
                  <c:v>4.5261999999999997E-2</c:v>
                </c:pt>
                <c:pt idx="13">
                  <c:v>0.12403699999999999</c:v>
                </c:pt>
                <c:pt idx="14">
                  <c:v>0.318934</c:v>
                </c:pt>
              </c:numCache>
            </c:numRef>
          </c:val>
          <c:smooth val="0"/>
        </c:ser>
        <c:dLbls>
          <c:showLegendKey val="0"/>
          <c:showVal val="0"/>
          <c:showCatName val="0"/>
          <c:showSerName val="0"/>
          <c:showPercent val="0"/>
          <c:showBubbleSize val="0"/>
        </c:dLbls>
        <c:marker val="1"/>
        <c:smooth val="0"/>
        <c:axId val="130942976"/>
        <c:axId val="131830272"/>
      </c:lineChart>
      <c:catAx>
        <c:axId val="130942976"/>
        <c:scaling>
          <c:orientation val="minMax"/>
        </c:scaling>
        <c:delete val="0"/>
        <c:axPos val="b"/>
        <c:majorTickMark val="none"/>
        <c:minorTickMark val="none"/>
        <c:tickLblPos val="nextTo"/>
        <c:crossAx val="131830272"/>
        <c:crosses val="autoZero"/>
        <c:auto val="1"/>
        <c:lblAlgn val="ctr"/>
        <c:lblOffset val="100"/>
        <c:noMultiLvlLbl val="0"/>
      </c:catAx>
      <c:valAx>
        <c:axId val="131830272"/>
        <c:scaling>
          <c:orientation val="minMax"/>
        </c:scaling>
        <c:delete val="0"/>
        <c:axPos val="l"/>
        <c:majorGridlines/>
        <c:title>
          <c:tx>
            <c:rich>
              <a:bodyPr/>
              <a:lstStyle/>
              <a:p>
                <a:pPr>
                  <a:defRPr/>
                </a:pPr>
                <a:r>
                  <a:rPr lang="lt-LT"/>
                  <a:t>Grynųmų aktyvų vertė, mln.</a:t>
                </a:r>
              </a:p>
            </c:rich>
          </c:tx>
          <c:layout>
            <c:manualLayout>
              <c:xMode val="edge"/>
              <c:yMode val="edge"/>
              <c:x val="0.12184539651090991"/>
              <c:y val="0.26832800626359354"/>
            </c:manualLayout>
          </c:layout>
          <c:overlay val="0"/>
        </c:title>
        <c:numFmt formatCode="0.00" sourceLinked="1"/>
        <c:majorTickMark val="none"/>
        <c:minorTickMark val="none"/>
        <c:tickLblPos val="nextTo"/>
        <c:crossAx val="130942976"/>
        <c:crosses val="autoZero"/>
        <c:crossBetween val="between"/>
      </c:valAx>
      <c:valAx>
        <c:axId val="131830848"/>
        <c:scaling>
          <c:orientation val="minMax"/>
        </c:scaling>
        <c:delete val="0"/>
        <c:axPos val="r"/>
        <c:numFmt formatCode="_-* #,##0\ _€_-;\-* #,##0\ _€_-;_-* &quot;-&quot;??\ _€_-;_-@_-" sourceLinked="1"/>
        <c:majorTickMark val="out"/>
        <c:minorTickMark val="none"/>
        <c:tickLblPos val="nextTo"/>
        <c:crossAx val="133067776"/>
        <c:crosses val="max"/>
        <c:crossBetween val="between"/>
      </c:valAx>
      <c:catAx>
        <c:axId val="133067776"/>
        <c:scaling>
          <c:orientation val="minMax"/>
        </c:scaling>
        <c:delete val="1"/>
        <c:axPos val="b"/>
        <c:majorTickMark val="out"/>
        <c:minorTickMark val="none"/>
        <c:tickLblPos val="nextTo"/>
        <c:crossAx val="131830848"/>
        <c:crosses val="autoZero"/>
        <c:auto val="1"/>
        <c:lblAlgn val="ctr"/>
        <c:lblOffset val="100"/>
        <c:noMultiLvlLbl val="0"/>
      </c:catAx>
      <c:dTable>
        <c:showHorzBorder val="1"/>
        <c:showVertBorder val="1"/>
        <c:showOutline val="1"/>
        <c:showKeys val="1"/>
      </c:dTable>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44824</xdr:rowOff>
    </xdr:from>
    <xdr:to>
      <xdr:col>1</xdr:col>
      <xdr:colOff>1963271</xdr:colOff>
      <xdr:row>18</xdr:row>
      <xdr:rowOff>155089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2008094</xdr:colOff>
      <xdr:row>6</xdr:row>
      <xdr:rowOff>44823</xdr:rowOff>
    </xdr:from>
    <xdr:to>
      <xdr:col>6</xdr:col>
      <xdr:colOff>21963</xdr:colOff>
      <xdr:row>18</xdr:row>
      <xdr:rowOff>150162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44822</xdr:rowOff>
    </xdr:from>
    <xdr:to>
      <xdr:col>13</xdr:col>
      <xdr:colOff>394446</xdr:colOff>
      <xdr:row>41</xdr:row>
      <xdr:rowOff>125504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0.97885</cdr:x>
      <cdr:y>0.26328</cdr:y>
    </cdr:from>
    <cdr:to>
      <cdr:x>1</cdr:x>
      <cdr:y>0.62878</cdr:y>
    </cdr:to>
    <cdr:sp macro="" textlink="">
      <cdr:nvSpPr>
        <cdr:cNvPr id="2" name="TextBox 1"/>
        <cdr:cNvSpPr txBox="1"/>
      </cdr:nvSpPr>
      <cdr:spPr>
        <a:xfrm xmlns:a="http://schemas.openxmlformats.org/drawingml/2006/main" rot="16200000">
          <a:off x="12604853" y="1760230"/>
          <a:ext cx="1559661" cy="2861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lt-LT" sz="800" b="1">
              <a:latin typeface="Verdana" panose="020B0604030504040204" pitchFamily="34" charset="0"/>
              <a:ea typeface="Verdana" panose="020B0604030504040204" pitchFamily="34" charset="0"/>
            </a:rPr>
            <a:t>Dalyvių</a:t>
          </a:r>
          <a:r>
            <a:rPr lang="lt-LT" sz="800" b="1" baseline="0">
              <a:latin typeface="Verdana" panose="020B0604030504040204" pitchFamily="34" charset="0"/>
              <a:ea typeface="Verdana" panose="020B0604030504040204" pitchFamily="34" charset="0"/>
            </a:rPr>
            <a:t> skaičius</a:t>
          </a:r>
          <a:endParaRPr lang="lt-LT" sz="800" b="1">
            <a:latin typeface="Verdana" panose="020B0604030504040204" pitchFamily="34" charset="0"/>
            <a:ea typeface="Verdana" panose="020B060403050404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showGridLines="0" tabSelected="1" topLeftCell="B1" zoomScale="70" zoomScaleNormal="70" workbookViewId="0">
      <selection activeCell="Q25" sqref="Q25:V27"/>
    </sheetView>
  </sheetViews>
  <sheetFormatPr defaultRowHeight="12.6" x14ac:dyDescent="0.2"/>
  <cols>
    <col min="1" max="1" width="39.109375" style="2" customWidth="1"/>
    <col min="2" max="2" width="7.77734375" style="2" bestFit="1" customWidth="1"/>
    <col min="3" max="3" width="43.88671875" style="2" bestFit="1" customWidth="1"/>
    <col min="4" max="4" width="13.88671875" style="1" customWidth="1"/>
    <col min="5" max="5" width="16.6640625" style="1" customWidth="1"/>
    <col min="6" max="6" width="16.77734375" style="1" customWidth="1"/>
    <col min="7" max="7" width="11.88671875" style="1" customWidth="1"/>
    <col min="8" max="8" width="2" style="1" customWidth="1"/>
    <col min="9" max="9" width="10.77734375" style="2" customWidth="1"/>
    <col min="10" max="10" width="15.77734375" style="2" customWidth="1"/>
    <col min="11" max="11" width="17.109375" style="2" customWidth="1"/>
    <col min="12" max="12" width="16" style="2" customWidth="1"/>
    <col min="13" max="13" width="2" style="1" customWidth="1"/>
    <col min="14" max="14" width="18.88671875" style="2" customWidth="1"/>
    <col min="15" max="15" width="18.44140625" style="2" customWidth="1"/>
    <col min="16" max="16" width="2" style="1" customWidth="1"/>
    <col min="17" max="17" width="15.44140625" style="2" customWidth="1"/>
    <col min="18" max="18" width="15.21875" style="2" customWidth="1"/>
    <col min="19" max="19" width="2" style="1" customWidth="1"/>
    <col min="20" max="20" width="5.21875" style="1" bestFit="1" customWidth="1"/>
    <col min="21" max="21" width="10.88671875" style="1" bestFit="1" customWidth="1"/>
    <col min="22" max="22" width="15.21875" style="1" bestFit="1" customWidth="1"/>
    <col min="23" max="16384" width="8.88671875" style="1"/>
  </cols>
  <sheetData>
    <row r="1" spans="1:22" ht="37.200000000000003" customHeight="1" x14ac:dyDescent="0.2">
      <c r="A1" s="55">
        <v>43921</v>
      </c>
      <c r="B1" s="19"/>
      <c r="C1" s="20"/>
      <c r="D1" s="21"/>
      <c r="E1" s="22"/>
      <c r="F1" s="22"/>
      <c r="G1" s="22"/>
      <c r="H1" s="22"/>
      <c r="I1" s="60" t="s">
        <v>32</v>
      </c>
      <c r="J1" s="60"/>
      <c r="K1" s="60"/>
      <c r="L1" s="60"/>
      <c r="M1" s="22"/>
      <c r="N1" s="60" t="s">
        <v>55</v>
      </c>
      <c r="O1" s="60"/>
      <c r="P1" s="22"/>
      <c r="Q1" s="60" t="s">
        <v>56</v>
      </c>
      <c r="R1" s="60"/>
      <c r="S1" s="22"/>
      <c r="T1" s="61" t="s">
        <v>92</v>
      </c>
      <c r="U1" s="62"/>
      <c r="V1" s="62"/>
    </row>
    <row r="2" spans="1:22" ht="79.2" customHeight="1" x14ac:dyDescent="0.2">
      <c r="A2" s="23" t="s">
        <v>0</v>
      </c>
      <c r="B2" s="23" t="s">
        <v>1</v>
      </c>
      <c r="C2" s="23" t="s">
        <v>2</v>
      </c>
      <c r="D2" s="24" t="s">
        <v>67</v>
      </c>
      <c r="E2" s="24" t="s">
        <v>48</v>
      </c>
      <c r="F2" s="24" t="s">
        <v>41</v>
      </c>
      <c r="G2" s="25" t="s">
        <v>19</v>
      </c>
      <c r="H2" s="22"/>
      <c r="I2" s="25" t="s">
        <v>57</v>
      </c>
      <c r="J2" s="25" t="s">
        <v>58</v>
      </c>
      <c r="K2" s="25" t="s">
        <v>59</v>
      </c>
      <c r="L2" s="25" t="s">
        <v>60</v>
      </c>
      <c r="M2" s="22"/>
      <c r="N2" s="25" t="s">
        <v>61</v>
      </c>
      <c r="O2" s="25" t="s">
        <v>62</v>
      </c>
      <c r="P2" s="22"/>
      <c r="Q2" s="25" t="s">
        <v>63</v>
      </c>
      <c r="R2" s="25" t="s">
        <v>64</v>
      </c>
      <c r="S2" s="22"/>
      <c r="T2" s="24" t="s">
        <v>91</v>
      </c>
      <c r="U2" s="24" t="s">
        <v>89</v>
      </c>
      <c r="V2" s="24" t="s">
        <v>90</v>
      </c>
    </row>
    <row r="3" spans="1:22" s="27" customFormat="1" ht="28.8" customHeight="1" x14ac:dyDescent="0.2">
      <c r="A3" s="26" t="s">
        <v>18</v>
      </c>
      <c r="B3" s="26"/>
      <c r="C3" s="26"/>
      <c r="E3" s="28"/>
      <c r="G3" s="47" t="s">
        <v>43</v>
      </c>
      <c r="I3" s="29">
        <v>-3.1151622586667509</v>
      </c>
      <c r="J3" s="29">
        <v>4.5413640874127539E-2</v>
      </c>
      <c r="K3" s="29">
        <v>0.61883240707811116</v>
      </c>
      <c r="L3" s="29">
        <v>2.4471194943828847</v>
      </c>
      <c r="N3" s="29">
        <v>0.73053810197310287</v>
      </c>
      <c r="O3" s="29">
        <v>1.4124378615589035</v>
      </c>
      <c r="Q3" s="6"/>
      <c r="R3" s="6"/>
      <c r="T3" s="6"/>
      <c r="U3" s="6"/>
      <c r="V3" s="6"/>
    </row>
    <row r="4" spans="1:22" x14ac:dyDescent="0.2">
      <c r="A4" s="30" t="s">
        <v>3</v>
      </c>
      <c r="B4" s="30" t="s">
        <v>28</v>
      </c>
      <c r="C4" s="30" t="s">
        <v>5</v>
      </c>
      <c r="D4" s="56" t="s">
        <v>81</v>
      </c>
      <c r="E4" s="32">
        <v>0</v>
      </c>
      <c r="F4" s="31">
        <v>11.393945</v>
      </c>
      <c r="G4" s="33">
        <v>5679</v>
      </c>
      <c r="H4" s="34"/>
      <c r="I4" s="35">
        <v>-0.33557046979866278</v>
      </c>
      <c r="J4" s="35">
        <v>0.13504405333861769</v>
      </c>
      <c r="K4" s="35">
        <v>-4.7071502271178733E-2</v>
      </c>
      <c r="L4" s="35" t="s">
        <v>75</v>
      </c>
      <c r="M4" s="34"/>
      <c r="N4" s="35">
        <v>0.66288099511508936</v>
      </c>
      <c r="O4" s="35">
        <v>0.71088340870499866</v>
      </c>
      <c r="P4" s="34"/>
      <c r="Q4" s="35">
        <v>1.184083188664441</v>
      </c>
      <c r="R4" s="35" t="s">
        <v>75</v>
      </c>
      <c r="S4" s="34"/>
      <c r="T4" s="31">
        <v>0.75</v>
      </c>
      <c r="U4" s="31">
        <v>0.88</v>
      </c>
      <c r="V4" s="31" t="s">
        <v>75</v>
      </c>
    </row>
    <row r="5" spans="1:22" x14ac:dyDescent="0.2">
      <c r="A5" s="30" t="s">
        <v>46</v>
      </c>
      <c r="B5" s="30" t="s">
        <v>26</v>
      </c>
      <c r="C5" s="30" t="s">
        <v>4</v>
      </c>
      <c r="D5" s="56" t="s">
        <v>82</v>
      </c>
      <c r="E5" s="32">
        <v>0</v>
      </c>
      <c r="F5" s="31">
        <v>13.050228000000001</v>
      </c>
      <c r="G5" s="33">
        <v>3200</v>
      </c>
      <c r="H5" s="34"/>
      <c r="I5" s="35">
        <v>-4.8656772496712408</v>
      </c>
      <c r="J5" s="35">
        <v>0.16510398490769962</v>
      </c>
      <c r="K5" s="35">
        <v>1.6462074572649366</v>
      </c>
      <c r="L5" s="35">
        <v>3.1518151914455839</v>
      </c>
      <c r="M5" s="34"/>
      <c r="N5" s="35">
        <v>0.878713261997488</v>
      </c>
      <c r="O5" s="35">
        <v>2.3039558857426368</v>
      </c>
      <c r="P5" s="34"/>
      <c r="Q5" s="35">
        <v>3.1263178737709416</v>
      </c>
      <c r="R5" s="35">
        <v>3.2135025090876068</v>
      </c>
      <c r="S5" s="34"/>
      <c r="T5" s="31">
        <v>1.1100000000000001</v>
      </c>
      <c r="U5" s="31" t="s">
        <v>75</v>
      </c>
      <c r="V5" s="31">
        <v>1.18</v>
      </c>
    </row>
    <row r="6" spans="1:22" x14ac:dyDescent="0.2">
      <c r="A6" s="30" t="s">
        <v>47</v>
      </c>
      <c r="B6" s="30" t="s">
        <v>20</v>
      </c>
      <c r="C6" s="30" t="s">
        <v>6</v>
      </c>
      <c r="D6" s="56" t="s">
        <v>83</v>
      </c>
      <c r="E6" s="32" t="s">
        <v>49</v>
      </c>
      <c r="F6" s="31">
        <v>8.4014690000000005</v>
      </c>
      <c r="G6" s="33">
        <v>2150</v>
      </c>
      <c r="H6" s="34"/>
      <c r="I6" s="35">
        <v>-4.1656804733727792</v>
      </c>
      <c r="J6" s="35">
        <v>-0.2620600008168994</v>
      </c>
      <c r="K6" s="35">
        <v>-7.392812420977668E-2</v>
      </c>
      <c r="L6" s="35">
        <v>1.3524966948120998</v>
      </c>
      <c r="M6" s="34"/>
      <c r="N6" s="35">
        <v>0.59212917993156644</v>
      </c>
      <c r="O6" s="35">
        <v>0.97905643369375905</v>
      </c>
      <c r="P6" s="34"/>
      <c r="Q6" s="35">
        <v>2.7013496177286931</v>
      </c>
      <c r="R6" s="35">
        <v>2.5333312472250946</v>
      </c>
      <c r="S6" s="34"/>
      <c r="T6" s="31">
        <v>0.72</v>
      </c>
      <c r="U6" s="31" t="s">
        <v>75</v>
      </c>
      <c r="V6" s="31">
        <v>0.87</v>
      </c>
    </row>
    <row r="7" spans="1:22" s="27" customFormat="1" ht="28.8" customHeight="1" x14ac:dyDescent="0.2">
      <c r="A7" s="36" t="s">
        <v>16</v>
      </c>
      <c r="B7" s="26"/>
      <c r="C7" s="26"/>
      <c r="D7" s="57"/>
      <c r="E7" s="37"/>
      <c r="F7" s="38"/>
      <c r="G7" s="47" t="s">
        <v>43</v>
      </c>
      <c r="H7" s="39"/>
      <c r="I7" s="29">
        <v>-8.4514992395932644</v>
      </c>
      <c r="J7" s="29">
        <v>3.9841209998954873E-2</v>
      </c>
      <c r="K7" s="29">
        <v>0.28067613420319237</v>
      </c>
      <c r="L7" s="29">
        <v>3.2102185940409842</v>
      </c>
      <c r="M7" s="39"/>
      <c r="N7" s="29">
        <v>0.71898139510479864</v>
      </c>
      <c r="O7" s="29">
        <v>1.433581084605543</v>
      </c>
      <c r="P7" s="39"/>
      <c r="Q7" s="40"/>
      <c r="R7" s="40"/>
      <c r="S7" s="39"/>
      <c r="T7" s="40"/>
      <c r="U7" s="40"/>
      <c r="V7" s="40"/>
    </row>
    <row r="8" spans="1:22" x14ac:dyDescent="0.2">
      <c r="A8" s="30" t="s">
        <v>3</v>
      </c>
      <c r="B8" s="30" t="s">
        <v>27</v>
      </c>
      <c r="C8" s="30" t="s">
        <v>7</v>
      </c>
      <c r="D8" s="56" t="s">
        <v>83</v>
      </c>
      <c r="E8" s="32" t="s">
        <v>50</v>
      </c>
      <c r="F8" s="31">
        <v>34.576048</v>
      </c>
      <c r="G8" s="33">
        <v>27432</v>
      </c>
      <c r="H8" s="34"/>
      <c r="I8" s="35">
        <v>-7.6197957580518505</v>
      </c>
      <c r="J8" s="35">
        <v>-7.0851636909896598E-3</v>
      </c>
      <c r="K8" s="35">
        <v>0.11091231094841891</v>
      </c>
      <c r="L8" s="35">
        <v>3.0715375333228989</v>
      </c>
      <c r="M8" s="34"/>
      <c r="N8" s="35">
        <v>0.77489505765488964</v>
      </c>
      <c r="O8" s="35">
        <v>1.2686619317500369</v>
      </c>
      <c r="P8" s="34"/>
      <c r="Q8" s="35">
        <v>5.574539926465377</v>
      </c>
      <c r="R8" s="35">
        <v>5.335264178008801</v>
      </c>
      <c r="S8" s="34"/>
      <c r="T8" s="31">
        <v>1.07</v>
      </c>
      <c r="U8" s="31">
        <v>1.55</v>
      </c>
      <c r="V8" s="31" t="s">
        <v>75</v>
      </c>
    </row>
    <row r="9" spans="1:22" x14ac:dyDescent="0.2">
      <c r="A9" s="30" t="s">
        <v>3</v>
      </c>
      <c r="B9" s="30" t="s">
        <v>30</v>
      </c>
      <c r="C9" s="30" t="s">
        <v>10</v>
      </c>
      <c r="D9" s="56" t="s">
        <v>84</v>
      </c>
      <c r="E9" s="32" t="s">
        <v>51</v>
      </c>
      <c r="F9" s="31">
        <v>0.98782099999999995</v>
      </c>
      <c r="G9" s="33">
        <v>468</v>
      </c>
      <c r="H9" s="34"/>
      <c r="I9" s="35">
        <v>-4.3492586490939011</v>
      </c>
      <c r="J9" s="35">
        <v>9.2028120497134047E-2</v>
      </c>
      <c r="K9" s="35">
        <v>-0.20541084164044099</v>
      </c>
      <c r="L9" s="35" t="s">
        <v>75</v>
      </c>
      <c r="M9" s="34"/>
      <c r="N9" s="35">
        <v>0.77141108186218332</v>
      </c>
      <c r="O9" s="35">
        <v>1.0237593192071737</v>
      </c>
      <c r="P9" s="34"/>
      <c r="Q9" s="35">
        <v>3.3025671438770701</v>
      </c>
      <c r="R9" s="35" t="s">
        <v>75</v>
      </c>
      <c r="S9" s="34"/>
      <c r="T9" s="31">
        <v>1.01</v>
      </c>
      <c r="U9" s="31">
        <v>1.35</v>
      </c>
      <c r="V9" s="31" t="s">
        <v>75</v>
      </c>
    </row>
    <row r="10" spans="1:22" x14ac:dyDescent="0.2">
      <c r="A10" s="30" t="s">
        <v>3</v>
      </c>
      <c r="B10" s="30" t="s">
        <v>31</v>
      </c>
      <c r="C10" s="30" t="s">
        <v>11</v>
      </c>
      <c r="D10" s="56" t="s">
        <v>84</v>
      </c>
      <c r="E10" s="32" t="s">
        <v>50</v>
      </c>
      <c r="F10" s="31">
        <v>2.1460530000000002</v>
      </c>
      <c r="G10" s="33">
        <v>1022</v>
      </c>
      <c r="H10" s="34"/>
      <c r="I10" s="35">
        <v>-8.0252764612954159</v>
      </c>
      <c r="J10" s="35">
        <v>-6.8610656187706454E-2</v>
      </c>
      <c r="K10" s="35">
        <v>-0.30633659545140635</v>
      </c>
      <c r="L10" s="35" t="s">
        <v>75</v>
      </c>
      <c r="M10" s="34"/>
      <c r="N10" s="35">
        <v>0.77490402516278145</v>
      </c>
      <c r="O10" s="35">
        <v>1.2686591543427772</v>
      </c>
      <c r="P10" s="34"/>
      <c r="Q10" s="35">
        <v>5.8383561684701295</v>
      </c>
      <c r="R10" s="35" t="s">
        <v>75</v>
      </c>
      <c r="S10" s="34"/>
      <c r="T10" s="31">
        <v>1.01</v>
      </c>
      <c r="U10" s="31">
        <v>1.5</v>
      </c>
      <c r="V10" s="31" t="s">
        <v>75</v>
      </c>
    </row>
    <row r="11" spans="1:22" x14ac:dyDescent="0.2">
      <c r="A11" s="30" t="s">
        <v>46</v>
      </c>
      <c r="B11" s="30" t="s">
        <v>24</v>
      </c>
      <c r="C11" s="30" t="s">
        <v>9</v>
      </c>
      <c r="D11" s="56" t="s">
        <v>85</v>
      </c>
      <c r="E11" s="32" t="s">
        <v>52</v>
      </c>
      <c r="F11" s="31">
        <v>2.2005439999999998</v>
      </c>
      <c r="G11" s="33">
        <v>1230</v>
      </c>
      <c r="H11" s="34"/>
      <c r="I11" s="35">
        <v>-13.526949241234941</v>
      </c>
      <c r="J11" s="35">
        <v>-0.45968471579045378</v>
      </c>
      <c r="K11" s="35">
        <v>-7.2459468664110016E-2</v>
      </c>
      <c r="L11" s="35" t="s">
        <v>75</v>
      </c>
      <c r="M11" s="34"/>
      <c r="N11" s="35">
        <v>-0.55664876239114314</v>
      </c>
      <c r="O11" s="35">
        <v>1.6365402911495019</v>
      </c>
      <c r="P11" s="34"/>
      <c r="Q11" s="35">
        <v>8.0731495749885731</v>
      </c>
      <c r="R11" s="35" t="s">
        <v>75</v>
      </c>
      <c r="S11" s="34"/>
      <c r="T11" s="31">
        <v>1.86</v>
      </c>
      <c r="U11" s="31" t="s">
        <v>75</v>
      </c>
      <c r="V11" s="31">
        <v>2.19</v>
      </c>
    </row>
    <row r="12" spans="1:22" x14ac:dyDescent="0.2">
      <c r="A12" s="30" t="s">
        <v>46</v>
      </c>
      <c r="B12" s="30" t="s">
        <v>25</v>
      </c>
      <c r="C12" s="30" t="s">
        <v>8</v>
      </c>
      <c r="D12" s="56" t="s">
        <v>86</v>
      </c>
      <c r="E12" s="32" t="s">
        <v>52</v>
      </c>
      <c r="F12" s="31">
        <v>6.7987780000000004</v>
      </c>
      <c r="G12" s="33">
        <v>3368</v>
      </c>
      <c r="H12" s="34"/>
      <c r="I12" s="35">
        <v>-11.763662171753008</v>
      </c>
      <c r="J12" s="35">
        <v>0.46682227257814901</v>
      </c>
      <c r="K12" s="35">
        <v>1.5142477974748658</v>
      </c>
      <c r="L12" s="35">
        <v>3.9154987211578618</v>
      </c>
      <c r="M12" s="34"/>
      <c r="N12" s="35">
        <v>0.82223564689869466</v>
      </c>
      <c r="O12" s="35">
        <v>2.3182097090980625</v>
      </c>
      <c r="P12" s="34"/>
      <c r="Q12" s="35">
        <v>7.3736775424091627</v>
      </c>
      <c r="R12" s="35">
        <v>6.8760160828508683</v>
      </c>
      <c r="S12" s="34"/>
      <c r="T12" s="31">
        <v>1.01</v>
      </c>
      <c r="U12" s="31" t="s">
        <v>75</v>
      </c>
      <c r="V12" s="31">
        <v>1.18</v>
      </c>
    </row>
    <row r="13" spans="1:22" x14ac:dyDescent="0.2">
      <c r="A13" s="30" t="s">
        <v>74</v>
      </c>
      <c r="B13" s="30" t="s">
        <v>69</v>
      </c>
      <c r="C13" s="53" t="s">
        <v>73</v>
      </c>
      <c r="D13" s="56" t="s">
        <v>87</v>
      </c>
      <c r="E13" s="32" t="s">
        <v>79</v>
      </c>
      <c r="F13" s="31">
        <v>4.5261999999999997E-2</v>
      </c>
      <c r="G13" s="33">
        <v>90</v>
      </c>
      <c r="H13" s="34"/>
      <c r="I13" s="35">
        <v>-6.2643391521197023</v>
      </c>
      <c r="J13" s="35" t="s">
        <v>75</v>
      </c>
      <c r="K13" s="35" t="s">
        <v>75</v>
      </c>
      <c r="L13" s="35" t="s">
        <v>75</v>
      </c>
      <c r="M13" s="34"/>
      <c r="N13" s="35" t="s">
        <v>75</v>
      </c>
      <c r="O13" s="35" t="s">
        <v>75</v>
      </c>
      <c r="P13" s="34"/>
      <c r="Q13" s="35" t="s">
        <v>75</v>
      </c>
      <c r="R13" s="35" t="s">
        <v>75</v>
      </c>
      <c r="S13" s="34"/>
      <c r="T13" s="31">
        <v>0.73</v>
      </c>
      <c r="U13" s="31">
        <v>0.74150000000000005</v>
      </c>
      <c r="V13" s="31" t="s">
        <v>75</v>
      </c>
    </row>
    <row r="14" spans="1:22" x14ac:dyDescent="0.2">
      <c r="A14" s="30" t="s">
        <v>74</v>
      </c>
      <c r="B14" s="30" t="s">
        <v>70</v>
      </c>
      <c r="C14" s="30" t="s">
        <v>72</v>
      </c>
      <c r="D14" s="56" t="s">
        <v>87</v>
      </c>
      <c r="E14" s="32" t="s">
        <v>80</v>
      </c>
      <c r="F14" s="31">
        <v>0.12403699999999999</v>
      </c>
      <c r="G14" s="33">
        <v>237</v>
      </c>
      <c r="H14" s="34"/>
      <c r="I14" s="35">
        <v>-9.544554455445553</v>
      </c>
      <c r="J14" s="35" t="s">
        <v>75</v>
      </c>
      <c r="K14" s="35" t="s">
        <v>75</v>
      </c>
      <c r="L14" s="35" t="s">
        <v>75</v>
      </c>
      <c r="M14" s="34"/>
      <c r="N14" s="35" t="s">
        <v>75</v>
      </c>
      <c r="O14" s="35" t="s">
        <v>75</v>
      </c>
      <c r="P14" s="34"/>
      <c r="Q14" s="35" t="s">
        <v>75</v>
      </c>
      <c r="R14" s="35" t="s">
        <v>75</v>
      </c>
      <c r="S14" s="34"/>
      <c r="T14" s="31">
        <v>0.72</v>
      </c>
      <c r="U14" s="31">
        <v>0.73419999999999996</v>
      </c>
      <c r="V14" s="31" t="s">
        <v>75</v>
      </c>
    </row>
    <row r="15" spans="1:22" s="27" customFormat="1" ht="28.8" customHeight="1" x14ac:dyDescent="0.2">
      <c r="A15" s="26" t="s">
        <v>17</v>
      </c>
      <c r="B15" s="26"/>
      <c r="C15" s="26"/>
      <c r="D15" s="58"/>
      <c r="E15" s="37"/>
      <c r="F15" s="38"/>
      <c r="G15" s="47" t="s">
        <v>43</v>
      </c>
      <c r="H15" s="39"/>
      <c r="I15" s="29">
        <v>-17.502551702107212</v>
      </c>
      <c r="J15" s="29">
        <v>-0.53469882757237575</v>
      </c>
      <c r="K15" s="29">
        <v>0.81763752963318759</v>
      </c>
      <c r="L15" s="29">
        <v>4.2324238362349798</v>
      </c>
      <c r="M15" s="39"/>
      <c r="N15" s="29">
        <v>-0.50238939958317108</v>
      </c>
      <c r="O15" s="29">
        <v>1.6203773723697772</v>
      </c>
      <c r="P15" s="39"/>
      <c r="Q15" s="40"/>
      <c r="R15" s="40"/>
      <c r="S15" s="39"/>
      <c r="T15" s="40"/>
      <c r="U15" s="40"/>
      <c r="V15" s="40"/>
    </row>
    <row r="16" spans="1:22" x14ac:dyDescent="0.2">
      <c r="A16" s="30" t="s">
        <v>3</v>
      </c>
      <c r="B16" s="30" t="s">
        <v>29</v>
      </c>
      <c r="C16" s="30" t="s">
        <v>12</v>
      </c>
      <c r="D16" s="56" t="s">
        <v>86</v>
      </c>
      <c r="E16" s="32" t="s">
        <v>53</v>
      </c>
      <c r="F16" s="31">
        <v>6.5410820000000003</v>
      </c>
      <c r="G16" s="33">
        <v>5048</v>
      </c>
      <c r="H16" s="34"/>
      <c r="I16" s="35">
        <v>-19.09917713295799</v>
      </c>
      <c r="J16" s="35">
        <v>-0.54713413985431059</v>
      </c>
      <c r="K16" s="35">
        <v>5.8990763412580804E-2</v>
      </c>
      <c r="L16" s="35">
        <v>4.4208983522677769</v>
      </c>
      <c r="M16" s="34"/>
      <c r="N16" s="35">
        <v>0.14732162554549344</v>
      </c>
      <c r="O16" s="35">
        <v>1.3106528210326873</v>
      </c>
      <c r="P16" s="34"/>
      <c r="Q16" s="35">
        <v>13.208522821966909</v>
      </c>
      <c r="R16" s="35">
        <v>11.285724182760324</v>
      </c>
      <c r="S16" s="34"/>
      <c r="T16" s="31">
        <v>1.1000000000000001</v>
      </c>
      <c r="U16" s="31">
        <v>1.96</v>
      </c>
      <c r="V16" s="31" t="s">
        <v>75</v>
      </c>
    </row>
    <row r="17" spans="1:22" x14ac:dyDescent="0.2">
      <c r="A17" s="30" t="s">
        <v>46</v>
      </c>
      <c r="B17" s="30" t="s">
        <v>22</v>
      </c>
      <c r="C17" s="30" t="s">
        <v>13</v>
      </c>
      <c r="D17" s="56" t="s">
        <v>82</v>
      </c>
      <c r="E17" s="32" t="s">
        <v>53</v>
      </c>
      <c r="F17" s="31">
        <v>2.994929</v>
      </c>
      <c r="G17" s="33">
        <v>2288</v>
      </c>
      <c r="H17" s="34"/>
      <c r="I17" s="35">
        <v>-19.441431670282007</v>
      </c>
      <c r="J17" s="35">
        <v>-0.84927449290281842</v>
      </c>
      <c r="K17" s="35">
        <v>2.2283980803252446</v>
      </c>
      <c r="L17" s="35">
        <v>2.8828734391797672</v>
      </c>
      <c r="M17" s="34"/>
      <c r="N17" s="35">
        <v>-9.6419051113376568</v>
      </c>
      <c r="O17" s="35">
        <v>-0.80872471357165132</v>
      </c>
      <c r="P17" s="34"/>
      <c r="Q17" s="35">
        <v>11.378329598637457</v>
      </c>
      <c r="R17" s="35">
        <v>12.02843387092746</v>
      </c>
      <c r="S17" s="34"/>
      <c r="T17" s="31">
        <v>1.74</v>
      </c>
      <c r="U17" s="31" t="s">
        <v>75</v>
      </c>
      <c r="V17" s="31">
        <v>1.9</v>
      </c>
    </row>
    <row r="18" spans="1:22" x14ac:dyDescent="0.2">
      <c r="A18" s="30" t="s">
        <v>46</v>
      </c>
      <c r="B18" s="30" t="s">
        <v>23</v>
      </c>
      <c r="C18" s="30" t="s">
        <v>14</v>
      </c>
      <c r="D18" s="56" t="s">
        <v>86</v>
      </c>
      <c r="E18" s="32" t="s">
        <v>53</v>
      </c>
      <c r="F18" s="31">
        <v>11.937566</v>
      </c>
      <c r="G18" s="33">
        <v>9451</v>
      </c>
      <c r="H18" s="34"/>
      <c r="I18" s="35">
        <v>-18.035687951629566</v>
      </c>
      <c r="J18" s="35">
        <v>8.4104328963063857E-2</v>
      </c>
      <c r="K18" s="35">
        <v>1.8549445360985795</v>
      </c>
      <c r="L18" s="35">
        <v>5.1118331986595544</v>
      </c>
      <c r="M18" s="34"/>
      <c r="N18" s="35">
        <v>-0.19142780249149505</v>
      </c>
      <c r="O18" s="35">
        <v>2.2757324678448931</v>
      </c>
      <c r="P18" s="34"/>
      <c r="Q18" s="35">
        <v>12.377729132845673</v>
      </c>
      <c r="R18" s="35">
        <v>10.693892235321423</v>
      </c>
      <c r="S18" s="34"/>
      <c r="T18" s="31">
        <v>1.03</v>
      </c>
      <c r="U18" s="31" t="s">
        <v>75</v>
      </c>
      <c r="V18" s="31">
        <v>1.3</v>
      </c>
    </row>
    <row r="19" spans="1:22" x14ac:dyDescent="0.2">
      <c r="A19" s="30" t="s">
        <v>47</v>
      </c>
      <c r="B19" s="30" t="s">
        <v>21</v>
      </c>
      <c r="C19" s="30" t="s">
        <v>15</v>
      </c>
      <c r="D19" s="56" t="s">
        <v>83</v>
      </c>
      <c r="E19" s="32" t="s">
        <v>54</v>
      </c>
      <c r="F19" s="31">
        <v>23.032516999999999</v>
      </c>
      <c r="G19" s="33">
        <v>10515</v>
      </c>
      <c r="H19" s="34"/>
      <c r="I19" s="35">
        <v>-16.556504916975655</v>
      </c>
      <c r="J19" s="35">
        <v>-0.81098349685215787</v>
      </c>
      <c r="K19" s="35">
        <v>0.31201854624622882</v>
      </c>
      <c r="L19" s="35">
        <v>3.8985902848198251</v>
      </c>
      <c r="M19" s="34"/>
      <c r="N19" s="35">
        <v>0.34034363609292129</v>
      </c>
      <c r="O19" s="35">
        <v>1.6845291653841965</v>
      </c>
      <c r="P19" s="34"/>
      <c r="Q19" s="35">
        <v>11.377776390605449</v>
      </c>
      <c r="R19" s="35">
        <v>10.602460727563946</v>
      </c>
      <c r="S19" s="34"/>
      <c r="T19" s="31">
        <v>1.05</v>
      </c>
      <c r="U19" s="31" t="s">
        <v>75</v>
      </c>
      <c r="V19" s="31">
        <v>1.41</v>
      </c>
    </row>
    <row r="20" spans="1:22" x14ac:dyDescent="0.2">
      <c r="A20" s="30" t="s">
        <v>74</v>
      </c>
      <c r="B20" s="30" t="s">
        <v>68</v>
      </c>
      <c r="C20" s="30" t="s">
        <v>71</v>
      </c>
      <c r="D20" s="56" t="s">
        <v>87</v>
      </c>
      <c r="E20" s="32" t="s">
        <v>53</v>
      </c>
      <c r="F20" s="31">
        <v>0.318934</v>
      </c>
      <c r="G20" s="33">
        <v>633</v>
      </c>
      <c r="H20" s="34"/>
      <c r="I20" s="35">
        <v>-14.915884194053209</v>
      </c>
      <c r="J20" s="35" t="s">
        <v>75</v>
      </c>
      <c r="K20" s="35" t="s">
        <v>75</v>
      </c>
      <c r="L20" s="35" t="s">
        <v>75</v>
      </c>
      <c r="M20" s="34"/>
      <c r="N20" s="35" t="s">
        <v>75</v>
      </c>
      <c r="O20" s="35" t="s">
        <v>75</v>
      </c>
      <c r="P20" s="34"/>
      <c r="Q20" s="35" t="s">
        <v>75</v>
      </c>
      <c r="R20" s="35" t="s">
        <v>75</v>
      </c>
      <c r="S20" s="34"/>
      <c r="T20" s="31">
        <v>0.72</v>
      </c>
      <c r="U20" s="31">
        <v>0.73850000000000005</v>
      </c>
      <c r="V20" s="31" t="s">
        <v>75</v>
      </c>
    </row>
    <row r="21" spans="1:22" x14ac:dyDescent="0.2">
      <c r="D21" s="7"/>
      <c r="E21" s="8"/>
      <c r="F21" s="7"/>
      <c r="G21" s="9"/>
      <c r="H21" s="3"/>
      <c r="I21" s="4"/>
      <c r="J21" s="4"/>
      <c r="K21" s="4"/>
      <c r="L21" s="4"/>
      <c r="M21" s="3"/>
      <c r="N21" s="4"/>
      <c r="O21" s="4"/>
      <c r="P21" s="3"/>
      <c r="Q21" s="4"/>
      <c r="R21" s="4"/>
      <c r="S21" s="3"/>
      <c r="T21" s="4"/>
      <c r="U21" s="4"/>
      <c r="V21" s="4"/>
    </row>
    <row r="22" spans="1:22" x14ac:dyDescent="0.2">
      <c r="T22" s="2"/>
      <c r="U22" s="2"/>
      <c r="V22" s="2"/>
    </row>
    <row r="23" spans="1:22" s="18" customFormat="1" x14ac:dyDescent="0.3">
      <c r="A23" s="5"/>
      <c r="B23" s="5"/>
      <c r="C23" s="5"/>
      <c r="D23" s="41"/>
      <c r="E23" s="42"/>
      <c r="F23" s="43"/>
      <c r="G23" s="44" t="s">
        <v>44</v>
      </c>
      <c r="H23" s="43"/>
      <c r="I23" s="45">
        <v>-10.301677658583225</v>
      </c>
      <c r="J23" s="45">
        <v>-0.16479608086653325</v>
      </c>
      <c r="K23" s="45">
        <v>0.56283587708352767</v>
      </c>
      <c r="L23" s="45">
        <v>3.481567534778546</v>
      </c>
      <c r="M23" s="45">
        <v>0</v>
      </c>
      <c r="N23" s="45">
        <v>0.28388201139251268</v>
      </c>
      <c r="O23" s="45">
        <v>1.4949953214362528</v>
      </c>
      <c r="P23" s="43"/>
      <c r="Q23" s="46"/>
      <c r="R23" s="46"/>
      <c r="S23" s="43"/>
      <c r="T23" s="46"/>
      <c r="U23" s="46"/>
      <c r="V23" s="46"/>
    </row>
    <row r="25" spans="1:22" x14ac:dyDescent="0.2">
      <c r="A25" s="17" t="s">
        <v>38</v>
      </c>
      <c r="B25" s="17"/>
      <c r="C25" s="17"/>
      <c r="D25" s="17"/>
      <c r="E25" s="17"/>
      <c r="F25" s="17"/>
      <c r="G25" s="17"/>
      <c r="H25" s="17"/>
      <c r="I25" s="17"/>
      <c r="J25" s="17"/>
      <c r="K25" s="17"/>
      <c r="L25" s="17"/>
    </row>
    <row r="26" spans="1:22" x14ac:dyDescent="0.2">
      <c r="A26" s="17" t="s">
        <v>36</v>
      </c>
      <c r="B26" s="17"/>
      <c r="C26" s="17"/>
      <c r="D26" s="17"/>
      <c r="E26" s="17"/>
      <c r="F26" s="17"/>
      <c r="G26" s="17"/>
      <c r="H26" s="17"/>
      <c r="I26" s="17"/>
      <c r="J26" s="17"/>
      <c r="K26" s="17"/>
      <c r="L26" s="17"/>
    </row>
    <row r="27" spans="1:22" x14ac:dyDescent="0.2">
      <c r="A27" s="17" t="s">
        <v>37</v>
      </c>
      <c r="B27" s="17"/>
      <c r="C27" s="17"/>
      <c r="D27" s="17"/>
      <c r="E27" s="17"/>
      <c r="F27" s="17"/>
      <c r="G27" s="17"/>
      <c r="H27" s="17"/>
      <c r="I27" s="17"/>
      <c r="J27" s="17"/>
      <c r="K27" s="17"/>
      <c r="L27" s="17"/>
    </row>
    <row r="28" spans="1:22" x14ac:dyDescent="0.2">
      <c r="A28" s="17" t="s">
        <v>42</v>
      </c>
      <c r="B28" s="17"/>
      <c r="C28" s="17"/>
      <c r="D28" s="17"/>
      <c r="E28" s="17"/>
      <c r="F28" s="17"/>
      <c r="G28" s="17"/>
      <c r="H28" s="17"/>
      <c r="I28" s="17"/>
      <c r="J28" s="17"/>
      <c r="K28" s="17"/>
      <c r="L28" s="17"/>
    </row>
    <row r="29" spans="1:22" x14ac:dyDescent="0.2">
      <c r="A29" s="17" t="s">
        <v>39</v>
      </c>
      <c r="B29" s="17"/>
      <c r="C29" s="17"/>
      <c r="D29" s="17"/>
      <c r="E29" s="17"/>
      <c r="F29" s="17"/>
      <c r="G29" s="17"/>
      <c r="H29" s="17"/>
      <c r="I29" s="17"/>
      <c r="J29" s="17"/>
      <c r="K29" s="17"/>
      <c r="L29" s="17"/>
    </row>
    <row r="30" spans="1:22" x14ac:dyDescent="0.2">
      <c r="A30" s="59" t="s">
        <v>88</v>
      </c>
      <c r="B30" s="17"/>
      <c r="C30" s="17"/>
      <c r="D30" s="17"/>
      <c r="E30" s="17"/>
      <c r="F30" s="17"/>
      <c r="G30" s="17"/>
      <c r="H30" s="17"/>
      <c r="I30" s="17"/>
      <c r="J30" s="17"/>
      <c r="K30" s="17"/>
      <c r="L30" s="17"/>
    </row>
    <row r="31" spans="1:22" x14ac:dyDescent="0.2">
      <c r="A31" s="17" t="s">
        <v>40</v>
      </c>
    </row>
    <row r="32" spans="1:22" x14ac:dyDescent="0.2">
      <c r="A32" s="17" t="s">
        <v>93</v>
      </c>
    </row>
    <row r="33" spans="1:11" x14ac:dyDescent="0.2">
      <c r="A33" s="17"/>
      <c r="K33" s="54"/>
    </row>
  </sheetData>
  <mergeCells count="4">
    <mergeCell ref="I1:L1"/>
    <mergeCell ref="N1:O1"/>
    <mergeCell ref="Q1:R1"/>
    <mergeCell ref="T1:V1"/>
  </mergeCells>
  <conditionalFormatting sqref="I4:L6">
    <cfRule type="cellIs" dxfId="34" priority="110" operator="greaterThanOrEqual">
      <formula>0</formula>
    </cfRule>
    <cfRule type="cellIs" dxfId="33" priority="111" operator="lessThan">
      <formula>0</formula>
    </cfRule>
  </conditionalFormatting>
  <conditionalFormatting sqref="I8:L14">
    <cfRule type="cellIs" dxfId="32" priority="108" operator="greaterThanOrEqual">
      <formula>0</formula>
    </cfRule>
    <cfRule type="cellIs" dxfId="31" priority="109" operator="lessThan">
      <formula>0</formula>
    </cfRule>
  </conditionalFormatting>
  <conditionalFormatting sqref="I16:L19">
    <cfRule type="cellIs" dxfId="30" priority="106" operator="greaterThanOrEqual">
      <formula>0</formula>
    </cfRule>
    <cfRule type="cellIs" dxfId="29" priority="107" operator="lessThan">
      <formula>0</formula>
    </cfRule>
  </conditionalFormatting>
  <conditionalFormatting sqref="N4:O6">
    <cfRule type="cellIs" dxfId="28" priority="104" operator="greaterThanOrEqual">
      <formula>0</formula>
    </cfRule>
    <cfRule type="cellIs" dxfId="27" priority="105" operator="lessThan">
      <formula>0</formula>
    </cfRule>
  </conditionalFormatting>
  <conditionalFormatting sqref="N8:O12">
    <cfRule type="cellIs" dxfId="26" priority="102" operator="greaterThanOrEqual">
      <formula>0</formula>
    </cfRule>
    <cfRule type="cellIs" dxfId="25" priority="103" operator="lessThan">
      <formula>0</formula>
    </cfRule>
  </conditionalFormatting>
  <conditionalFormatting sqref="N16:O19">
    <cfRule type="cellIs" dxfId="24" priority="100" operator="greaterThanOrEqual">
      <formula>0</formula>
    </cfRule>
    <cfRule type="cellIs" dxfId="23" priority="101" operator="lessThan">
      <formula>0</formula>
    </cfRule>
  </conditionalFormatting>
  <conditionalFormatting sqref="Q4:R6">
    <cfRule type="cellIs" dxfId="22" priority="98" operator="greaterThanOrEqual">
      <formula>0</formula>
    </cfRule>
    <cfRule type="cellIs" dxfId="21" priority="99" operator="lessThan">
      <formula>0</formula>
    </cfRule>
  </conditionalFormatting>
  <conditionalFormatting sqref="Q8:R12">
    <cfRule type="cellIs" dxfId="20" priority="96" operator="greaterThanOrEqual">
      <formula>0</formula>
    </cfRule>
    <cfRule type="cellIs" dxfId="19" priority="97" operator="lessThan">
      <formula>0</formula>
    </cfRule>
  </conditionalFormatting>
  <conditionalFormatting sqref="Q16:R19">
    <cfRule type="cellIs" dxfId="18" priority="94" operator="greaterThanOrEqual">
      <formula>0</formula>
    </cfRule>
    <cfRule type="cellIs" dxfId="17" priority="95" operator="lessThan">
      <formula>0</formula>
    </cfRule>
  </conditionalFormatting>
  <conditionalFormatting sqref="N13:O14">
    <cfRule type="cellIs" dxfId="16" priority="46" operator="greaterThanOrEqual">
      <formula>0</formula>
    </cfRule>
    <cfRule type="cellIs" dxfId="15" priority="47" operator="lessThan">
      <formula>0</formula>
    </cfRule>
  </conditionalFormatting>
  <conditionalFormatting sqref="I20">
    <cfRule type="cellIs" dxfId="14" priority="48" operator="greaterThanOrEqual">
      <formula>0</formula>
    </cfRule>
    <cfRule type="cellIs" dxfId="13" priority="49" operator="lessThan">
      <formula>0</formula>
    </cfRule>
  </conditionalFormatting>
  <conditionalFormatting sqref="Q13:R14">
    <cfRule type="cellIs" dxfId="12" priority="44" operator="greaterThanOrEqual">
      <formula>0</formula>
    </cfRule>
    <cfRule type="cellIs" dxfId="11" priority="45" operator="lessThan">
      <formula>0</formula>
    </cfRule>
  </conditionalFormatting>
  <conditionalFormatting sqref="J20:L20">
    <cfRule type="cellIs" dxfId="10" priority="42" operator="greaterThanOrEqual">
      <formula>0</formula>
    </cfRule>
    <cfRule type="cellIs" dxfId="9" priority="43" operator="lessThan">
      <formula>0</formula>
    </cfRule>
  </conditionalFormatting>
  <conditionalFormatting sqref="N20:O20">
    <cfRule type="cellIs" dxfId="8" priority="40" operator="greaterThanOrEqual">
      <formula>0</formula>
    </cfRule>
    <cfRule type="cellIs" dxfId="7" priority="41" operator="lessThan">
      <formula>0</formula>
    </cfRule>
  </conditionalFormatting>
  <conditionalFormatting sqref="Q20:R20">
    <cfRule type="cellIs" dxfId="6" priority="38" operator="greaterThanOrEqual">
      <formula>0</formula>
    </cfRule>
    <cfRule type="cellIs" dxfId="5" priority="39" operator="lessThan">
      <formula>0</formula>
    </cfRule>
  </conditionalFormatting>
  <conditionalFormatting sqref="I24:R1048576">
    <cfRule type="duplicateValues" dxfId="4" priority="148"/>
  </conditionalFormatting>
  <conditionalFormatting sqref="S24:S1048576">
    <cfRule type="duplicateValues" dxfId="3" priority="33"/>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showGridLines="0" zoomScale="85" zoomScaleNormal="85" workbookViewId="0">
      <selection activeCell="A44" sqref="A44"/>
    </sheetView>
  </sheetViews>
  <sheetFormatPr defaultRowHeight="14.4" x14ac:dyDescent="0.3"/>
  <cols>
    <col min="1" max="1" width="40.5546875" customWidth="1"/>
    <col min="2" max="2" width="32.44140625" bestFit="1" customWidth="1"/>
    <col min="3" max="3" width="19.6640625" bestFit="1" customWidth="1"/>
    <col min="4" max="4" width="18.88671875" bestFit="1" customWidth="1"/>
  </cols>
  <sheetData>
    <row r="1" spans="1:20" s="11" customFormat="1" ht="13.8" x14ac:dyDescent="0.25">
      <c r="A1" s="23" t="s">
        <v>34</v>
      </c>
      <c r="B1" s="23" t="s">
        <v>33</v>
      </c>
      <c r="C1" s="23" t="s">
        <v>19</v>
      </c>
      <c r="E1" s="12"/>
      <c r="G1" s="13"/>
      <c r="I1" s="14"/>
      <c r="J1" s="14"/>
      <c r="K1" s="14"/>
      <c r="L1" s="14"/>
      <c r="N1" s="14"/>
      <c r="O1" s="14"/>
      <c r="Q1" s="15"/>
      <c r="R1" s="15"/>
      <c r="S1" s="15"/>
      <c r="T1" s="15"/>
    </row>
    <row r="2" spans="1:20" s="10" customFormat="1" x14ac:dyDescent="0.3">
      <c r="A2" s="30" t="s">
        <v>3</v>
      </c>
      <c r="B2" s="48">
        <v>55.644949000000004</v>
      </c>
      <c r="C2" s="49">
        <v>39649</v>
      </c>
      <c r="E2" s="6"/>
      <c r="F2" s="6"/>
      <c r="G2" s="6"/>
      <c r="H2" s="6"/>
      <c r="I2" s="6"/>
    </row>
    <row r="3" spans="1:20" s="10" customFormat="1" x14ac:dyDescent="0.3">
      <c r="A3" s="30" t="s">
        <v>46</v>
      </c>
      <c r="B3" s="48">
        <v>36.982044999999999</v>
      </c>
      <c r="C3" s="49">
        <v>19537</v>
      </c>
      <c r="E3" s="6"/>
      <c r="F3" s="6"/>
      <c r="G3" s="6"/>
      <c r="H3" s="6"/>
      <c r="I3" s="6"/>
    </row>
    <row r="4" spans="1:20" s="10" customFormat="1" x14ac:dyDescent="0.3">
      <c r="A4" s="30" t="s">
        <v>47</v>
      </c>
      <c r="B4" s="48">
        <v>31.433985999999997</v>
      </c>
      <c r="C4" s="49">
        <v>12665</v>
      </c>
      <c r="E4" s="6"/>
      <c r="F4" s="6"/>
      <c r="G4" s="6"/>
      <c r="H4" s="6"/>
      <c r="I4" s="6"/>
    </row>
    <row r="5" spans="1:20" s="10" customFormat="1" x14ac:dyDescent="0.3">
      <c r="A5" s="30" t="s">
        <v>74</v>
      </c>
      <c r="B5" s="48">
        <v>0.48823299999999997</v>
      </c>
      <c r="C5" s="49">
        <v>960</v>
      </c>
      <c r="E5" s="6"/>
      <c r="F5" s="6"/>
      <c r="G5" s="6"/>
      <c r="H5" s="6"/>
      <c r="I5" s="6"/>
    </row>
    <row r="6" spans="1:20" s="11" customFormat="1" ht="13.8" x14ac:dyDescent="0.25">
      <c r="A6" s="52" t="s">
        <v>45</v>
      </c>
      <c r="B6" s="50">
        <v>124.54921299999999</v>
      </c>
      <c r="C6" s="51">
        <v>72811</v>
      </c>
      <c r="E6" s="12"/>
      <c r="G6" s="13"/>
      <c r="I6" s="14"/>
      <c r="J6" s="14"/>
      <c r="K6" s="14"/>
      <c r="L6" s="14"/>
      <c r="N6" s="14"/>
      <c r="O6" s="14"/>
      <c r="Q6" s="15"/>
      <c r="R6" s="15"/>
      <c r="S6" s="15"/>
      <c r="T6" s="15"/>
    </row>
    <row r="7" spans="1:20" s="10" customFormat="1" x14ac:dyDescent="0.3">
      <c r="B7" s="16"/>
      <c r="E7" s="6"/>
      <c r="F7" s="6"/>
      <c r="G7" s="6"/>
      <c r="H7" s="6"/>
      <c r="I7" s="6"/>
    </row>
    <row r="8" spans="1:20" s="11" customFormat="1" ht="22.8" customHeight="1" x14ac:dyDescent="0.25">
      <c r="E8" s="12"/>
      <c r="G8" s="13"/>
      <c r="I8" s="14"/>
      <c r="J8" s="14"/>
      <c r="K8" s="14"/>
      <c r="L8" s="14"/>
      <c r="N8" s="14"/>
      <c r="O8" s="14"/>
      <c r="Q8" s="15"/>
      <c r="R8" s="15"/>
      <c r="S8" s="15"/>
      <c r="T8" s="15"/>
    </row>
    <row r="9" spans="1:20" s="10" customFormat="1" x14ac:dyDescent="0.3"/>
    <row r="10" spans="1:20" s="10" customFormat="1" x14ac:dyDescent="0.3"/>
    <row r="11" spans="1:20" s="10" customFormat="1" x14ac:dyDescent="0.3"/>
    <row r="12" spans="1:20" s="10" customFormat="1" x14ac:dyDescent="0.3"/>
    <row r="13" spans="1:20" s="10" customFormat="1" x14ac:dyDescent="0.3"/>
    <row r="14" spans="1:20" s="10" customFormat="1" x14ac:dyDescent="0.3"/>
    <row r="15" spans="1:20" s="10" customFormat="1" x14ac:dyDescent="0.3"/>
    <row r="16" spans="1:20" s="10" customFormat="1" x14ac:dyDescent="0.3"/>
    <row r="17" spans="1:3" s="10" customFormat="1" x14ac:dyDescent="0.3"/>
    <row r="18" spans="1:3" s="10" customFormat="1" x14ac:dyDescent="0.3"/>
    <row r="19" spans="1:3" s="10" customFormat="1" x14ac:dyDescent="0.3"/>
    <row r="20" spans="1:3" s="10" customFormat="1" x14ac:dyDescent="0.3"/>
    <row r="21" spans="1:3" ht="33" customHeight="1" x14ac:dyDescent="0.3">
      <c r="A21" s="23" t="s">
        <v>35</v>
      </c>
      <c r="B21" s="23" t="s">
        <v>65</v>
      </c>
      <c r="C21" s="23" t="s">
        <v>66</v>
      </c>
    </row>
    <row r="22" spans="1:3" x14ac:dyDescent="0.3">
      <c r="A22" s="30" t="s">
        <v>5</v>
      </c>
      <c r="B22" s="48">
        <v>11.393945</v>
      </c>
      <c r="C22" s="49">
        <v>5679</v>
      </c>
    </row>
    <row r="23" spans="1:3" x14ac:dyDescent="0.3">
      <c r="A23" s="30" t="s">
        <v>4</v>
      </c>
      <c r="B23" s="48">
        <v>13.050228000000001</v>
      </c>
      <c r="C23" s="49">
        <v>3200</v>
      </c>
    </row>
    <row r="24" spans="1:3" x14ac:dyDescent="0.3">
      <c r="A24" s="30" t="s">
        <v>6</v>
      </c>
      <c r="B24" s="48">
        <v>8.4014690000000005</v>
      </c>
      <c r="C24" s="49">
        <v>2150</v>
      </c>
    </row>
    <row r="25" spans="1:3" x14ac:dyDescent="0.3">
      <c r="A25" s="30" t="s">
        <v>7</v>
      </c>
      <c r="B25" s="48">
        <v>34.576048</v>
      </c>
      <c r="C25" s="49">
        <v>27432</v>
      </c>
    </row>
    <row r="26" spans="1:3" x14ac:dyDescent="0.3">
      <c r="A26" s="30" t="s">
        <v>10</v>
      </c>
      <c r="B26" s="48">
        <v>0.98782099999999995</v>
      </c>
      <c r="C26" s="49">
        <v>468</v>
      </c>
    </row>
    <row r="27" spans="1:3" x14ac:dyDescent="0.3">
      <c r="A27" s="30" t="s">
        <v>11</v>
      </c>
      <c r="B27" s="48">
        <v>2.1460530000000002</v>
      </c>
      <c r="C27" s="49">
        <v>1022</v>
      </c>
    </row>
    <row r="28" spans="1:3" x14ac:dyDescent="0.3">
      <c r="A28" s="30" t="s">
        <v>9</v>
      </c>
      <c r="B28" s="48">
        <v>2.2005439999999998</v>
      </c>
      <c r="C28" s="49">
        <v>1230</v>
      </c>
    </row>
    <row r="29" spans="1:3" x14ac:dyDescent="0.3">
      <c r="A29" s="30" t="s">
        <v>8</v>
      </c>
      <c r="B29" s="48">
        <v>6.7987780000000004</v>
      </c>
      <c r="C29" s="49">
        <v>3368</v>
      </c>
    </row>
    <row r="30" spans="1:3" x14ac:dyDescent="0.3">
      <c r="A30" s="30" t="s">
        <v>12</v>
      </c>
      <c r="B30" s="48">
        <v>6.5410820000000003</v>
      </c>
      <c r="C30" s="49">
        <v>5048</v>
      </c>
    </row>
    <row r="31" spans="1:3" x14ac:dyDescent="0.3">
      <c r="A31" s="30" t="s">
        <v>13</v>
      </c>
      <c r="B31" s="48">
        <v>2.994929</v>
      </c>
      <c r="C31" s="49">
        <v>2288</v>
      </c>
    </row>
    <row r="32" spans="1:3" x14ac:dyDescent="0.3">
      <c r="A32" s="30" t="s">
        <v>14</v>
      </c>
      <c r="B32" s="48">
        <v>11.937566</v>
      </c>
      <c r="C32" s="49">
        <v>9451</v>
      </c>
    </row>
    <row r="33" spans="1:3" x14ac:dyDescent="0.3">
      <c r="A33" s="30" t="s">
        <v>15</v>
      </c>
      <c r="B33" s="48">
        <v>23.032516999999999</v>
      </c>
      <c r="C33" s="49">
        <v>10515</v>
      </c>
    </row>
    <row r="34" spans="1:3" x14ac:dyDescent="0.3">
      <c r="A34" s="30" t="s">
        <v>76</v>
      </c>
      <c r="B34" s="48">
        <v>4.5261999999999997E-2</v>
      </c>
      <c r="C34" s="49">
        <v>90</v>
      </c>
    </row>
    <row r="35" spans="1:3" x14ac:dyDescent="0.3">
      <c r="A35" s="30" t="s">
        <v>78</v>
      </c>
      <c r="B35" s="48">
        <v>0.12403699999999999</v>
      </c>
      <c r="C35" s="49">
        <v>237</v>
      </c>
    </row>
    <row r="36" spans="1:3" x14ac:dyDescent="0.3">
      <c r="A36" s="30" t="s">
        <v>77</v>
      </c>
      <c r="B36" s="48">
        <v>0.318934</v>
      </c>
      <c r="C36" s="49">
        <v>633</v>
      </c>
    </row>
    <row r="37" spans="1:3" x14ac:dyDescent="0.3">
      <c r="A37" s="52" t="s">
        <v>45</v>
      </c>
      <c r="B37" s="50">
        <v>124.54921299999998</v>
      </c>
      <c r="C37" s="51">
        <v>72811</v>
      </c>
    </row>
  </sheetData>
  <conditionalFormatting sqref="I1:R1">
    <cfRule type="duplicateValues" dxfId="2" priority="6"/>
  </conditionalFormatting>
  <conditionalFormatting sqref="I8:R8">
    <cfRule type="duplicateValues" dxfId="1" priority="5"/>
  </conditionalFormatting>
  <conditionalFormatting sqref="I6:R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2020-03-31</vt:lpstr>
      <vt:lpstr>Papildoma informacija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2020-05-07T10:54:31Z</dcterms:modified>
</cp:coreProperties>
</file>